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a08b9abde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786798d638ba4ef5"/>
    <x:sheet xmlns:r="http://schemas.openxmlformats.org/officeDocument/2006/relationships" name="Qubits" sheetId="2" r:id="R34253d34cf984a3f"/>
    <x:sheet xmlns:r="http://schemas.openxmlformats.org/officeDocument/2006/relationships" name="Estimates" sheetId="3" r:id="R94612cc58af8448a"/>
    <x:sheet xmlns:r="http://schemas.openxmlformats.org/officeDocument/2006/relationships" name="Jobs" sheetId="4" r:id="R554fdcff2b8d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.00"/>
    <x:numFmt numFmtId="202" formatCode="#,##0.0"/>
    <x:numFmt numFmtId="203" formatCode="0.00000"/>
    <x:numFmt numFmtId="204" formatCode="0.000000"/>
    <x:numFmt numFmtId="205" formatCode="yyyy-mm-dd hh:mm"/>
  </x:numFmts>
  <x:fonts count="7">
    <x:font>
      <x:sz val="11"/>
      <x:name val="Carlito"/>
    </x:font>
    <x:font>
      <x:sz val="10"/>
      <x:color rgb="FF16283E"/>
      <x:name val="Arial"/>
    </x:font>
    <x:font>
      <x:b/>
      <x:sz val="14"/>
      <x:color rgb="FF16283E"/>
      <x:name val="Arial"/>
    </x:font>
    <x:font>
      <x:sz val="10"/>
      <x:color rgb="FF315D87"/>
      <x:name val="Arial"/>
    </x:font>
    <x:font>
      <x:b/>
      <x:sz val="10"/>
      <x:color rgb="FF16283E"/>
      <x:name val="Arial"/>
    </x:font>
    <x:font>
      <x:i/>
      <x:sz val="9"/>
      <x:color rgb="FF6A788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6"/>
      </x:patternFill>
    </x:fill>
    <x:fill>
      <x:patternFill patternType="solid">
        <x:fgColor rgb="FFEAF1F7"/>
      </x:patternFill>
    </x:fill>
    <x:fill>
      <x:patternFill patternType="solid">
        <x:fgColor rgb="FF243C5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204" fontId="3" fillId="2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3" fillId="2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4">
    <x:dxf>
      <x:font>
        <x:color rgb="FF276749"/>
      </x:font>
      <x:fill>
        <x:patternFill patternType="solid">
          <x:bgColor rgb="FFE5F3E8"/>
        </x:patternFill>
      </x:fill>
    </x:dxf>
    <x:dxf>
      <x:font>
        <x:color rgb="FF276749"/>
      </x:font>
      <x:fill>
        <x:patternFill patternType="solid">
          <x:bgColor rgb="FFE5F3E8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2b3844c704ff1" /><Relationship Type="http://schemas.openxmlformats.org/officeDocument/2006/relationships/theme" Target="/xl/theme/theme1.xml" Id="R8b2e7d5c30b04aea" /><Relationship Type="http://schemas.openxmlformats.org/officeDocument/2006/relationships/sharedStrings" Target="/xl/sharedStrings.xml" Id="R375010a9f5a340a8" /><Relationship Type="http://schemas.openxmlformats.org/officeDocument/2006/relationships/worksheet" Target="/xl/worksheets/sheet1.xml" Id="R786798d638ba4ef5" /><Relationship Type="http://schemas.openxmlformats.org/officeDocument/2006/relationships/worksheet" Target="/xl/worksheets/sheet2.xml" Id="R34253d34cf984a3f" /><Relationship Type="http://schemas.openxmlformats.org/officeDocument/2006/relationships/worksheet" Target="/xl/worksheets/sheet3.xml" Id="R94612cc58af8448a" /><Relationship Type="http://schemas.openxmlformats.org/officeDocument/2006/relationships/worksheet" Target="/xl/worksheets/sheet4.xml" Id="R554fdcff2b8d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3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Sample 2 estimation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2" t="str">
        <x:v>Official circuit ID</x:v>
      </x:c>
      <x:c r="B4" s="6"/>
      <x:c r="C4" s="2"/>
      <x:c r="D4" s="11" t="str">
        <x:v>Precision window</x:v>
      </x:c>
      <x:c r="E4" s="11" t="str">
        <x:v>Slot 1</x:v>
      </x:c>
      <x:c r="F4" s="11" t="str">
        <x:v>Slot 2</x:v>
      </x:c>
      <x:c r="G4" s="11" t="str">
        <x:v>Slot 3</x:v>
      </x:c>
    </x:row>
    <x:row r="5">
      <x:c r="A5" s="2" t="str">
        <x:v>Required qubits</x:v>
      </x:c>
      <x:c r="B5" s="6"/>
      <x:c r="C5" s="2"/>
      <x:c r="D5" s="2" t="str">
        <x:v>MPS bond dimension χ</x:v>
      </x:c>
      <x:c r="E5" s="6" t="n">
        <x:v>32</x:v>
      </x:c>
      <x:c r="F5" s="6" t="n">
        <x:v>64</x:v>
      </x:c>
      <x:c r="G5" s="6" t="n">
        <x:v>128</x:v>
      </x:c>
    </x:row>
    <x:row r="6">
      <x:c r="A6" s="2" t="str">
        <x:v>Convergence tolerance (%)</x:v>
      </x:c>
      <x:c r="B6" s="7"/>
      <x:c r="C6" s="2"/>
      <x:c r="D6" s="2" t="str">
        <x:v>PPS threshold ε</x:v>
      </x:c>
      <x:c r="E6" s="12" t="n">
        <x:v>0.01</x:v>
      </x:c>
      <x:c r="F6" s="12" t="n">
        <x:v>0.003</x:v>
      </x:c>
      <x:c r="G6" s="12" t="n">
        <x:v>0.001</x:v>
      </x:c>
    </x:row>
    <x:row r="7">
      <x:c r="A7" s="2" t="str">
        <x:v>Run decision</x:v>
      </x:c>
      <x:c r="B7" s="6"/>
      <x:c r="C7" s="2"/>
      <x:c r="D7" s="2" t="str">
        <x:v>PPS transpilation level</x:v>
      </x:c>
      <x:c r="E7" s="6" t="n">
        <x:v>2</x:v>
      </x:c>
      <x:c r="F7" s="2"/>
      <x:c r="G7" s="2"/>
    </x:row>
    <x:row r="8">
      <x:c r="A8" s="2" t="str">
        <x:v>Decision note</x:v>
      </x:c>
      <x:c r="B8" s="6"/>
      <x:c r="C8" s="2"/>
      <x:c r="D8" s="2"/>
      <x:c r="E8" s="2"/>
      <x:c r="F8" s="2"/>
      <x:c r="G8" s="2"/>
    </x:row>
    <x:row r="9">
      <x:c r="A9" s="2" t="str">
        <x:v>Remaining credits</x:v>
      </x:c>
      <x:c r="B9" s="8"/>
      <x:c r="C9" s="2"/>
      <x:c r="D9" s="10" t="str">
        <x:v>Current action</x:v>
      </x:c>
      <x:c r="E9" s="11" t="str">
        <x:f>IF($B$5="","Enter official targets",IF(E10&lt;&gt;$B$5,"Check target list",IF(E17&gt;0,"Resolve duplicate targets",IF(E16&gt;0,"Resolve duplicate estimates",IF(E11&lt;$B$5,"Complete baseline",IF($B$7="Move on","Move on",IF(AND(ISNUMBER($B$9),ISNUMBER($B$10),$B$10&gt;$B$9),"Review and move on",IF(AND(ISNUMBER($B$11),ISNUMBER($B$12),$B$12&gt;$B$11),"Review and move on",IF(NOT(ISNUMBER($B$6)),"Set tolerance or review",IF(OR(E14=$B$5,E15=$B$5),"Review and decide","Continue refinement"))))))))))</x:f>
        <x:v>Enter official targets</x:v>
      </x:c>
      <x:c r="F9" s="11"/>
      <x:c r="G9" s="11"/>
    </x:row>
    <x:row r="10">
      <x:c r="A10" s="2" t="str">
        <x:v>Next job est. credits</x:v>
      </x:c>
      <x:c r="B10" s="8"/>
      <x:c r="C10" s="2"/>
      <x:c r="D10" s="2" t="str">
        <x:v>Target qubits entered</x:v>
      </x:c>
      <x:c r="E10" s="2" t="n">
        <x:f>COUNTA('Qubits'!$A$6:$A$165)</x:f>
        <x:v>0</x:v>
      </x:c>
      <x:c r="F10" s="2"/>
      <x:c r="G10" s="2"/>
    </x:row>
    <x:row r="11">
      <x:c r="A11" s="2" t="str">
        <x:v>Minutes to cutoff</x:v>
      </x:c>
      <x:c r="B11" s="9"/>
      <x:c r="C11" s="2"/>
      <x:c r="D11" s="2" t="str">
        <x:v>Baseline covered</x:v>
      </x:c>
      <x:c r="E11" s="2" t="n">
        <x:f>SUM('Qubits'!$R$6:$R$165)</x:f>
        <x:v>0</x:v>
      </x:c>
      <x:c r="F11" s="2"/>
      <x:c r="G11" s="2"/>
    </x:row>
    <x:row r="12">
      <x:c r="A12" s="2" t="str">
        <x:v>Next job est. minutes</x:v>
      </x:c>
      <x:c r="B12" s="9"/>
      <x:c r="C12" s="2"/>
      <x:c r="D12" s="2" t="str">
        <x:v>MPS latest rows</x:v>
      </x:c>
      <x:c r="E12" s="2" t="n">
        <x:f>COUNT('Qubits'!$E$6:$E$165)</x:f>
        <x:v>0</x:v>
      </x:c>
      <x:c r="F12" s="2"/>
      <x:c r="G12" s="2"/>
    </x:row>
    <x:row r="13">
      <x:c r="A13" s="2"/>
      <x:c r="B13" s="2"/>
      <x:c r="C13" s="2"/>
      <x:c r="D13" s="2" t="str">
        <x:v>PPS latest rows</x:v>
      </x:c>
      <x:c r="E13" s="2" t="n">
        <x:f>COUNT('Qubits'!$L$6:$L$165)</x:f>
        <x:v>0</x:v>
      </x:c>
      <x:c r="F13" s="2"/>
      <x:c r="G13" s="2"/>
    </x:row>
    <x:row r="14">
      <x:c r="A14" s="2"/>
      <x:c r="B14" s="2"/>
      <x:c r="C14" s="2"/>
      <x:c r="D14" s="2" t="str">
        <x:v>MPS converging qubits</x:v>
      </x:c>
      <x:c r="E14" s="2" t="n">
        <x:f>COUNTIFS('Qubits'!$I$6:$I$165,"Yes")</x:f>
        <x:v>0</x:v>
      </x:c>
      <x:c r="F14" s="2"/>
      <x:c r="G14" s="2"/>
    </x:row>
    <x:row r="15">
      <x:c r="A15" s="2"/>
      <x:c r="B15" s="2"/>
      <x:c r="C15" s="2"/>
      <x:c r="D15" s="2" t="str">
        <x:v>PPS converging qubits</x:v>
      </x:c>
      <x:c r="E15" s="2" t="n">
        <x:f>COUNTIFS('Qubits'!$P$6:$P$165,"Yes")</x:f>
        <x:v>0</x:v>
      </x:c>
      <x:c r="F15" s="2"/>
      <x:c r="G15" s="2"/>
    </x:row>
    <x:row r="16">
      <x:c r="A16" s="2"/>
      <x:c r="B16" s="2"/>
      <x:c r="C16" s="2"/>
      <x:c r="D16" s="2" t="str">
        <x:v>Duplicate estimate keys</x:v>
      </x:c>
      <x:c r="E16" s="2" t="n">
        <x:f>COUNTIFS('Qubits'!$C$6:$E$165,"DUP")+COUNTIFS('Qubits'!$J$6:$L$165,"DUP")</x:f>
        <x:v>0</x:v>
      </x:c>
      <x:c r="F16" s="2"/>
      <x:c r="G16" s="2"/>
    </x:row>
    <x:row r="17">
      <x:c r="A17" s="2"/>
      <x:c r="B17" s="2"/>
      <x:c r="C17" s="2"/>
      <x:c r="D17" s="2" t="str">
        <x:v>Duplicate target keys</x:v>
      </x:c>
      <x:c r="E17" s="2" t="n">
        <x:f>COUNTIFS('Qubits'!$S$6:$S$165,"Duplicate target")</x:f>
        <x:v>0</x:v>
      </x:c>
      <x:c r="F17" s="2"/>
      <x:c r="G17" s="2"/>
    </x:row>
    <x:row r="18">
      <x:c r="A18" s="2"/>
      <x:c r="B18" s="2"/>
      <x:c r="C18" s="2"/>
      <x:c r="D18" s="2" t="str">
        <x:v>Running jobs</x:v>
      </x:c>
      <x:c r="E18" s="2" t="n">
        <x:f>COUNTIFS('Jobs'!$I$5:$I$1004,"running")</x:f>
        <x:v>0</x:v>
      </x:c>
      <x:c r="F18" s="2"/>
      <x:c r="G18" s="2"/>
    </x:row>
    <x:row r="19">
      <x:c r="A19" s="2"/>
      <x:c r="B19" s="2"/>
      <x:c r="C19" s="2"/>
      <x:c r="D19" s="2" t="str">
        <x:v>Failed jobs</x:v>
      </x:c>
      <x:c r="E19" s="2" t="n">
        <x:f>COUNTIFS('Jobs'!$I$5:$I$1004,"failed")</x:f>
        <x:v>0</x:v>
      </x:c>
      <x:c r="F19" s="2"/>
      <x:c r="G19" s="2"/>
    </x:row>
    <x:row r="20">
      <x:c r="A20" s="2"/>
      <x:c r="B20" s="2"/>
      <x:c r="C20" s="2"/>
      <x:c r="D20" s="2" t="str">
        <x:v>Credits consumed</x:v>
      </x:c>
      <x:c r="E20" s="13" t="n">
        <x:f>SUM('Jobs'!$M$5:$M$1004)</x:f>
        <x:v>0</x:v>
      </x:c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 t="str">
        <x:v>Mean MPS SD (3 settings)</x:v>
      </x:c>
      <x:c r="E22" s="14" t="str">
        <x:f>IF(COUNT('Qubits'!$F$6:$F$165)=0,"",AVERAGE('Qubits'!$F$6:$F$165))</x:f>
      </x:c>
      <x:c r="F22" s="2"/>
      <x:c r="G22" s="2"/>
    </x:row>
    <x:row r="23">
      <x:c r="A23" s="2"/>
      <x:c r="B23" s="2"/>
      <x:c r="C23" s="2"/>
      <x:c r="D23" s="2" t="str">
        <x:v>Mean PPS SD (3 settings)</x:v>
      </x:c>
      <x:c r="E23" s="14" t="str">
        <x:f>IF(COUNT('Qubits'!$M$6:$M$165)=0,"",AVERAGE('Qubits'!$M$6:$M$165))</x:f>
      </x:c>
      <x:c r="F23" s="2"/>
      <x:c r="G23" s="2"/>
    </x:row>
    <x:row r="24">
      <x:c r="A24" s="2"/>
      <x:c r="B24" s="2"/>
      <x:c r="C24" s="2"/>
      <x:c r="D24" s="2" t="str">
        <x:v>Max MPS last % change</x:v>
      </x:c>
      <x:c r="E24" s="15" t="str">
        <x:f>IF(COUNT('Qubits'!$H$6:$H$165)=0,"",MAX('Qubits'!$H$6:$H$165))</x:f>
      </x:c>
      <x:c r="F24" s="2"/>
      <x:c r="G24" s="2"/>
    </x:row>
    <x:row r="25">
      <x:c r="A25" s="2"/>
      <x:c r="B25" s="2"/>
      <x:c r="C25" s="2"/>
      <x:c r="D25" s="2" t="str">
        <x:v>Max PPS last % change</x:v>
      </x:c>
      <x:c r="E25" s="15" t="str">
        <x:f>IF(COUNT('Qubits'!$O$6:$O$165)=0,"",MAX('Qubits'!$O$6:$O$165))</x:f>
      </x:c>
      <x:c r="F25" s="2"/>
      <x:c r="G25" s="2"/>
    </x:row>
    <x:row r="26">
      <x:c r="A26" s="2"/>
      <x:c r="B26" s="2"/>
      <x:c r="C26" s="2"/>
      <x:c r="D26" s="2" t="str">
        <x:v>Mean MPS/PPS abs. gap</x:v>
      </x:c>
      <x:c r="E26" s="14" t="str">
        <x:f>IF(COUNT('Qubits'!$Q$6:$Q$165)=0,"",AVERAGE('Qubits'!$Q$6:$Q$165))</x:f>
      </x:c>
      <x:c r="F26" s="2"/>
      <x:c r="G26" s="2"/>
    </x:row>
    <x:row r="27">
      <x:c r="A27" s="2"/>
      <x:c r="B27" s="2"/>
      <x:c r="C27" s="2"/>
      <x:c r="D27" s="16" t="str">
        <x:v>SD = spread across settings. Zero baseline: use absolute Δ.</x:v>
      </x:c>
      <x:c r="E27" s="16"/>
      <x:c r="F27" s="16"/>
      <x:c r="G27" s="16"/>
    </x:row>
    <x:row r="28">
      <x:c r="A28" s="16" t="str">
        <x:v>Initial settings: estimation_workflow_v0.md §3.2. Update from the official kit.</x:v>
      </x:c>
      <x:c r="B28" s="16"/>
      <x:c r="C28" s="16"/>
      <x:c r="D28" s="16"/>
      <x:c r="E28" s="16"/>
      <x:c r="F28" s="16"/>
      <x:c r="G28" s="16"/>
    </x:row>
  </x:sheetData>
  <x:dataValidations count="1">
    <x:dataValidation type="list" sqref="B7">
      <x:formula1>"Continue,Move 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D8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15" hidden="0" customWidth="1"/>
    <x:col min="18" max="18" width="15" hidden="0" customWidth="1"/>
    <x:col min="19" max="19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Sample 2 qubits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19" t="str">
        <x:v>Qubit</x:v>
      </x:c>
      <x:c r="B5" s="19" t="str">
        <x:v>Exact sample</x:v>
      </x:c>
      <x:c r="C5" s="19" t="str">
        <x:v>MPS 1</x:v>
      </x:c>
      <x:c r="D5" s="19" t="str">
        <x:v>MPS 2</x:v>
      </x:c>
      <x:c r="E5" s="19" t="str">
        <x:v>MPS 3</x:v>
      </x:c>
      <x:c r="F5" s="19" t="str">
        <x:v>MPS SD</x:v>
      </x:c>
      <x:c r="G5" s="19" t="str">
        <x:v>MPS abs. Δ</x:v>
      </x:c>
      <x:c r="H5" s="19" t="str">
        <x:v>MPS % Δ</x:v>
      </x:c>
      <x:c r="I5" s="19" t="str">
        <x:v>MPS converging</x:v>
      </x:c>
      <x:c r="J5" s="19" t="str">
        <x:v>PPS 1</x:v>
      </x:c>
      <x:c r="K5" s="19" t="str">
        <x:v>PPS 2</x:v>
      </x:c>
      <x:c r="L5" s="19" t="str">
        <x:v>PPS 3</x:v>
      </x:c>
      <x:c r="M5" s="19" t="str">
        <x:v>PPS SD</x:v>
      </x:c>
      <x:c r="N5" s="19" t="str">
        <x:v>PPS abs. Δ</x:v>
      </x:c>
      <x:c r="O5" s="19" t="str">
        <x:v>PPS % Δ</x:v>
      </x:c>
      <x:c r="P5" s="19" t="str">
        <x:v>PPS converging</x:v>
      </x:c>
      <x:c r="Q5" s="19" t="str">
        <x:v>MPS/PPS abs. Δ</x:v>
      </x:c>
      <x:c r="R5" s="19" t="str">
        <x:v>Baseline</x:v>
      </x:c>
      <x:c r="S5" s="19" t="str">
        <x:v>Issue</x:v>
      </x:c>
    </x:row>
    <x:row r="6">
      <x:c r="A6" s="6"/>
      <x:c r="B6" s="20"/>
      <x:c r="C6" s="14" t="str">
        <x:f>IF(OR(COUNTA($A6)=0,'Status'!$E$5=""),"",IF(COUNTIFS('Estimates'!$A$5:$A$2004,$A6,'Estimates'!$B$5:$B$2004,"MPS",'Estimates'!$C$5:$C$2004,'Status'!$E$5)=0,"",IF(COUNTIFS('Estimates'!$A$5:$A$2004,$A6,'Estimates'!$B$5:$B$2004,"MPS",'Estimates'!$C$5:$C$2004,'Status'!$E$5)&gt;1,"DUP",SUMIFS('Estimates'!$F$5:$F$2004,'Estimates'!$A$5:$A$2004,$A6,'Estimates'!$B$5:$B$2004,"MPS",'Estimates'!$C$5:$C$2004,'Status'!$E$5))))</x:f>
      </x:c>
      <x:c r="D6" s="14" t="str">
        <x:f>IF(OR(COUNTA($A6)=0,'Status'!$F$5=""),"",IF(COUNTIFS('Estimates'!$A$5:$A$2004,$A6,'Estimates'!$B$5:$B$2004,"MPS",'Estimates'!$C$5:$C$2004,'Status'!$F$5)=0,"",IF(COUNTIFS('Estimates'!$A$5:$A$2004,$A6,'Estimates'!$B$5:$B$2004,"MPS",'Estimates'!$C$5:$C$2004,'Status'!$F$5)&gt;1,"DUP",SUMIFS('Estimates'!$F$5:$F$2004,'Estimates'!$A$5:$A$2004,$A6,'Estimates'!$B$5:$B$2004,"MPS",'Estimates'!$C$5:$C$2004,'Status'!$F$5))))</x:f>
      </x:c>
      <x:c r="E6" s="14" t="str">
        <x:f>IF(OR(COUNTA($A6)=0,'Status'!$G$5=""),"",IF(COUNTIFS('Estimates'!$A$5:$A$2004,$A6,'Estimates'!$B$5:$B$2004,"MPS",'Estimates'!$C$5:$C$2004,'Status'!$G$5)=0,"",IF(COUNTIFS('Estimates'!$A$5:$A$2004,$A6,'Estimates'!$B$5:$B$2004,"MPS",'Estimates'!$C$5:$C$2004,'Status'!$G$5)&gt;1,"DUP",SUMIFS('Estimates'!$F$5:$F$2004,'Estimates'!$A$5:$A$2004,$A6,'Estimates'!$B$5:$B$2004,"MPS",'Estimates'!$C$5:$C$2004,'Status'!$G$5))))</x:f>
      </x:c>
      <x:c r="F6" s="14" t="str">
        <x:f>IF(COUNT(C6:E6)&lt;2,"",_xlfn.STDEV.S(C6:E6))</x:f>
      </x:c>
      <x:c r="G6" s="14" t="str">
        <x:f>IF(AND(ISNUMBER(D6),ISNUMBER(E6)),ABS(E6-D6),"")</x:f>
      </x:c>
      <x:c r="H6" s="15" t="str">
        <x:f>IF(AND(ISNUMBER(D6),ISNUMBER(E6)),IF(D6=0,"n.a.",ABS(E6-D6)/ABS(D6)),"")</x:f>
      </x:c>
      <x:c r="I6" s="2" t="str">
        <x:f>IF(COUNTA(A6)=0,"",IF(NOT(ISNUMBER('Status'!$B$6)),"Set tolerance",IF(COUNT(C6:E6)&lt;3,"Need 3 levels",IF(OR(C6=0,D6=0),"Use abs. Δ",IF(AND(ABS(D6-C6)/ABS(C6)&lt;='Status'!$B$6,H6&lt;='Status'!$B$6),"Yes","No")))))</x:f>
      </x:c>
      <x:c r="J6" s="14" t="str">
        <x:f>IF(OR(COUNTA($A6)=0,'Status'!$E$6=""),"",IF(COUNTIFS('Estimates'!$A$5:$A$2004,$A6,'Estimates'!$B$5:$B$2004,"PPS",'Estimates'!$D$5:$D$2004,'Status'!$E$6,'Estimates'!$E$5:$E$2004,'Status'!$E$7)=0,"",IF(COUNTIFS('Estimates'!$A$5:$A$2004,$A6,'Estimates'!$B$5:$B$2004,"PPS",'Estimates'!$D$5:$D$2004,'Status'!$E$6,'Estimates'!$E$5:$E$2004,'Status'!$E$7)&gt;1,"DUP",SUMIFS('Estimates'!$F$5:$F$2004,'Estimates'!$A$5:$A$2004,$A6,'Estimates'!$B$5:$B$2004,"PPS",'Estimates'!$D$5:$D$2004,'Status'!$E$6,'Estimates'!$E$5:$E$2004,'Status'!$E$7))))</x:f>
      </x:c>
      <x:c r="K6" s="14" t="str">
        <x:f>IF(OR(COUNTA($A6)=0,'Status'!$F$6=""),"",IF(COUNTIFS('Estimates'!$A$5:$A$2004,$A6,'Estimates'!$B$5:$B$2004,"PPS",'Estimates'!$D$5:$D$2004,'Status'!$F$6,'Estimates'!$E$5:$E$2004,'Status'!$E$7)=0,"",IF(COUNTIFS('Estimates'!$A$5:$A$2004,$A6,'Estimates'!$B$5:$B$2004,"PPS",'Estimates'!$D$5:$D$2004,'Status'!$F$6,'Estimates'!$E$5:$E$2004,'Status'!$E$7)&gt;1,"DUP",SUMIFS('Estimates'!$F$5:$F$2004,'Estimates'!$A$5:$A$2004,$A6,'Estimates'!$B$5:$B$2004,"PPS",'Estimates'!$D$5:$D$2004,'Status'!$F$6,'Estimates'!$E$5:$E$2004,'Status'!$E$7))))</x:f>
      </x:c>
      <x:c r="L6" s="14" t="str">
        <x:f>IF(OR(COUNTA($A6)=0,'Status'!$G$6=""),"",IF(COUNTIFS('Estimates'!$A$5:$A$2004,$A6,'Estimates'!$B$5:$B$2004,"PPS",'Estimates'!$D$5:$D$2004,'Status'!$G$6,'Estimates'!$E$5:$E$2004,'Status'!$E$7)=0,"",IF(COUNTIFS('Estimates'!$A$5:$A$2004,$A6,'Estimates'!$B$5:$B$2004,"PPS",'Estimates'!$D$5:$D$2004,'Status'!$G$6,'Estimates'!$E$5:$E$2004,'Status'!$E$7)&gt;1,"DUP",SUMIFS('Estimates'!$F$5:$F$2004,'Estimates'!$A$5:$A$2004,$A6,'Estimates'!$B$5:$B$2004,"PPS",'Estimates'!$D$5:$D$2004,'Status'!$G$6,'Estimates'!$E$5:$E$2004,'Status'!$E$7))))</x:f>
      </x:c>
      <x:c r="M6" s="14" t="str">
        <x:f>IF(COUNT(J6:L6)&lt;2,"",_xlfn.STDEV.S(J6:L6))</x:f>
      </x:c>
      <x:c r="N6" s="14" t="str">
        <x:f>IF(AND(ISNUMBER(K6),ISNUMBER(L6)),ABS(L6-K6),"")</x:f>
      </x:c>
      <x:c r="O6" s="15" t="str">
        <x:f>IF(AND(ISNUMBER(K6),ISNUMBER(L6)),IF(K6=0,"n.a.",ABS(L6-K6)/ABS(K6)),"")</x:f>
      </x:c>
      <x:c r="P6" s="2" t="str">
        <x:f>IF(COUNTA(A6)=0,"",IF(NOT(ISNUMBER('Status'!$B$6)),"Set tolerance",IF(COUNT(J6:L6)&lt;3,"Need 3 levels",IF(OR(J6=0,K6=0),"Use abs. Δ",IF(AND(ABS(K6-J6)/ABS(J6)&lt;='Status'!$B$6,O6&lt;='Status'!$B$6),"Yes","No")))))</x:f>
      </x:c>
      <x:c r="Q6" s="14" t="str">
        <x:f>IF(AND(ISNUMBER(E6),ISNUMBER(L6)),ABS(E6-L6),"")</x:f>
      </x:c>
      <x:c r="R6" s="2" t="str">
        <x:f>IF(COUNTA(A6)=0,"",IF(COUNT(C6:E6,J6:L6)&gt;0,1,0))</x:f>
      </x:c>
      <x:c r="S6" s="2" t="str">
        <x:f>IF(COUNTA(A6)=0,"",IF(COUNTIFS($A$6:$A$165,A6)&gt;1,"Duplicate target",""))</x:f>
      </x:c>
    </x:row>
    <x:row r="7">
      <x:c r="A7" s="6"/>
      <x:c r="B7" s="20"/>
      <x:c r="C7" s="14" t="str">
        <x:f>IF(OR(COUNTA($A7)=0,'Status'!$E$5=""),"",IF(COUNTIFS('Estimates'!$A$5:$A$2004,$A7,'Estimates'!$B$5:$B$2004,"MPS",'Estimates'!$C$5:$C$2004,'Status'!$E$5)=0,"",IF(COUNTIFS('Estimates'!$A$5:$A$2004,$A7,'Estimates'!$B$5:$B$2004,"MPS",'Estimates'!$C$5:$C$2004,'Status'!$E$5)&gt;1,"DUP",SUMIFS('Estimates'!$F$5:$F$2004,'Estimates'!$A$5:$A$2004,$A7,'Estimates'!$B$5:$B$2004,"MPS",'Estimates'!$C$5:$C$2004,'Status'!$E$5))))</x:f>
      </x:c>
      <x:c r="D7" s="14" t="str">
        <x:f>IF(OR(COUNTA($A7)=0,'Status'!$F$5=""),"",IF(COUNTIFS('Estimates'!$A$5:$A$2004,$A7,'Estimates'!$B$5:$B$2004,"MPS",'Estimates'!$C$5:$C$2004,'Status'!$F$5)=0,"",IF(COUNTIFS('Estimates'!$A$5:$A$2004,$A7,'Estimates'!$B$5:$B$2004,"MPS",'Estimates'!$C$5:$C$2004,'Status'!$F$5)&gt;1,"DUP",SUMIFS('Estimates'!$F$5:$F$2004,'Estimates'!$A$5:$A$2004,$A7,'Estimates'!$B$5:$B$2004,"MPS",'Estimates'!$C$5:$C$2004,'Status'!$F$5))))</x:f>
      </x:c>
      <x:c r="E7" s="14" t="str">
        <x:f>IF(OR(COUNTA($A7)=0,'Status'!$G$5=""),"",IF(COUNTIFS('Estimates'!$A$5:$A$2004,$A7,'Estimates'!$B$5:$B$2004,"MPS",'Estimates'!$C$5:$C$2004,'Status'!$G$5)=0,"",IF(COUNTIFS('Estimates'!$A$5:$A$2004,$A7,'Estimates'!$B$5:$B$2004,"MPS",'Estimates'!$C$5:$C$2004,'Status'!$G$5)&gt;1,"DUP",SUMIFS('Estimates'!$F$5:$F$2004,'Estimates'!$A$5:$A$2004,$A7,'Estimates'!$B$5:$B$2004,"MPS",'Estimates'!$C$5:$C$2004,'Status'!$G$5))))</x:f>
      </x:c>
      <x:c r="F7" s="14" t="str">
        <x:f>IF(COUNT(C7:E7)&lt;2,"",_xlfn.STDEV.S(C7:E7))</x:f>
      </x:c>
      <x:c r="G7" s="14" t="str">
        <x:f>IF(AND(ISNUMBER(D7),ISNUMBER(E7)),ABS(E7-D7),"")</x:f>
      </x:c>
      <x:c r="H7" s="15" t="str">
        <x:f>IF(AND(ISNUMBER(D7),ISNUMBER(E7)),IF(D7=0,"n.a.",ABS(E7-D7)/ABS(D7)),"")</x:f>
      </x:c>
      <x:c r="I7" s="2" t="str">
        <x:f>IF(COUNTA(A7)=0,"",IF(NOT(ISNUMBER('Status'!$B$6)),"Set tolerance",IF(COUNT(C7:E7)&lt;3,"Need 3 levels",IF(OR(C7=0,D7=0),"Use abs. Δ",IF(AND(ABS(D7-C7)/ABS(C7)&lt;='Status'!$B$6,H7&lt;='Status'!$B$6),"Yes","No")))))</x:f>
      </x:c>
      <x:c r="J7" s="14" t="str">
        <x:f>IF(OR(COUNTA($A7)=0,'Status'!$E$6=""),"",IF(COUNTIFS('Estimates'!$A$5:$A$2004,$A7,'Estimates'!$B$5:$B$2004,"PPS",'Estimates'!$D$5:$D$2004,'Status'!$E$6,'Estimates'!$E$5:$E$2004,'Status'!$E$7)=0,"",IF(COUNTIFS('Estimates'!$A$5:$A$2004,$A7,'Estimates'!$B$5:$B$2004,"PPS",'Estimates'!$D$5:$D$2004,'Status'!$E$6,'Estimates'!$E$5:$E$2004,'Status'!$E$7)&gt;1,"DUP",SUMIFS('Estimates'!$F$5:$F$2004,'Estimates'!$A$5:$A$2004,$A7,'Estimates'!$B$5:$B$2004,"PPS",'Estimates'!$D$5:$D$2004,'Status'!$E$6,'Estimates'!$E$5:$E$2004,'Status'!$E$7))))</x:f>
      </x:c>
      <x:c r="K7" s="14" t="str">
        <x:f>IF(OR(COUNTA($A7)=0,'Status'!$F$6=""),"",IF(COUNTIFS('Estimates'!$A$5:$A$2004,$A7,'Estimates'!$B$5:$B$2004,"PPS",'Estimates'!$D$5:$D$2004,'Status'!$F$6,'Estimates'!$E$5:$E$2004,'Status'!$E$7)=0,"",IF(COUNTIFS('Estimates'!$A$5:$A$2004,$A7,'Estimates'!$B$5:$B$2004,"PPS",'Estimates'!$D$5:$D$2004,'Status'!$F$6,'Estimates'!$E$5:$E$2004,'Status'!$E$7)&gt;1,"DUP",SUMIFS('Estimates'!$F$5:$F$2004,'Estimates'!$A$5:$A$2004,$A7,'Estimates'!$B$5:$B$2004,"PPS",'Estimates'!$D$5:$D$2004,'Status'!$F$6,'Estimates'!$E$5:$E$2004,'Status'!$E$7))))</x:f>
      </x:c>
      <x:c r="L7" s="14" t="str">
        <x:f>IF(OR(COUNTA($A7)=0,'Status'!$G$6=""),"",IF(COUNTIFS('Estimates'!$A$5:$A$2004,$A7,'Estimates'!$B$5:$B$2004,"PPS",'Estimates'!$D$5:$D$2004,'Status'!$G$6,'Estimates'!$E$5:$E$2004,'Status'!$E$7)=0,"",IF(COUNTIFS('Estimates'!$A$5:$A$2004,$A7,'Estimates'!$B$5:$B$2004,"PPS",'Estimates'!$D$5:$D$2004,'Status'!$G$6,'Estimates'!$E$5:$E$2004,'Status'!$E$7)&gt;1,"DUP",SUMIFS('Estimates'!$F$5:$F$2004,'Estimates'!$A$5:$A$2004,$A7,'Estimates'!$B$5:$B$2004,"PPS",'Estimates'!$D$5:$D$2004,'Status'!$G$6,'Estimates'!$E$5:$E$2004,'Status'!$E$7))))</x:f>
      </x:c>
      <x:c r="M7" s="14" t="str">
        <x:f>IF(COUNT(J7:L7)&lt;2,"",_xlfn.STDEV.S(J7:L7))</x:f>
      </x:c>
      <x:c r="N7" s="14" t="str">
        <x:f>IF(AND(ISNUMBER(K7),ISNUMBER(L7)),ABS(L7-K7),"")</x:f>
      </x:c>
      <x:c r="O7" s="15" t="str">
        <x:f>IF(AND(ISNUMBER(K7),ISNUMBER(L7)),IF(K7=0,"n.a.",ABS(L7-K7)/ABS(K7)),"")</x:f>
      </x:c>
      <x:c r="P7" s="2" t="str">
        <x:f>IF(COUNTA(A7)=0,"",IF(NOT(ISNUMBER('Status'!$B$6)),"Set tolerance",IF(COUNT(J7:L7)&lt;3,"Need 3 levels",IF(OR(J7=0,K7=0),"Use abs. Δ",IF(AND(ABS(K7-J7)/ABS(J7)&lt;='Status'!$B$6,O7&lt;='Status'!$B$6),"Yes","No")))))</x:f>
      </x:c>
      <x:c r="Q7" s="14" t="str">
        <x:f>IF(AND(ISNUMBER(E7),ISNUMBER(L7)),ABS(E7-L7),"")</x:f>
      </x:c>
      <x:c r="R7" s="2" t="str">
        <x:f>IF(COUNTA(A7)=0,"",IF(COUNT(C7:E7,J7:L7)&gt;0,1,0))</x:f>
      </x:c>
      <x:c r="S7" s="2" t="str">
        <x:f>IF(COUNTA(A7)=0,"",IF(COUNTIFS($A$6:$A$165,A7)&gt;1,"Duplicate target",""))</x:f>
      </x:c>
    </x:row>
    <x:row r="8">
      <x:c r="A8" s="6"/>
      <x:c r="B8" s="20"/>
      <x:c r="C8" s="14" t="str">
        <x:f>IF(OR(COUNTA($A8)=0,'Status'!$E$5=""),"",IF(COUNTIFS('Estimates'!$A$5:$A$2004,$A8,'Estimates'!$B$5:$B$2004,"MPS",'Estimates'!$C$5:$C$2004,'Status'!$E$5)=0,"",IF(COUNTIFS('Estimates'!$A$5:$A$2004,$A8,'Estimates'!$B$5:$B$2004,"MPS",'Estimates'!$C$5:$C$2004,'Status'!$E$5)&gt;1,"DUP",SUMIFS('Estimates'!$F$5:$F$2004,'Estimates'!$A$5:$A$2004,$A8,'Estimates'!$B$5:$B$2004,"MPS",'Estimates'!$C$5:$C$2004,'Status'!$E$5))))</x:f>
      </x:c>
      <x:c r="D8" s="14" t="str">
        <x:f>IF(OR(COUNTA($A8)=0,'Status'!$F$5=""),"",IF(COUNTIFS('Estimates'!$A$5:$A$2004,$A8,'Estimates'!$B$5:$B$2004,"MPS",'Estimates'!$C$5:$C$2004,'Status'!$F$5)=0,"",IF(COUNTIFS('Estimates'!$A$5:$A$2004,$A8,'Estimates'!$B$5:$B$2004,"MPS",'Estimates'!$C$5:$C$2004,'Status'!$F$5)&gt;1,"DUP",SUMIFS('Estimates'!$F$5:$F$2004,'Estimates'!$A$5:$A$2004,$A8,'Estimates'!$B$5:$B$2004,"MPS",'Estimates'!$C$5:$C$2004,'Status'!$F$5))))</x:f>
      </x:c>
      <x:c r="E8" s="14" t="str">
        <x:f>IF(OR(COUNTA($A8)=0,'Status'!$G$5=""),"",IF(COUNTIFS('Estimates'!$A$5:$A$2004,$A8,'Estimates'!$B$5:$B$2004,"MPS",'Estimates'!$C$5:$C$2004,'Status'!$G$5)=0,"",IF(COUNTIFS('Estimates'!$A$5:$A$2004,$A8,'Estimates'!$B$5:$B$2004,"MPS",'Estimates'!$C$5:$C$2004,'Status'!$G$5)&gt;1,"DUP",SUMIFS('Estimates'!$F$5:$F$2004,'Estimates'!$A$5:$A$2004,$A8,'Estimates'!$B$5:$B$2004,"MPS",'Estimates'!$C$5:$C$2004,'Status'!$G$5))))</x:f>
      </x:c>
      <x:c r="F8" s="14" t="str">
        <x:f>IF(COUNT(C8:E8)&lt;2,"",_xlfn.STDEV.S(C8:E8))</x:f>
      </x:c>
      <x:c r="G8" s="14" t="str">
        <x:f>IF(AND(ISNUMBER(D8),ISNUMBER(E8)),ABS(E8-D8),"")</x:f>
      </x:c>
      <x:c r="H8" s="15" t="str">
        <x:f>IF(AND(ISNUMBER(D8),ISNUMBER(E8)),IF(D8=0,"n.a.",ABS(E8-D8)/ABS(D8)),"")</x:f>
      </x:c>
      <x:c r="I8" s="2" t="str">
        <x:f>IF(COUNTA(A8)=0,"",IF(NOT(ISNUMBER('Status'!$B$6)),"Set tolerance",IF(COUNT(C8:E8)&lt;3,"Need 3 levels",IF(OR(C8=0,D8=0),"Use abs. Δ",IF(AND(ABS(D8-C8)/ABS(C8)&lt;='Status'!$B$6,H8&lt;='Status'!$B$6),"Yes","No")))))</x:f>
      </x:c>
      <x:c r="J8" s="14" t="str">
        <x:f>IF(OR(COUNTA($A8)=0,'Status'!$E$6=""),"",IF(COUNTIFS('Estimates'!$A$5:$A$2004,$A8,'Estimates'!$B$5:$B$2004,"PPS",'Estimates'!$D$5:$D$2004,'Status'!$E$6,'Estimates'!$E$5:$E$2004,'Status'!$E$7)=0,"",IF(COUNTIFS('Estimates'!$A$5:$A$2004,$A8,'Estimates'!$B$5:$B$2004,"PPS",'Estimates'!$D$5:$D$2004,'Status'!$E$6,'Estimates'!$E$5:$E$2004,'Status'!$E$7)&gt;1,"DUP",SUMIFS('Estimates'!$F$5:$F$2004,'Estimates'!$A$5:$A$2004,$A8,'Estimates'!$B$5:$B$2004,"PPS",'Estimates'!$D$5:$D$2004,'Status'!$E$6,'Estimates'!$E$5:$E$2004,'Status'!$E$7))))</x:f>
      </x:c>
      <x:c r="K8" s="14" t="str">
        <x:f>IF(OR(COUNTA($A8)=0,'Status'!$F$6=""),"",IF(COUNTIFS('Estimates'!$A$5:$A$2004,$A8,'Estimates'!$B$5:$B$2004,"PPS",'Estimates'!$D$5:$D$2004,'Status'!$F$6,'Estimates'!$E$5:$E$2004,'Status'!$E$7)=0,"",IF(COUNTIFS('Estimates'!$A$5:$A$2004,$A8,'Estimates'!$B$5:$B$2004,"PPS",'Estimates'!$D$5:$D$2004,'Status'!$F$6,'Estimates'!$E$5:$E$2004,'Status'!$E$7)&gt;1,"DUP",SUMIFS('Estimates'!$F$5:$F$2004,'Estimates'!$A$5:$A$2004,$A8,'Estimates'!$B$5:$B$2004,"PPS",'Estimates'!$D$5:$D$2004,'Status'!$F$6,'Estimates'!$E$5:$E$2004,'Status'!$E$7))))</x:f>
      </x:c>
      <x:c r="L8" s="14" t="str">
        <x:f>IF(OR(COUNTA($A8)=0,'Status'!$G$6=""),"",IF(COUNTIFS('Estimates'!$A$5:$A$2004,$A8,'Estimates'!$B$5:$B$2004,"PPS",'Estimates'!$D$5:$D$2004,'Status'!$G$6,'Estimates'!$E$5:$E$2004,'Status'!$E$7)=0,"",IF(COUNTIFS('Estimates'!$A$5:$A$2004,$A8,'Estimates'!$B$5:$B$2004,"PPS",'Estimates'!$D$5:$D$2004,'Status'!$G$6,'Estimates'!$E$5:$E$2004,'Status'!$E$7)&gt;1,"DUP",SUMIFS('Estimates'!$F$5:$F$2004,'Estimates'!$A$5:$A$2004,$A8,'Estimates'!$B$5:$B$2004,"PPS",'Estimates'!$D$5:$D$2004,'Status'!$G$6,'Estimates'!$E$5:$E$2004,'Status'!$E$7))))</x:f>
      </x:c>
      <x:c r="M8" s="14" t="str">
        <x:f>IF(COUNT(J8:L8)&lt;2,"",_xlfn.STDEV.S(J8:L8))</x:f>
      </x:c>
      <x:c r="N8" s="14" t="str">
        <x:f>IF(AND(ISNUMBER(K8),ISNUMBER(L8)),ABS(L8-K8),"")</x:f>
      </x:c>
      <x:c r="O8" s="15" t="str">
        <x:f>IF(AND(ISNUMBER(K8),ISNUMBER(L8)),IF(K8=0,"n.a.",ABS(L8-K8)/ABS(K8)),"")</x:f>
      </x:c>
      <x:c r="P8" s="2" t="str">
        <x:f>IF(COUNTA(A8)=0,"",IF(NOT(ISNUMBER('Status'!$B$6)),"Set tolerance",IF(COUNT(J8:L8)&lt;3,"Need 3 levels",IF(OR(J8=0,K8=0),"Use abs. Δ",IF(AND(ABS(K8-J8)/ABS(J8)&lt;='Status'!$B$6,O8&lt;='Status'!$B$6),"Yes","No")))))</x:f>
      </x:c>
      <x:c r="Q8" s="14" t="str">
        <x:f>IF(AND(ISNUMBER(E8),ISNUMBER(L8)),ABS(E8-L8),"")</x:f>
      </x:c>
      <x:c r="R8" s="2" t="str">
        <x:f>IF(COUNTA(A8)=0,"",IF(COUNT(C8:E8,J8:L8)&gt;0,1,0))</x:f>
      </x:c>
      <x:c r="S8" s="2" t="str">
        <x:f>IF(COUNTA(A8)=0,"",IF(COUNTIFS($A$6:$A$165,A8)&gt;1,"Duplicate target",""))</x:f>
      </x:c>
    </x:row>
    <x:row r="9">
      <x:c r="A9" s="6"/>
      <x:c r="B9" s="20"/>
      <x:c r="C9" s="14" t="str">
        <x:f>IF(OR(COUNTA($A9)=0,'Status'!$E$5=""),"",IF(COUNTIFS('Estimates'!$A$5:$A$2004,$A9,'Estimates'!$B$5:$B$2004,"MPS",'Estimates'!$C$5:$C$2004,'Status'!$E$5)=0,"",IF(COUNTIFS('Estimates'!$A$5:$A$2004,$A9,'Estimates'!$B$5:$B$2004,"MPS",'Estimates'!$C$5:$C$2004,'Status'!$E$5)&gt;1,"DUP",SUMIFS('Estimates'!$F$5:$F$2004,'Estimates'!$A$5:$A$2004,$A9,'Estimates'!$B$5:$B$2004,"MPS",'Estimates'!$C$5:$C$2004,'Status'!$E$5))))</x:f>
      </x:c>
      <x:c r="D9" s="14" t="str">
        <x:f>IF(OR(COUNTA($A9)=0,'Status'!$F$5=""),"",IF(COUNTIFS('Estimates'!$A$5:$A$2004,$A9,'Estimates'!$B$5:$B$2004,"MPS",'Estimates'!$C$5:$C$2004,'Status'!$F$5)=0,"",IF(COUNTIFS('Estimates'!$A$5:$A$2004,$A9,'Estimates'!$B$5:$B$2004,"MPS",'Estimates'!$C$5:$C$2004,'Status'!$F$5)&gt;1,"DUP",SUMIFS('Estimates'!$F$5:$F$2004,'Estimates'!$A$5:$A$2004,$A9,'Estimates'!$B$5:$B$2004,"MPS",'Estimates'!$C$5:$C$2004,'Status'!$F$5))))</x:f>
      </x:c>
      <x:c r="E9" s="14" t="str">
        <x:f>IF(OR(COUNTA($A9)=0,'Status'!$G$5=""),"",IF(COUNTIFS('Estimates'!$A$5:$A$2004,$A9,'Estimates'!$B$5:$B$2004,"MPS",'Estimates'!$C$5:$C$2004,'Status'!$G$5)=0,"",IF(COUNTIFS('Estimates'!$A$5:$A$2004,$A9,'Estimates'!$B$5:$B$2004,"MPS",'Estimates'!$C$5:$C$2004,'Status'!$G$5)&gt;1,"DUP",SUMIFS('Estimates'!$F$5:$F$2004,'Estimates'!$A$5:$A$2004,$A9,'Estimates'!$B$5:$B$2004,"MPS",'Estimates'!$C$5:$C$2004,'Status'!$G$5))))</x:f>
      </x:c>
      <x:c r="F9" s="14" t="str">
        <x:f>IF(COUNT(C9:E9)&lt;2,"",_xlfn.STDEV.S(C9:E9))</x:f>
      </x:c>
      <x:c r="G9" s="14" t="str">
        <x:f>IF(AND(ISNUMBER(D9),ISNUMBER(E9)),ABS(E9-D9),"")</x:f>
      </x:c>
      <x:c r="H9" s="15" t="str">
        <x:f>IF(AND(ISNUMBER(D9),ISNUMBER(E9)),IF(D9=0,"n.a.",ABS(E9-D9)/ABS(D9)),"")</x:f>
      </x:c>
      <x:c r="I9" s="2" t="str">
        <x:f>IF(COUNTA(A9)=0,"",IF(NOT(ISNUMBER('Status'!$B$6)),"Set tolerance",IF(COUNT(C9:E9)&lt;3,"Need 3 levels",IF(OR(C9=0,D9=0),"Use abs. Δ",IF(AND(ABS(D9-C9)/ABS(C9)&lt;='Status'!$B$6,H9&lt;='Status'!$B$6),"Yes","No")))))</x:f>
      </x:c>
      <x:c r="J9" s="14" t="str">
        <x:f>IF(OR(COUNTA($A9)=0,'Status'!$E$6=""),"",IF(COUNTIFS('Estimates'!$A$5:$A$2004,$A9,'Estimates'!$B$5:$B$2004,"PPS",'Estimates'!$D$5:$D$2004,'Status'!$E$6,'Estimates'!$E$5:$E$2004,'Status'!$E$7)=0,"",IF(COUNTIFS('Estimates'!$A$5:$A$2004,$A9,'Estimates'!$B$5:$B$2004,"PPS",'Estimates'!$D$5:$D$2004,'Status'!$E$6,'Estimates'!$E$5:$E$2004,'Status'!$E$7)&gt;1,"DUP",SUMIFS('Estimates'!$F$5:$F$2004,'Estimates'!$A$5:$A$2004,$A9,'Estimates'!$B$5:$B$2004,"PPS",'Estimates'!$D$5:$D$2004,'Status'!$E$6,'Estimates'!$E$5:$E$2004,'Status'!$E$7))))</x:f>
      </x:c>
      <x:c r="K9" s="14" t="str">
        <x:f>IF(OR(COUNTA($A9)=0,'Status'!$F$6=""),"",IF(COUNTIFS('Estimates'!$A$5:$A$2004,$A9,'Estimates'!$B$5:$B$2004,"PPS",'Estimates'!$D$5:$D$2004,'Status'!$F$6,'Estimates'!$E$5:$E$2004,'Status'!$E$7)=0,"",IF(COUNTIFS('Estimates'!$A$5:$A$2004,$A9,'Estimates'!$B$5:$B$2004,"PPS",'Estimates'!$D$5:$D$2004,'Status'!$F$6,'Estimates'!$E$5:$E$2004,'Status'!$E$7)&gt;1,"DUP",SUMIFS('Estimates'!$F$5:$F$2004,'Estimates'!$A$5:$A$2004,$A9,'Estimates'!$B$5:$B$2004,"PPS",'Estimates'!$D$5:$D$2004,'Status'!$F$6,'Estimates'!$E$5:$E$2004,'Status'!$E$7))))</x:f>
      </x:c>
      <x:c r="L9" s="14" t="str">
        <x:f>IF(OR(COUNTA($A9)=0,'Status'!$G$6=""),"",IF(COUNTIFS('Estimates'!$A$5:$A$2004,$A9,'Estimates'!$B$5:$B$2004,"PPS",'Estimates'!$D$5:$D$2004,'Status'!$G$6,'Estimates'!$E$5:$E$2004,'Status'!$E$7)=0,"",IF(COUNTIFS('Estimates'!$A$5:$A$2004,$A9,'Estimates'!$B$5:$B$2004,"PPS",'Estimates'!$D$5:$D$2004,'Status'!$G$6,'Estimates'!$E$5:$E$2004,'Status'!$E$7)&gt;1,"DUP",SUMIFS('Estimates'!$F$5:$F$2004,'Estimates'!$A$5:$A$2004,$A9,'Estimates'!$B$5:$B$2004,"PPS",'Estimates'!$D$5:$D$2004,'Status'!$G$6,'Estimates'!$E$5:$E$2004,'Status'!$E$7))))</x:f>
      </x:c>
      <x:c r="M9" s="14" t="str">
        <x:f>IF(COUNT(J9:L9)&lt;2,"",_xlfn.STDEV.S(J9:L9))</x:f>
      </x:c>
      <x:c r="N9" s="14" t="str">
        <x:f>IF(AND(ISNUMBER(K9),ISNUMBER(L9)),ABS(L9-K9),"")</x:f>
      </x:c>
      <x:c r="O9" s="15" t="str">
        <x:f>IF(AND(ISNUMBER(K9),ISNUMBER(L9)),IF(K9=0,"n.a.",ABS(L9-K9)/ABS(K9)),"")</x:f>
      </x:c>
      <x:c r="P9" s="2" t="str">
        <x:f>IF(COUNTA(A9)=0,"",IF(NOT(ISNUMBER('Status'!$B$6)),"Set tolerance",IF(COUNT(J9:L9)&lt;3,"Need 3 levels",IF(OR(J9=0,K9=0),"Use abs. Δ",IF(AND(ABS(K9-J9)/ABS(J9)&lt;='Status'!$B$6,O9&lt;='Status'!$B$6),"Yes","No")))))</x:f>
      </x:c>
      <x:c r="Q9" s="14" t="str">
        <x:f>IF(AND(ISNUMBER(E9),ISNUMBER(L9)),ABS(E9-L9),"")</x:f>
      </x:c>
      <x:c r="R9" s="2" t="str">
        <x:f>IF(COUNTA(A9)=0,"",IF(COUNT(C9:E9,J9:L9)&gt;0,1,0))</x:f>
      </x:c>
      <x:c r="S9" s="2" t="str">
        <x:f>IF(COUNTA(A9)=0,"",IF(COUNTIFS($A$6:$A$165,A9)&gt;1,"Duplicate target",""))</x:f>
      </x:c>
    </x:row>
    <x:row r="10">
      <x:c r="A10" s="6"/>
      <x:c r="B10" s="20"/>
      <x:c r="C10" s="14" t="str">
        <x:f>IF(OR(COUNTA($A10)=0,'Status'!$E$5=""),"",IF(COUNTIFS('Estimates'!$A$5:$A$2004,$A10,'Estimates'!$B$5:$B$2004,"MPS",'Estimates'!$C$5:$C$2004,'Status'!$E$5)=0,"",IF(COUNTIFS('Estimates'!$A$5:$A$2004,$A10,'Estimates'!$B$5:$B$2004,"MPS",'Estimates'!$C$5:$C$2004,'Status'!$E$5)&gt;1,"DUP",SUMIFS('Estimates'!$F$5:$F$2004,'Estimates'!$A$5:$A$2004,$A10,'Estimates'!$B$5:$B$2004,"MPS",'Estimates'!$C$5:$C$2004,'Status'!$E$5))))</x:f>
      </x:c>
      <x:c r="D10" s="14" t="str">
        <x:f>IF(OR(COUNTA($A10)=0,'Status'!$F$5=""),"",IF(COUNTIFS('Estimates'!$A$5:$A$2004,$A10,'Estimates'!$B$5:$B$2004,"MPS",'Estimates'!$C$5:$C$2004,'Status'!$F$5)=0,"",IF(COUNTIFS('Estimates'!$A$5:$A$2004,$A10,'Estimates'!$B$5:$B$2004,"MPS",'Estimates'!$C$5:$C$2004,'Status'!$F$5)&gt;1,"DUP",SUMIFS('Estimates'!$F$5:$F$2004,'Estimates'!$A$5:$A$2004,$A10,'Estimates'!$B$5:$B$2004,"MPS",'Estimates'!$C$5:$C$2004,'Status'!$F$5))))</x:f>
      </x:c>
      <x:c r="E10" s="14" t="str">
        <x:f>IF(OR(COUNTA($A10)=0,'Status'!$G$5=""),"",IF(COUNTIFS('Estimates'!$A$5:$A$2004,$A10,'Estimates'!$B$5:$B$2004,"MPS",'Estimates'!$C$5:$C$2004,'Status'!$G$5)=0,"",IF(COUNTIFS('Estimates'!$A$5:$A$2004,$A10,'Estimates'!$B$5:$B$2004,"MPS",'Estimates'!$C$5:$C$2004,'Status'!$G$5)&gt;1,"DUP",SUMIFS('Estimates'!$F$5:$F$2004,'Estimates'!$A$5:$A$2004,$A10,'Estimates'!$B$5:$B$2004,"MPS",'Estimates'!$C$5:$C$2004,'Status'!$G$5))))</x:f>
      </x:c>
      <x:c r="F10" s="14" t="str">
        <x:f>IF(COUNT(C10:E10)&lt;2,"",_xlfn.STDEV.S(C10:E10))</x:f>
      </x:c>
      <x:c r="G10" s="14" t="str">
        <x:f>IF(AND(ISNUMBER(D10),ISNUMBER(E10)),ABS(E10-D10),"")</x:f>
      </x:c>
      <x:c r="H10" s="15" t="str">
        <x:f>IF(AND(ISNUMBER(D10),ISNUMBER(E10)),IF(D10=0,"n.a.",ABS(E10-D10)/ABS(D10)),"")</x:f>
      </x:c>
      <x:c r="I10" s="2" t="str">
        <x:f>IF(COUNTA(A10)=0,"",IF(NOT(ISNUMBER('Status'!$B$6)),"Set tolerance",IF(COUNT(C10:E10)&lt;3,"Need 3 levels",IF(OR(C10=0,D10=0),"Use abs. Δ",IF(AND(ABS(D10-C10)/ABS(C10)&lt;='Status'!$B$6,H10&lt;='Status'!$B$6),"Yes","No")))))</x:f>
      </x:c>
      <x:c r="J10" s="14" t="str">
        <x:f>IF(OR(COUNTA($A10)=0,'Status'!$E$6=""),"",IF(COUNTIFS('Estimates'!$A$5:$A$2004,$A10,'Estimates'!$B$5:$B$2004,"PPS",'Estimates'!$D$5:$D$2004,'Status'!$E$6,'Estimates'!$E$5:$E$2004,'Status'!$E$7)=0,"",IF(COUNTIFS('Estimates'!$A$5:$A$2004,$A10,'Estimates'!$B$5:$B$2004,"PPS",'Estimates'!$D$5:$D$2004,'Status'!$E$6,'Estimates'!$E$5:$E$2004,'Status'!$E$7)&gt;1,"DUP",SUMIFS('Estimates'!$F$5:$F$2004,'Estimates'!$A$5:$A$2004,$A10,'Estimates'!$B$5:$B$2004,"PPS",'Estimates'!$D$5:$D$2004,'Status'!$E$6,'Estimates'!$E$5:$E$2004,'Status'!$E$7))))</x:f>
      </x:c>
      <x:c r="K10" s="14" t="str">
        <x:f>IF(OR(COUNTA($A10)=0,'Status'!$F$6=""),"",IF(COUNTIFS('Estimates'!$A$5:$A$2004,$A10,'Estimates'!$B$5:$B$2004,"PPS",'Estimates'!$D$5:$D$2004,'Status'!$F$6,'Estimates'!$E$5:$E$2004,'Status'!$E$7)=0,"",IF(COUNTIFS('Estimates'!$A$5:$A$2004,$A10,'Estimates'!$B$5:$B$2004,"PPS",'Estimates'!$D$5:$D$2004,'Status'!$F$6,'Estimates'!$E$5:$E$2004,'Status'!$E$7)&gt;1,"DUP",SUMIFS('Estimates'!$F$5:$F$2004,'Estimates'!$A$5:$A$2004,$A10,'Estimates'!$B$5:$B$2004,"PPS",'Estimates'!$D$5:$D$2004,'Status'!$F$6,'Estimates'!$E$5:$E$2004,'Status'!$E$7))))</x:f>
      </x:c>
      <x:c r="L10" s="14" t="str">
        <x:f>IF(OR(COUNTA($A10)=0,'Status'!$G$6=""),"",IF(COUNTIFS('Estimates'!$A$5:$A$2004,$A10,'Estimates'!$B$5:$B$2004,"PPS",'Estimates'!$D$5:$D$2004,'Status'!$G$6,'Estimates'!$E$5:$E$2004,'Status'!$E$7)=0,"",IF(COUNTIFS('Estimates'!$A$5:$A$2004,$A10,'Estimates'!$B$5:$B$2004,"PPS",'Estimates'!$D$5:$D$2004,'Status'!$G$6,'Estimates'!$E$5:$E$2004,'Status'!$E$7)&gt;1,"DUP",SUMIFS('Estimates'!$F$5:$F$2004,'Estimates'!$A$5:$A$2004,$A10,'Estimates'!$B$5:$B$2004,"PPS",'Estimates'!$D$5:$D$2004,'Status'!$G$6,'Estimates'!$E$5:$E$2004,'Status'!$E$7))))</x:f>
      </x:c>
      <x:c r="M10" s="14" t="str">
        <x:f>IF(COUNT(J10:L10)&lt;2,"",_xlfn.STDEV.S(J10:L10))</x:f>
      </x:c>
      <x:c r="N10" s="14" t="str">
        <x:f>IF(AND(ISNUMBER(K10),ISNUMBER(L10)),ABS(L10-K10),"")</x:f>
      </x:c>
      <x:c r="O10" s="15" t="str">
        <x:f>IF(AND(ISNUMBER(K10),ISNUMBER(L10)),IF(K10=0,"n.a.",ABS(L10-K10)/ABS(K10)),"")</x:f>
      </x:c>
      <x:c r="P10" s="2" t="str">
        <x:f>IF(COUNTA(A10)=0,"",IF(NOT(ISNUMBER('Status'!$B$6)),"Set tolerance",IF(COUNT(J10:L10)&lt;3,"Need 3 levels",IF(OR(J10=0,K10=0),"Use abs. Δ",IF(AND(ABS(K10-J10)/ABS(J10)&lt;='Status'!$B$6,O10&lt;='Status'!$B$6),"Yes","No")))))</x:f>
      </x:c>
      <x:c r="Q10" s="14" t="str">
        <x:f>IF(AND(ISNUMBER(E10),ISNUMBER(L10)),ABS(E10-L10),"")</x:f>
      </x:c>
      <x:c r="R10" s="2" t="str">
        <x:f>IF(COUNTA(A10)=0,"",IF(COUNT(C10:E10,J10:L10)&gt;0,1,0))</x:f>
      </x:c>
      <x:c r="S10" s="2" t="str">
        <x:f>IF(COUNTA(A10)=0,"",IF(COUNTIFS($A$6:$A$165,A10)&gt;1,"Duplicate target",""))</x:f>
      </x:c>
    </x:row>
    <x:row r="11">
      <x:c r="A11" s="6"/>
      <x:c r="B11" s="20"/>
      <x:c r="C11" s="14" t="str">
        <x:f>IF(OR(COUNTA($A11)=0,'Status'!$E$5=""),"",IF(COUNTIFS('Estimates'!$A$5:$A$2004,$A11,'Estimates'!$B$5:$B$2004,"MPS",'Estimates'!$C$5:$C$2004,'Status'!$E$5)=0,"",IF(COUNTIFS('Estimates'!$A$5:$A$2004,$A11,'Estimates'!$B$5:$B$2004,"MPS",'Estimates'!$C$5:$C$2004,'Status'!$E$5)&gt;1,"DUP",SUMIFS('Estimates'!$F$5:$F$2004,'Estimates'!$A$5:$A$2004,$A11,'Estimates'!$B$5:$B$2004,"MPS",'Estimates'!$C$5:$C$2004,'Status'!$E$5))))</x:f>
      </x:c>
      <x:c r="D11" s="14" t="str">
        <x:f>IF(OR(COUNTA($A11)=0,'Status'!$F$5=""),"",IF(COUNTIFS('Estimates'!$A$5:$A$2004,$A11,'Estimates'!$B$5:$B$2004,"MPS",'Estimates'!$C$5:$C$2004,'Status'!$F$5)=0,"",IF(COUNTIFS('Estimates'!$A$5:$A$2004,$A11,'Estimates'!$B$5:$B$2004,"MPS",'Estimates'!$C$5:$C$2004,'Status'!$F$5)&gt;1,"DUP",SUMIFS('Estimates'!$F$5:$F$2004,'Estimates'!$A$5:$A$2004,$A11,'Estimates'!$B$5:$B$2004,"MPS",'Estimates'!$C$5:$C$2004,'Status'!$F$5))))</x:f>
      </x:c>
      <x:c r="E11" s="14" t="str">
        <x:f>IF(OR(COUNTA($A11)=0,'Status'!$G$5=""),"",IF(COUNTIFS('Estimates'!$A$5:$A$2004,$A11,'Estimates'!$B$5:$B$2004,"MPS",'Estimates'!$C$5:$C$2004,'Status'!$G$5)=0,"",IF(COUNTIFS('Estimates'!$A$5:$A$2004,$A11,'Estimates'!$B$5:$B$2004,"MPS",'Estimates'!$C$5:$C$2004,'Status'!$G$5)&gt;1,"DUP",SUMIFS('Estimates'!$F$5:$F$2004,'Estimates'!$A$5:$A$2004,$A11,'Estimates'!$B$5:$B$2004,"MPS",'Estimates'!$C$5:$C$2004,'Status'!$G$5))))</x:f>
      </x:c>
      <x:c r="F11" s="14" t="str">
        <x:f>IF(COUNT(C11:E11)&lt;2,"",_xlfn.STDEV.S(C11:E11))</x:f>
      </x:c>
      <x:c r="G11" s="14" t="str">
        <x:f>IF(AND(ISNUMBER(D11),ISNUMBER(E11)),ABS(E11-D11),"")</x:f>
      </x:c>
      <x:c r="H11" s="15" t="str">
        <x:f>IF(AND(ISNUMBER(D11),ISNUMBER(E11)),IF(D11=0,"n.a.",ABS(E11-D11)/ABS(D11)),"")</x:f>
      </x:c>
      <x:c r="I11" s="2" t="str">
        <x:f>IF(COUNTA(A11)=0,"",IF(NOT(ISNUMBER('Status'!$B$6)),"Set tolerance",IF(COUNT(C11:E11)&lt;3,"Need 3 levels",IF(OR(C11=0,D11=0),"Use abs. Δ",IF(AND(ABS(D11-C11)/ABS(C11)&lt;='Status'!$B$6,H11&lt;='Status'!$B$6),"Yes","No")))))</x:f>
      </x:c>
      <x:c r="J11" s="14" t="str">
        <x:f>IF(OR(COUNTA($A11)=0,'Status'!$E$6=""),"",IF(COUNTIFS('Estimates'!$A$5:$A$2004,$A11,'Estimates'!$B$5:$B$2004,"PPS",'Estimates'!$D$5:$D$2004,'Status'!$E$6,'Estimates'!$E$5:$E$2004,'Status'!$E$7)=0,"",IF(COUNTIFS('Estimates'!$A$5:$A$2004,$A11,'Estimates'!$B$5:$B$2004,"PPS",'Estimates'!$D$5:$D$2004,'Status'!$E$6,'Estimates'!$E$5:$E$2004,'Status'!$E$7)&gt;1,"DUP",SUMIFS('Estimates'!$F$5:$F$2004,'Estimates'!$A$5:$A$2004,$A11,'Estimates'!$B$5:$B$2004,"PPS",'Estimates'!$D$5:$D$2004,'Status'!$E$6,'Estimates'!$E$5:$E$2004,'Status'!$E$7))))</x:f>
      </x:c>
      <x:c r="K11" s="14" t="str">
        <x:f>IF(OR(COUNTA($A11)=0,'Status'!$F$6=""),"",IF(COUNTIFS('Estimates'!$A$5:$A$2004,$A11,'Estimates'!$B$5:$B$2004,"PPS",'Estimates'!$D$5:$D$2004,'Status'!$F$6,'Estimates'!$E$5:$E$2004,'Status'!$E$7)=0,"",IF(COUNTIFS('Estimates'!$A$5:$A$2004,$A11,'Estimates'!$B$5:$B$2004,"PPS",'Estimates'!$D$5:$D$2004,'Status'!$F$6,'Estimates'!$E$5:$E$2004,'Status'!$E$7)&gt;1,"DUP",SUMIFS('Estimates'!$F$5:$F$2004,'Estimates'!$A$5:$A$2004,$A11,'Estimates'!$B$5:$B$2004,"PPS",'Estimates'!$D$5:$D$2004,'Status'!$F$6,'Estimates'!$E$5:$E$2004,'Status'!$E$7))))</x:f>
      </x:c>
      <x:c r="L11" s="14" t="str">
        <x:f>IF(OR(COUNTA($A11)=0,'Status'!$G$6=""),"",IF(COUNTIFS('Estimates'!$A$5:$A$2004,$A11,'Estimates'!$B$5:$B$2004,"PPS",'Estimates'!$D$5:$D$2004,'Status'!$G$6,'Estimates'!$E$5:$E$2004,'Status'!$E$7)=0,"",IF(COUNTIFS('Estimates'!$A$5:$A$2004,$A11,'Estimates'!$B$5:$B$2004,"PPS",'Estimates'!$D$5:$D$2004,'Status'!$G$6,'Estimates'!$E$5:$E$2004,'Status'!$E$7)&gt;1,"DUP",SUMIFS('Estimates'!$F$5:$F$2004,'Estimates'!$A$5:$A$2004,$A11,'Estimates'!$B$5:$B$2004,"PPS",'Estimates'!$D$5:$D$2004,'Status'!$G$6,'Estimates'!$E$5:$E$2004,'Status'!$E$7))))</x:f>
      </x:c>
      <x:c r="M11" s="14" t="str">
        <x:f>IF(COUNT(J11:L11)&lt;2,"",_xlfn.STDEV.S(J11:L11))</x:f>
      </x:c>
      <x:c r="N11" s="14" t="str">
        <x:f>IF(AND(ISNUMBER(K11),ISNUMBER(L11)),ABS(L11-K11),"")</x:f>
      </x:c>
      <x:c r="O11" s="15" t="str">
        <x:f>IF(AND(ISNUMBER(K11),ISNUMBER(L11)),IF(K11=0,"n.a.",ABS(L11-K11)/ABS(K11)),"")</x:f>
      </x:c>
      <x:c r="P11" s="2" t="str">
        <x:f>IF(COUNTA(A11)=0,"",IF(NOT(ISNUMBER('Status'!$B$6)),"Set tolerance",IF(COUNT(J11:L11)&lt;3,"Need 3 levels",IF(OR(J11=0,K11=0),"Use abs. Δ",IF(AND(ABS(K11-J11)/ABS(J11)&lt;='Status'!$B$6,O11&lt;='Status'!$B$6),"Yes","No")))))</x:f>
      </x:c>
      <x:c r="Q11" s="14" t="str">
        <x:f>IF(AND(ISNUMBER(E11),ISNUMBER(L11)),ABS(E11-L11),"")</x:f>
      </x:c>
      <x:c r="R11" s="2" t="str">
        <x:f>IF(COUNTA(A11)=0,"",IF(COUNT(C11:E11,J11:L11)&gt;0,1,0))</x:f>
      </x:c>
      <x:c r="S11" s="2" t="str">
        <x:f>IF(COUNTA(A11)=0,"",IF(COUNTIFS($A$6:$A$165,A11)&gt;1,"Duplicate target",""))</x:f>
      </x:c>
    </x:row>
    <x:row r="12">
      <x:c r="A12" s="6"/>
      <x:c r="B12" s="20"/>
      <x:c r="C12" s="14" t="str">
        <x:f>IF(OR(COUNTA($A12)=0,'Status'!$E$5=""),"",IF(COUNTIFS('Estimates'!$A$5:$A$2004,$A12,'Estimates'!$B$5:$B$2004,"MPS",'Estimates'!$C$5:$C$2004,'Status'!$E$5)=0,"",IF(COUNTIFS('Estimates'!$A$5:$A$2004,$A12,'Estimates'!$B$5:$B$2004,"MPS",'Estimates'!$C$5:$C$2004,'Status'!$E$5)&gt;1,"DUP",SUMIFS('Estimates'!$F$5:$F$2004,'Estimates'!$A$5:$A$2004,$A12,'Estimates'!$B$5:$B$2004,"MPS",'Estimates'!$C$5:$C$2004,'Status'!$E$5))))</x:f>
      </x:c>
      <x:c r="D12" s="14" t="str">
        <x:f>IF(OR(COUNTA($A12)=0,'Status'!$F$5=""),"",IF(COUNTIFS('Estimates'!$A$5:$A$2004,$A12,'Estimates'!$B$5:$B$2004,"MPS",'Estimates'!$C$5:$C$2004,'Status'!$F$5)=0,"",IF(COUNTIFS('Estimates'!$A$5:$A$2004,$A12,'Estimates'!$B$5:$B$2004,"MPS",'Estimates'!$C$5:$C$2004,'Status'!$F$5)&gt;1,"DUP",SUMIFS('Estimates'!$F$5:$F$2004,'Estimates'!$A$5:$A$2004,$A12,'Estimates'!$B$5:$B$2004,"MPS",'Estimates'!$C$5:$C$2004,'Status'!$F$5))))</x:f>
      </x:c>
      <x:c r="E12" s="14" t="str">
        <x:f>IF(OR(COUNTA($A12)=0,'Status'!$G$5=""),"",IF(COUNTIFS('Estimates'!$A$5:$A$2004,$A12,'Estimates'!$B$5:$B$2004,"MPS",'Estimates'!$C$5:$C$2004,'Status'!$G$5)=0,"",IF(COUNTIFS('Estimates'!$A$5:$A$2004,$A12,'Estimates'!$B$5:$B$2004,"MPS",'Estimates'!$C$5:$C$2004,'Status'!$G$5)&gt;1,"DUP",SUMIFS('Estimates'!$F$5:$F$2004,'Estimates'!$A$5:$A$2004,$A12,'Estimates'!$B$5:$B$2004,"MPS",'Estimates'!$C$5:$C$2004,'Status'!$G$5))))</x:f>
      </x:c>
      <x:c r="F12" s="14" t="str">
        <x:f>IF(COUNT(C12:E12)&lt;2,"",_xlfn.STDEV.S(C12:E12))</x:f>
      </x:c>
      <x:c r="G12" s="14" t="str">
        <x:f>IF(AND(ISNUMBER(D12),ISNUMBER(E12)),ABS(E12-D12),"")</x:f>
      </x:c>
      <x:c r="H12" s="15" t="str">
        <x:f>IF(AND(ISNUMBER(D12),ISNUMBER(E12)),IF(D12=0,"n.a.",ABS(E12-D12)/ABS(D12)),"")</x:f>
      </x:c>
      <x:c r="I12" s="2" t="str">
        <x:f>IF(COUNTA(A12)=0,"",IF(NOT(ISNUMBER('Status'!$B$6)),"Set tolerance",IF(COUNT(C12:E12)&lt;3,"Need 3 levels",IF(OR(C12=0,D12=0),"Use abs. Δ",IF(AND(ABS(D12-C12)/ABS(C12)&lt;='Status'!$B$6,H12&lt;='Status'!$B$6),"Yes","No")))))</x:f>
      </x:c>
      <x:c r="J12" s="14" t="str">
        <x:f>IF(OR(COUNTA($A12)=0,'Status'!$E$6=""),"",IF(COUNTIFS('Estimates'!$A$5:$A$2004,$A12,'Estimates'!$B$5:$B$2004,"PPS",'Estimates'!$D$5:$D$2004,'Status'!$E$6,'Estimates'!$E$5:$E$2004,'Status'!$E$7)=0,"",IF(COUNTIFS('Estimates'!$A$5:$A$2004,$A12,'Estimates'!$B$5:$B$2004,"PPS",'Estimates'!$D$5:$D$2004,'Status'!$E$6,'Estimates'!$E$5:$E$2004,'Status'!$E$7)&gt;1,"DUP",SUMIFS('Estimates'!$F$5:$F$2004,'Estimates'!$A$5:$A$2004,$A12,'Estimates'!$B$5:$B$2004,"PPS",'Estimates'!$D$5:$D$2004,'Status'!$E$6,'Estimates'!$E$5:$E$2004,'Status'!$E$7))))</x:f>
      </x:c>
      <x:c r="K12" s="14" t="str">
        <x:f>IF(OR(COUNTA($A12)=0,'Status'!$F$6=""),"",IF(COUNTIFS('Estimates'!$A$5:$A$2004,$A12,'Estimates'!$B$5:$B$2004,"PPS",'Estimates'!$D$5:$D$2004,'Status'!$F$6,'Estimates'!$E$5:$E$2004,'Status'!$E$7)=0,"",IF(COUNTIFS('Estimates'!$A$5:$A$2004,$A12,'Estimates'!$B$5:$B$2004,"PPS",'Estimates'!$D$5:$D$2004,'Status'!$F$6,'Estimates'!$E$5:$E$2004,'Status'!$E$7)&gt;1,"DUP",SUMIFS('Estimates'!$F$5:$F$2004,'Estimates'!$A$5:$A$2004,$A12,'Estimates'!$B$5:$B$2004,"PPS",'Estimates'!$D$5:$D$2004,'Status'!$F$6,'Estimates'!$E$5:$E$2004,'Status'!$E$7))))</x:f>
      </x:c>
      <x:c r="L12" s="14" t="str">
        <x:f>IF(OR(COUNTA($A12)=0,'Status'!$G$6=""),"",IF(COUNTIFS('Estimates'!$A$5:$A$2004,$A12,'Estimates'!$B$5:$B$2004,"PPS",'Estimates'!$D$5:$D$2004,'Status'!$G$6,'Estimates'!$E$5:$E$2004,'Status'!$E$7)=0,"",IF(COUNTIFS('Estimates'!$A$5:$A$2004,$A12,'Estimates'!$B$5:$B$2004,"PPS",'Estimates'!$D$5:$D$2004,'Status'!$G$6,'Estimates'!$E$5:$E$2004,'Status'!$E$7)&gt;1,"DUP",SUMIFS('Estimates'!$F$5:$F$2004,'Estimates'!$A$5:$A$2004,$A12,'Estimates'!$B$5:$B$2004,"PPS",'Estimates'!$D$5:$D$2004,'Status'!$G$6,'Estimates'!$E$5:$E$2004,'Status'!$E$7))))</x:f>
      </x:c>
      <x:c r="M12" s="14" t="str">
        <x:f>IF(COUNT(J12:L12)&lt;2,"",_xlfn.STDEV.S(J12:L12))</x:f>
      </x:c>
      <x:c r="N12" s="14" t="str">
        <x:f>IF(AND(ISNUMBER(K12),ISNUMBER(L12)),ABS(L12-K12),"")</x:f>
      </x:c>
      <x:c r="O12" s="15" t="str">
        <x:f>IF(AND(ISNUMBER(K12),ISNUMBER(L12)),IF(K12=0,"n.a.",ABS(L12-K12)/ABS(K12)),"")</x:f>
      </x:c>
      <x:c r="P12" s="2" t="str">
        <x:f>IF(COUNTA(A12)=0,"",IF(NOT(ISNUMBER('Status'!$B$6)),"Set tolerance",IF(COUNT(J12:L12)&lt;3,"Need 3 levels",IF(OR(J12=0,K12=0),"Use abs. Δ",IF(AND(ABS(K12-J12)/ABS(J12)&lt;='Status'!$B$6,O12&lt;='Status'!$B$6),"Yes","No")))))</x:f>
      </x:c>
      <x:c r="Q12" s="14" t="str">
        <x:f>IF(AND(ISNUMBER(E12),ISNUMBER(L12)),ABS(E12-L12),"")</x:f>
      </x:c>
      <x:c r="R12" s="2" t="str">
        <x:f>IF(COUNTA(A12)=0,"",IF(COUNT(C12:E12,J12:L12)&gt;0,1,0))</x:f>
      </x:c>
      <x:c r="S12" s="2" t="str">
        <x:f>IF(COUNTA(A12)=0,"",IF(COUNTIFS($A$6:$A$165,A12)&gt;1,"Duplicate target",""))</x:f>
      </x:c>
    </x:row>
    <x:row r="13">
      <x:c r="A13" s="6"/>
      <x:c r="B13" s="20"/>
      <x:c r="C13" s="14" t="str">
        <x:f>IF(OR(COUNTA($A13)=0,'Status'!$E$5=""),"",IF(COUNTIFS('Estimates'!$A$5:$A$2004,$A13,'Estimates'!$B$5:$B$2004,"MPS",'Estimates'!$C$5:$C$2004,'Status'!$E$5)=0,"",IF(COUNTIFS('Estimates'!$A$5:$A$2004,$A13,'Estimates'!$B$5:$B$2004,"MPS",'Estimates'!$C$5:$C$2004,'Status'!$E$5)&gt;1,"DUP",SUMIFS('Estimates'!$F$5:$F$2004,'Estimates'!$A$5:$A$2004,$A13,'Estimates'!$B$5:$B$2004,"MPS",'Estimates'!$C$5:$C$2004,'Status'!$E$5))))</x:f>
      </x:c>
      <x:c r="D13" s="14" t="str">
        <x:f>IF(OR(COUNTA($A13)=0,'Status'!$F$5=""),"",IF(COUNTIFS('Estimates'!$A$5:$A$2004,$A13,'Estimates'!$B$5:$B$2004,"MPS",'Estimates'!$C$5:$C$2004,'Status'!$F$5)=0,"",IF(COUNTIFS('Estimates'!$A$5:$A$2004,$A13,'Estimates'!$B$5:$B$2004,"MPS",'Estimates'!$C$5:$C$2004,'Status'!$F$5)&gt;1,"DUP",SUMIFS('Estimates'!$F$5:$F$2004,'Estimates'!$A$5:$A$2004,$A13,'Estimates'!$B$5:$B$2004,"MPS",'Estimates'!$C$5:$C$2004,'Status'!$F$5))))</x:f>
      </x:c>
      <x:c r="E13" s="14" t="str">
        <x:f>IF(OR(COUNTA($A13)=0,'Status'!$G$5=""),"",IF(COUNTIFS('Estimates'!$A$5:$A$2004,$A13,'Estimates'!$B$5:$B$2004,"MPS",'Estimates'!$C$5:$C$2004,'Status'!$G$5)=0,"",IF(COUNTIFS('Estimates'!$A$5:$A$2004,$A13,'Estimates'!$B$5:$B$2004,"MPS",'Estimates'!$C$5:$C$2004,'Status'!$G$5)&gt;1,"DUP",SUMIFS('Estimates'!$F$5:$F$2004,'Estimates'!$A$5:$A$2004,$A13,'Estimates'!$B$5:$B$2004,"MPS",'Estimates'!$C$5:$C$2004,'Status'!$G$5))))</x:f>
      </x:c>
      <x:c r="F13" s="14" t="str">
        <x:f>IF(COUNT(C13:E13)&lt;2,"",_xlfn.STDEV.S(C13:E13))</x:f>
      </x:c>
      <x:c r="G13" s="14" t="str">
        <x:f>IF(AND(ISNUMBER(D13),ISNUMBER(E13)),ABS(E13-D13),"")</x:f>
      </x:c>
      <x:c r="H13" s="15" t="str">
        <x:f>IF(AND(ISNUMBER(D13),ISNUMBER(E13)),IF(D13=0,"n.a.",ABS(E13-D13)/ABS(D13)),"")</x:f>
      </x:c>
      <x:c r="I13" s="2" t="str">
        <x:f>IF(COUNTA(A13)=0,"",IF(NOT(ISNUMBER('Status'!$B$6)),"Set tolerance",IF(COUNT(C13:E13)&lt;3,"Need 3 levels",IF(OR(C13=0,D13=0),"Use abs. Δ",IF(AND(ABS(D13-C13)/ABS(C13)&lt;='Status'!$B$6,H13&lt;='Status'!$B$6),"Yes","No")))))</x:f>
      </x:c>
      <x:c r="J13" s="14" t="str">
        <x:f>IF(OR(COUNTA($A13)=0,'Status'!$E$6=""),"",IF(COUNTIFS('Estimates'!$A$5:$A$2004,$A13,'Estimates'!$B$5:$B$2004,"PPS",'Estimates'!$D$5:$D$2004,'Status'!$E$6,'Estimates'!$E$5:$E$2004,'Status'!$E$7)=0,"",IF(COUNTIFS('Estimates'!$A$5:$A$2004,$A13,'Estimates'!$B$5:$B$2004,"PPS",'Estimates'!$D$5:$D$2004,'Status'!$E$6,'Estimates'!$E$5:$E$2004,'Status'!$E$7)&gt;1,"DUP",SUMIFS('Estimates'!$F$5:$F$2004,'Estimates'!$A$5:$A$2004,$A13,'Estimates'!$B$5:$B$2004,"PPS",'Estimates'!$D$5:$D$2004,'Status'!$E$6,'Estimates'!$E$5:$E$2004,'Status'!$E$7))))</x:f>
      </x:c>
      <x:c r="K13" s="14" t="str">
        <x:f>IF(OR(COUNTA($A13)=0,'Status'!$F$6=""),"",IF(COUNTIFS('Estimates'!$A$5:$A$2004,$A13,'Estimates'!$B$5:$B$2004,"PPS",'Estimates'!$D$5:$D$2004,'Status'!$F$6,'Estimates'!$E$5:$E$2004,'Status'!$E$7)=0,"",IF(COUNTIFS('Estimates'!$A$5:$A$2004,$A13,'Estimates'!$B$5:$B$2004,"PPS",'Estimates'!$D$5:$D$2004,'Status'!$F$6,'Estimates'!$E$5:$E$2004,'Status'!$E$7)&gt;1,"DUP",SUMIFS('Estimates'!$F$5:$F$2004,'Estimates'!$A$5:$A$2004,$A13,'Estimates'!$B$5:$B$2004,"PPS",'Estimates'!$D$5:$D$2004,'Status'!$F$6,'Estimates'!$E$5:$E$2004,'Status'!$E$7))))</x:f>
      </x:c>
      <x:c r="L13" s="14" t="str">
        <x:f>IF(OR(COUNTA($A13)=0,'Status'!$G$6=""),"",IF(COUNTIFS('Estimates'!$A$5:$A$2004,$A13,'Estimates'!$B$5:$B$2004,"PPS",'Estimates'!$D$5:$D$2004,'Status'!$G$6,'Estimates'!$E$5:$E$2004,'Status'!$E$7)=0,"",IF(COUNTIFS('Estimates'!$A$5:$A$2004,$A13,'Estimates'!$B$5:$B$2004,"PPS",'Estimates'!$D$5:$D$2004,'Status'!$G$6,'Estimates'!$E$5:$E$2004,'Status'!$E$7)&gt;1,"DUP",SUMIFS('Estimates'!$F$5:$F$2004,'Estimates'!$A$5:$A$2004,$A13,'Estimates'!$B$5:$B$2004,"PPS",'Estimates'!$D$5:$D$2004,'Status'!$G$6,'Estimates'!$E$5:$E$2004,'Status'!$E$7))))</x:f>
      </x:c>
      <x:c r="M13" s="14" t="str">
        <x:f>IF(COUNT(J13:L13)&lt;2,"",_xlfn.STDEV.S(J13:L13))</x:f>
      </x:c>
      <x:c r="N13" s="14" t="str">
        <x:f>IF(AND(ISNUMBER(K13),ISNUMBER(L13)),ABS(L13-K13),"")</x:f>
      </x:c>
      <x:c r="O13" s="15" t="str">
        <x:f>IF(AND(ISNUMBER(K13),ISNUMBER(L13)),IF(K13=0,"n.a.",ABS(L13-K13)/ABS(K13)),"")</x:f>
      </x:c>
      <x:c r="P13" s="2" t="str">
        <x:f>IF(COUNTA(A13)=0,"",IF(NOT(ISNUMBER('Status'!$B$6)),"Set tolerance",IF(COUNT(J13:L13)&lt;3,"Need 3 levels",IF(OR(J13=0,K13=0),"Use abs. Δ",IF(AND(ABS(K13-J13)/ABS(J13)&lt;='Status'!$B$6,O13&lt;='Status'!$B$6),"Yes","No")))))</x:f>
      </x:c>
      <x:c r="Q13" s="14" t="str">
        <x:f>IF(AND(ISNUMBER(E13),ISNUMBER(L13)),ABS(E13-L13),"")</x:f>
      </x:c>
      <x:c r="R13" s="2" t="str">
        <x:f>IF(COUNTA(A13)=0,"",IF(COUNT(C13:E13,J13:L13)&gt;0,1,0))</x:f>
      </x:c>
      <x:c r="S13" s="2" t="str">
        <x:f>IF(COUNTA(A13)=0,"",IF(COUNTIFS($A$6:$A$165,A13)&gt;1,"Duplicate target",""))</x:f>
      </x:c>
    </x:row>
    <x:row r="14">
      <x:c r="A14" s="6"/>
      <x:c r="B14" s="20"/>
      <x:c r="C14" s="14" t="str">
        <x:f>IF(OR(COUNTA($A14)=0,'Status'!$E$5=""),"",IF(COUNTIFS('Estimates'!$A$5:$A$2004,$A14,'Estimates'!$B$5:$B$2004,"MPS",'Estimates'!$C$5:$C$2004,'Status'!$E$5)=0,"",IF(COUNTIFS('Estimates'!$A$5:$A$2004,$A14,'Estimates'!$B$5:$B$2004,"MPS",'Estimates'!$C$5:$C$2004,'Status'!$E$5)&gt;1,"DUP",SUMIFS('Estimates'!$F$5:$F$2004,'Estimates'!$A$5:$A$2004,$A14,'Estimates'!$B$5:$B$2004,"MPS",'Estimates'!$C$5:$C$2004,'Status'!$E$5))))</x:f>
      </x:c>
      <x:c r="D14" s="14" t="str">
        <x:f>IF(OR(COUNTA($A14)=0,'Status'!$F$5=""),"",IF(COUNTIFS('Estimates'!$A$5:$A$2004,$A14,'Estimates'!$B$5:$B$2004,"MPS",'Estimates'!$C$5:$C$2004,'Status'!$F$5)=0,"",IF(COUNTIFS('Estimates'!$A$5:$A$2004,$A14,'Estimates'!$B$5:$B$2004,"MPS",'Estimates'!$C$5:$C$2004,'Status'!$F$5)&gt;1,"DUP",SUMIFS('Estimates'!$F$5:$F$2004,'Estimates'!$A$5:$A$2004,$A14,'Estimates'!$B$5:$B$2004,"MPS",'Estimates'!$C$5:$C$2004,'Status'!$F$5))))</x:f>
      </x:c>
      <x:c r="E14" s="14" t="str">
        <x:f>IF(OR(COUNTA($A14)=0,'Status'!$G$5=""),"",IF(COUNTIFS('Estimates'!$A$5:$A$2004,$A14,'Estimates'!$B$5:$B$2004,"MPS",'Estimates'!$C$5:$C$2004,'Status'!$G$5)=0,"",IF(COUNTIFS('Estimates'!$A$5:$A$2004,$A14,'Estimates'!$B$5:$B$2004,"MPS",'Estimates'!$C$5:$C$2004,'Status'!$G$5)&gt;1,"DUP",SUMIFS('Estimates'!$F$5:$F$2004,'Estimates'!$A$5:$A$2004,$A14,'Estimates'!$B$5:$B$2004,"MPS",'Estimates'!$C$5:$C$2004,'Status'!$G$5))))</x:f>
      </x:c>
      <x:c r="F14" s="14" t="str">
        <x:f>IF(COUNT(C14:E14)&lt;2,"",_xlfn.STDEV.S(C14:E14))</x:f>
      </x:c>
      <x:c r="G14" s="14" t="str">
        <x:f>IF(AND(ISNUMBER(D14),ISNUMBER(E14)),ABS(E14-D14),"")</x:f>
      </x:c>
      <x:c r="H14" s="15" t="str">
        <x:f>IF(AND(ISNUMBER(D14),ISNUMBER(E14)),IF(D14=0,"n.a.",ABS(E14-D14)/ABS(D14)),"")</x:f>
      </x:c>
      <x:c r="I14" s="2" t="str">
        <x:f>IF(COUNTA(A14)=0,"",IF(NOT(ISNUMBER('Status'!$B$6)),"Set tolerance",IF(COUNT(C14:E14)&lt;3,"Need 3 levels",IF(OR(C14=0,D14=0),"Use abs. Δ",IF(AND(ABS(D14-C14)/ABS(C14)&lt;='Status'!$B$6,H14&lt;='Status'!$B$6),"Yes","No")))))</x:f>
      </x:c>
      <x:c r="J14" s="14" t="str">
        <x:f>IF(OR(COUNTA($A14)=0,'Status'!$E$6=""),"",IF(COUNTIFS('Estimates'!$A$5:$A$2004,$A14,'Estimates'!$B$5:$B$2004,"PPS",'Estimates'!$D$5:$D$2004,'Status'!$E$6,'Estimates'!$E$5:$E$2004,'Status'!$E$7)=0,"",IF(COUNTIFS('Estimates'!$A$5:$A$2004,$A14,'Estimates'!$B$5:$B$2004,"PPS",'Estimates'!$D$5:$D$2004,'Status'!$E$6,'Estimates'!$E$5:$E$2004,'Status'!$E$7)&gt;1,"DUP",SUMIFS('Estimates'!$F$5:$F$2004,'Estimates'!$A$5:$A$2004,$A14,'Estimates'!$B$5:$B$2004,"PPS",'Estimates'!$D$5:$D$2004,'Status'!$E$6,'Estimates'!$E$5:$E$2004,'Status'!$E$7))))</x:f>
      </x:c>
      <x:c r="K14" s="14" t="str">
        <x:f>IF(OR(COUNTA($A14)=0,'Status'!$F$6=""),"",IF(COUNTIFS('Estimates'!$A$5:$A$2004,$A14,'Estimates'!$B$5:$B$2004,"PPS",'Estimates'!$D$5:$D$2004,'Status'!$F$6,'Estimates'!$E$5:$E$2004,'Status'!$E$7)=0,"",IF(COUNTIFS('Estimates'!$A$5:$A$2004,$A14,'Estimates'!$B$5:$B$2004,"PPS",'Estimates'!$D$5:$D$2004,'Status'!$F$6,'Estimates'!$E$5:$E$2004,'Status'!$E$7)&gt;1,"DUP",SUMIFS('Estimates'!$F$5:$F$2004,'Estimates'!$A$5:$A$2004,$A14,'Estimates'!$B$5:$B$2004,"PPS",'Estimates'!$D$5:$D$2004,'Status'!$F$6,'Estimates'!$E$5:$E$2004,'Status'!$E$7))))</x:f>
      </x:c>
      <x:c r="L14" s="14" t="str">
        <x:f>IF(OR(COUNTA($A14)=0,'Status'!$G$6=""),"",IF(COUNTIFS('Estimates'!$A$5:$A$2004,$A14,'Estimates'!$B$5:$B$2004,"PPS",'Estimates'!$D$5:$D$2004,'Status'!$G$6,'Estimates'!$E$5:$E$2004,'Status'!$E$7)=0,"",IF(COUNTIFS('Estimates'!$A$5:$A$2004,$A14,'Estimates'!$B$5:$B$2004,"PPS",'Estimates'!$D$5:$D$2004,'Status'!$G$6,'Estimates'!$E$5:$E$2004,'Status'!$E$7)&gt;1,"DUP",SUMIFS('Estimates'!$F$5:$F$2004,'Estimates'!$A$5:$A$2004,$A14,'Estimates'!$B$5:$B$2004,"PPS",'Estimates'!$D$5:$D$2004,'Status'!$G$6,'Estimates'!$E$5:$E$2004,'Status'!$E$7))))</x:f>
      </x:c>
      <x:c r="M14" s="14" t="str">
        <x:f>IF(COUNT(J14:L14)&lt;2,"",_xlfn.STDEV.S(J14:L14))</x:f>
      </x:c>
      <x:c r="N14" s="14" t="str">
        <x:f>IF(AND(ISNUMBER(K14),ISNUMBER(L14)),ABS(L14-K14),"")</x:f>
      </x:c>
      <x:c r="O14" s="15" t="str">
        <x:f>IF(AND(ISNUMBER(K14),ISNUMBER(L14)),IF(K14=0,"n.a.",ABS(L14-K14)/ABS(K14)),"")</x:f>
      </x:c>
      <x:c r="P14" s="2" t="str">
        <x:f>IF(COUNTA(A14)=0,"",IF(NOT(ISNUMBER('Status'!$B$6)),"Set tolerance",IF(COUNT(J14:L14)&lt;3,"Need 3 levels",IF(OR(J14=0,K14=0),"Use abs. Δ",IF(AND(ABS(K14-J14)/ABS(J14)&lt;='Status'!$B$6,O14&lt;='Status'!$B$6),"Yes","No")))))</x:f>
      </x:c>
      <x:c r="Q14" s="14" t="str">
        <x:f>IF(AND(ISNUMBER(E14),ISNUMBER(L14)),ABS(E14-L14),"")</x:f>
      </x:c>
      <x:c r="R14" s="2" t="str">
        <x:f>IF(COUNTA(A14)=0,"",IF(COUNT(C14:E14,J14:L14)&gt;0,1,0))</x:f>
      </x:c>
      <x:c r="S14" s="2" t="str">
        <x:f>IF(COUNTA(A14)=0,"",IF(COUNTIFS($A$6:$A$165,A14)&gt;1,"Duplicate target",""))</x:f>
      </x:c>
    </x:row>
    <x:row r="15">
      <x:c r="A15" s="6"/>
      <x:c r="B15" s="20"/>
      <x:c r="C15" s="14" t="str">
        <x:f>IF(OR(COUNTA($A15)=0,'Status'!$E$5=""),"",IF(COUNTIFS('Estimates'!$A$5:$A$2004,$A15,'Estimates'!$B$5:$B$2004,"MPS",'Estimates'!$C$5:$C$2004,'Status'!$E$5)=0,"",IF(COUNTIFS('Estimates'!$A$5:$A$2004,$A15,'Estimates'!$B$5:$B$2004,"MPS",'Estimates'!$C$5:$C$2004,'Status'!$E$5)&gt;1,"DUP",SUMIFS('Estimates'!$F$5:$F$2004,'Estimates'!$A$5:$A$2004,$A15,'Estimates'!$B$5:$B$2004,"MPS",'Estimates'!$C$5:$C$2004,'Status'!$E$5))))</x:f>
      </x:c>
      <x:c r="D15" s="14" t="str">
        <x:f>IF(OR(COUNTA($A15)=0,'Status'!$F$5=""),"",IF(COUNTIFS('Estimates'!$A$5:$A$2004,$A15,'Estimates'!$B$5:$B$2004,"MPS",'Estimates'!$C$5:$C$2004,'Status'!$F$5)=0,"",IF(COUNTIFS('Estimates'!$A$5:$A$2004,$A15,'Estimates'!$B$5:$B$2004,"MPS",'Estimates'!$C$5:$C$2004,'Status'!$F$5)&gt;1,"DUP",SUMIFS('Estimates'!$F$5:$F$2004,'Estimates'!$A$5:$A$2004,$A15,'Estimates'!$B$5:$B$2004,"MPS",'Estimates'!$C$5:$C$2004,'Status'!$F$5))))</x:f>
      </x:c>
      <x:c r="E15" s="14" t="str">
        <x:f>IF(OR(COUNTA($A15)=0,'Status'!$G$5=""),"",IF(COUNTIFS('Estimates'!$A$5:$A$2004,$A15,'Estimates'!$B$5:$B$2004,"MPS",'Estimates'!$C$5:$C$2004,'Status'!$G$5)=0,"",IF(COUNTIFS('Estimates'!$A$5:$A$2004,$A15,'Estimates'!$B$5:$B$2004,"MPS",'Estimates'!$C$5:$C$2004,'Status'!$G$5)&gt;1,"DUP",SUMIFS('Estimates'!$F$5:$F$2004,'Estimates'!$A$5:$A$2004,$A15,'Estimates'!$B$5:$B$2004,"MPS",'Estimates'!$C$5:$C$2004,'Status'!$G$5))))</x:f>
      </x:c>
      <x:c r="F15" s="14" t="str">
        <x:f>IF(COUNT(C15:E15)&lt;2,"",_xlfn.STDEV.S(C15:E15))</x:f>
      </x:c>
      <x:c r="G15" s="14" t="str">
        <x:f>IF(AND(ISNUMBER(D15),ISNUMBER(E15)),ABS(E15-D15),"")</x:f>
      </x:c>
      <x:c r="H15" s="15" t="str">
        <x:f>IF(AND(ISNUMBER(D15),ISNUMBER(E15)),IF(D15=0,"n.a.",ABS(E15-D15)/ABS(D15)),"")</x:f>
      </x:c>
      <x:c r="I15" s="2" t="str">
        <x:f>IF(COUNTA(A15)=0,"",IF(NOT(ISNUMBER('Status'!$B$6)),"Set tolerance",IF(COUNT(C15:E15)&lt;3,"Need 3 levels",IF(OR(C15=0,D15=0),"Use abs. Δ",IF(AND(ABS(D15-C15)/ABS(C15)&lt;='Status'!$B$6,H15&lt;='Status'!$B$6),"Yes","No")))))</x:f>
      </x:c>
      <x:c r="J15" s="14" t="str">
        <x:f>IF(OR(COUNTA($A15)=0,'Status'!$E$6=""),"",IF(COUNTIFS('Estimates'!$A$5:$A$2004,$A15,'Estimates'!$B$5:$B$2004,"PPS",'Estimates'!$D$5:$D$2004,'Status'!$E$6,'Estimates'!$E$5:$E$2004,'Status'!$E$7)=0,"",IF(COUNTIFS('Estimates'!$A$5:$A$2004,$A15,'Estimates'!$B$5:$B$2004,"PPS",'Estimates'!$D$5:$D$2004,'Status'!$E$6,'Estimates'!$E$5:$E$2004,'Status'!$E$7)&gt;1,"DUP",SUMIFS('Estimates'!$F$5:$F$2004,'Estimates'!$A$5:$A$2004,$A15,'Estimates'!$B$5:$B$2004,"PPS",'Estimates'!$D$5:$D$2004,'Status'!$E$6,'Estimates'!$E$5:$E$2004,'Status'!$E$7))))</x:f>
      </x:c>
      <x:c r="K15" s="14" t="str">
        <x:f>IF(OR(COUNTA($A15)=0,'Status'!$F$6=""),"",IF(COUNTIFS('Estimates'!$A$5:$A$2004,$A15,'Estimates'!$B$5:$B$2004,"PPS",'Estimates'!$D$5:$D$2004,'Status'!$F$6,'Estimates'!$E$5:$E$2004,'Status'!$E$7)=0,"",IF(COUNTIFS('Estimates'!$A$5:$A$2004,$A15,'Estimates'!$B$5:$B$2004,"PPS",'Estimates'!$D$5:$D$2004,'Status'!$F$6,'Estimates'!$E$5:$E$2004,'Status'!$E$7)&gt;1,"DUP",SUMIFS('Estimates'!$F$5:$F$2004,'Estimates'!$A$5:$A$2004,$A15,'Estimates'!$B$5:$B$2004,"PPS",'Estimates'!$D$5:$D$2004,'Status'!$F$6,'Estimates'!$E$5:$E$2004,'Status'!$E$7))))</x:f>
      </x:c>
      <x:c r="L15" s="14" t="str">
        <x:f>IF(OR(COUNTA($A15)=0,'Status'!$G$6=""),"",IF(COUNTIFS('Estimates'!$A$5:$A$2004,$A15,'Estimates'!$B$5:$B$2004,"PPS",'Estimates'!$D$5:$D$2004,'Status'!$G$6,'Estimates'!$E$5:$E$2004,'Status'!$E$7)=0,"",IF(COUNTIFS('Estimates'!$A$5:$A$2004,$A15,'Estimates'!$B$5:$B$2004,"PPS",'Estimates'!$D$5:$D$2004,'Status'!$G$6,'Estimates'!$E$5:$E$2004,'Status'!$E$7)&gt;1,"DUP",SUMIFS('Estimates'!$F$5:$F$2004,'Estimates'!$A$5:$A$2004,$A15,'Estimates'!$B$5:$B$2004,"PPS",'Estimates'!$D$5:$D$2004,'Status'!$G$6,'Estimates'!$E$5:$E$2004,'Status'!$E$7))))</x:f>
      </x:c>
      <x:c r="M15" s="14" t="str">
        <x:f>IF(COUNT(J15:L15)&lt;2,"",_xlfn.STDEV.S(J15:L15))</x:f>
      </x:c>
      <x:c r="N15" s="14" t="str">
        <x:f>IF(AND(ISNUMBER(K15),ISNUMBER(L15)),ABS(L15-K15),"")</x:f>
      </x:c>
      <x:c r="O15" s="15" t="str">
        <x:f>IF(AND(ISNUMBER(K15),ISNUMBER(L15)),IF(K15=0,"n.a.",ABS(L15-K15)/ABS(K15)),"")</x:f>
      </x:c>
      <x:c r="P15" s="2" t="str">
        <x:f>IF(COUNTA(A15)=0,"",IF(NOT(ISNUMBER('Status'!$B$6)),"Set tolerance",IF(COUNT(J15:L15)&lt;3,"Need 3 levels",IF(OR(J15=0,K15=0),"Use abs. Δ",IF(AND(ABS(K15-J15)/ABS(J15)&lt;='Status'!$B$6,O15&lt;='Status'!$B$6),"Yes","No")))))</x:f>
      </x:c>
      <x:c r="Q15" s="14" t="str">
        <x:f>IF(AND(ISNUMBER(E15),ISNUMBER(L15)),ABS(E15-L15),"")</x:f>
      </x:c>
      <x:c r="R15" s="2" t="str">
        <x:f>IF(COUNTA(A15)=0,"",IF(COUNT(C15:E15,J15:L15)&gt;0,1,0))</x:f>
      </x:c>
      <x:c r="S15" s="2" t="str">
        <x:f>IF(COUNTA(A15)=0,"",IF(COUNTIFS($A$6:$A$165,A15)&gt;1,"Duplicate target",""))</x:f>
      </x:c>
    </x:row>
    <x:row r="16">
      <x:c r="A16" s="6"/>
      <x:c r="B16" s="20"/>
      <x:c r="C16" s="14" t="str">
        <x:f>IF(OR(COUNTA($A16)=0,'Status'!$E$5=""),"",IF(COUNTIFS('Estimates'!$A$5:$A$2004,$A16,'Estimates'!$B$5:$B$2004,"MPS",'Estimates'!$C$5:$C$2004,'Status'!$E$5)=0,"",IF(COUNTIFS('Estimates'!$A$5:$A$2004,$A16,'Estimates'!$B$5:$B$2004,"MPS",'Estimates'!$C$5:$C$2004,'Status'!$E$5)&gt;1,"DUP",SUMIFS('Estimates'!$F$5:$F$2004,'Estimates'!$A$5:$A$2004,$A16,'Estimates'!$B$5:$B$2004,"MPS",'Estimates'!$C$5:$C$2004,'Status'!$E$5))))</x:f>
      </x:c>
      <x:c r="D16" s="14" t="str">
        <x:f>IF(OR(COUNTA($A16)=0,'Status'!$F$5=""),"",IF(COUNTIFS('Estimates'!$A$5:$A$2004,$A16,'Estimates'!$B$5:$B$2004,"MPS",'Estimates'!$C$5:$C$2004,'Status'!$F$5)=0,"",IF(COUNTIFS('Estimates'!$A$5:$A$2004,$A16,'Estimates'!$B$5:$B$2004,"MPS",'Estimates'!$C$5:$C$2004,'Status'!$F$5)&gt;1,"DUP",SUMIFS('Estimates'!$F$5:$F$2004,'Estimates'!$A$5:$A$2004,$A16,'Estimates'!$B$5:$B$2004,"MPS",'Estimates'!$C$5:$C$2004,'Status'!$F$5))))</x:f>
      </x:c>
      <x:c r="E16" s="14" t="str">
        <x:f>IF(OR(COUNTA($A16)=0,'Status'!$G$5=""),"",IF(COUNTIFS('Estimates'!$A$5:$A$2004,$A16,'Estimates'!$B$5:$B$2004,"MPS",'Estimates'!$C$5:$C$2004,'Status'!$G$5)=0,"",IF(COUNTIFS('Estimates'!$A$5:$A$2004,$A16,'Estimates'!$B$5:$B$2004,"MPS",'Estimates'!$C$5:$C$2004,'Status'!$G$5)&gt;1,"DUP",SUMIFS('Estimates'!$F$5:$F$2004,'Estimates'!$A$5:$A$2004,$A16,'Estimates'!$B$5:$B$2004,"MPS",'Estimates'!$C$5:$C$2004,'Status'!$G$5))))</x:f>
      </x:c>
      <x:c r="F16" s="14" t="str">
        <x:f>IF(COUNT(C16:E16)&lt;2,"",_xlfn.STDEV.S(C16:E16))</x:f>
      </x:c>
      <x:c r="G16" s="14" t="str">
        <x:f>IF(AND(ISNUMBER(D16),ISNUMBER(E16)),ABS(E16-D16),"")</x:f>
      </x:c>
      <x:c r="H16" s="15" t="str">
        <x:f>IF(AND(ISNUMBER(D16),ISNUMBER(E16)),IF(D16=0,"n.a.",ABS(E16-D16)/ABS(D16)),"")</x:f>
      </x:c>
      <x:c r="I16" s="2" t="str">
        <x:f>IF(COUNTA(A16)=0,"",IF(NOT(ISNUMBER('Status'!$B$6)),"Set tolerance",IF(COUNT(C16:E16)&lt;3,"Need 3 levels",IF(OR(C16=0,D16=0),"Use abs. Δ",IF(AND(ABS(D16-C16)/ABS(C16)&lt;='Status'!$B$6,H16&lt;='Status'!$B$6),"Yes","No")))))</x:f>
      </x:c>
      <x:c r="J16" s="14" t="str">
        <x:f>IF(OR(COUNTA($A16)=0,'Status'!$E$6=""),"",IF(COUNTIFS('Estimates'!$A$5:$A$2004,$A16,'Estimates'!$B$5:$B$2004,"PPS",'Estimates'!$D$5:$D$2004,'Status'!$E$6,'Estimates'!$E$5:$E$2004,'Status'!$E$7)=0,"",IF(COUNTIFS('Estimates'!$A$5:$A$2004,$A16,'Estimates'!$B$5:$B$2004,"PPS",'Estimates'!$D$5:$D$2004,'Status'!$E$6,'Estimates'!$E$5:$E$2004,'Status'!$E$7)&gt;1,"DUP",SUMIFS('Estimates'!$F$5:$F$2004,'Estimates'!$A$5:$A$2004,$A16,'Estimates'!$B$5:$B$2004,"PPS",'Estimates'!$D$5:$D$2004,'Status'!$E$6,'Estimates'!$E$5:$E$2004,'Status'!$E$7))))</x:f>
      </x:c>
      <x:c r="K16" s="14" t="str">
        <x:f>IF(OR(COUNTA($A16)=0,'Status'!$F$6=""),"",IF(COUNTIFS('Estimates'!$A$5:$A$2004,$A16,'Estimates'!$B$5:$B$2004,"PPS",'Estimates'!$D$5:$D$2004,'Status'!$F$6,'Estimates'!$E$5:$E$2004,'Status'!$E$7)=0,"",IF(COUNTIFS('Estimates'!$A$5:$A$2004,$A16,'Estimates'!$B$5:$B$2004,"PPS",'Estimates'!$D$5:$D$2004,'Status'!$F$6,'Estimates'!$E$5:$E$2004,'Status'!$E$7)&gt;1,"DUP",SUMIFS('Estimates'!$F$5:$F$2004,'Estimates'!$A$5:$A$2004,$A16,'Estimates'!$B$5:$B$2004,"PPS",'Estimates'!$D$5:$D$2004,'Status'!$F$6,'Estimates'!$E$5:$E$2004,'Status'!$E$7))))</x:f>
      </x:c>
      <x:c r="L16" s="14" t="str">
        <x:f>IF(OR(COUNTA($A16)=0,'Status'!$G$6=""),"",IF(COUNTIFS('Estimates'!$A$5:$A$2004,$A16,'Estimates'!$B$5:$B$2004,"PPS",'Estimates'!$D$5:$D$2004,'Status'!$G$6,'Estimates'!$E$5:$E$2004,'Status'!$E$7)=0,"",IF(COUNTIFS('Estimates'!$A$5:$A$2004,$A16,'Estimates'!$B$5:$B$2004,"PPS",'Estimates'!$D$5:$D$2004,'Status'!$G$6,'Estimates'!$E$5:$E$2004,'Status'!$E$7)&gt;1,"DUP",SUMIFS('Estimates'!$F$5:$F$2004,'Estimates'!$A$5:$A$2004,$A16,'Estimates'!$B$5:$B$2004,"PPS",'Estimates'!$D$5:$D$2004,'Status'!$G$6,'Estimates'!$E$5:$E$2004,'Status'!$E$7))))</x:f>
      </x:c>
      <x:c r="M16" s="14" t="str">
        <x:f>IF(COUNT(J16:L16)&lt;2,"",_xlfn.STDEV.S(J16:L16))</x:f>
      </x:c>
      <x:c r="N16" s="14" t="str">
        <x:f>IF(AND(ISNUMBER(K16),ISNUMBER(L16)),ABS(L16-K16),"")</x:f>
      </x:c>
      <x:c r="O16" s="15" t="str">
        <x:f>IF(AND(ISNUMBER(K16),ISNUMBER(L16)),IF(K16=0,"n.a.",ABS(L16-K16)/ABS(K16)),"")</x:f>
      </x:c>
      <x:c r="P16" s="2" t="str">
        <x:f>IF(COUNTA(A16)=0,"",IF(NOT(ISNUMBER('Status'!$B$6)),"Set tolerance",IF(COUNT(J16:L16)&lt;3,"Need 3 levels",IF(OR(J16=0,K16=0),"Use abs. Δ",IF(AND(ABS(K16-J16)/ABS(J16)&lt;='Status'!$B$6,O16&lt;='Status'!$B$6),"Yes","No")))))</x:f>
      </x:c>
      <x:c r="Q16" s="14" t="str">
        <x:f>IF(AND(ISNUMBER(E16),ISNUMBER(L16)),ABS(E16-L16),"")</x:f>
      </x:c>
      <x:c r="R16" s="2" t="str">
        <x:f>IF(COUNTA(A16)=0,"",IF(COUNT(C16:E16,J16:L16)&gt;0,1,0))</x:f>
      </x:c>
      <x:c r="S16" s="2" t="str">
        <x:f>IF(COUNTA(A16)=0,"",IF(COUNTIFS($A$6:$A$165,A16)&gt;1,"Duplicate target",""))</x:f>
      </x:c>
    </x:row>
    <x:row r="17">
      <x:c r="A17" s="6"/>
      <x:c r="B17" s="20"/>
      <x:c r="C17" s="14" t="str">
        <x:f>IF(OR(COUNTA($A17)=0,'Status'!$E$5=""),"",IF(COUNTIFS('Estimates'!$A$5:$A$2004,$A17,'Estimates'!$B$5:$B$2004,"MPS",'Estimates'!$C$5:$C$2004,'Status'!$E$5)=0,"",IF(COUNTIFS('Estimates'!$A$5:$A$2004,$A17,'Estimates'!$B$5:$B$2004,"MPS",'Estimates'!$C$5:$C$2004,'Status'!$E$5)&gt;1,"DUP",SUMIFS('Estimates'!$F$5:$F$2004,'Estimates'!$A$5:$A$2004,$A17,'Estimates'!$B$5:$B$2004,"MPS",'Estimates'!$C$5:$C$2004,'Status'!$E$5))))</x:f>
      </x:c>
      <x:c r="D17" s="14" t="str">
        <x:f>IF(OR(COUNTA($A17)=0,'Status'!$F$5=""),"",IF(COUNTIFS('Estimates'!$A$5:$A$2004,$A17,'Estimates'!$B$5:$B$2004,"MPS",'Estimates'!$C$5:$C$2004,'Status'!$F$5)=0,"",IF(COUNTIFS('Estimates'!$A$5:$A$2004,$A17,'Estimates'!$B$5:$B$2004,"MPS",'Estimates'!$C$5:$C$2004,'Status'!$F$5)&gt;1,"DUP",SUMIFS('Estimates'!$F$5:$F$2004,'Estimates'!$A$5:$A$2004,$A17,'Estimates'!$B$5:$B$2004,"MPS",'Estimates'!$C$5:$C$2004,'Status'!$F$5))))</x:f>
      </x:c>
      <x:c r="E17" s="14" t="str">
        <x:f>IF(OR(COUNTA($A17)=0,'Status'!$G$5=""),"",IF(COUNTIFS('Estimates'!$A$5:$A$2004,$A17,'Estimates'!$B$5:$B$2004,"MPS",'Estimates'!$C$5:$C$2004,'Status'!$G$5)=0,"",IF(COUNTIFS('Estimates'!$A$5:$A$2004,$A17,'Estimates'!$B$5:$B$2004,"MPS",'Estimates'!$C$5:$C$2004,'Status'!$G$5)&gt;1,"DUP",SUMIFS('Estimates'!$F$5:$F$2004,'Estimates'!$A$5:$A$2004,$A17,'Estimates'!$B$5:$B$2004,"MPS",'Estimates'!$C$5:$C$2004,'Status'!$G$5))))</x:f>
      </x:c>
      <x:c r="F17" s="14" t="str">
        <x:f>IF(COUNT(C17:E17)&lt;2,"",_xlfn.STDEV.S(C17:E17))</x:f>
      </x:c>
      <x:c r="G17" s="14" t="str">
        <x:f>IF(AND(ISNUMBER(D17),ISNUMBER(E17)),ABS(E17-D17),"")</x:f>
      </x:c>
      <x:c r="H17" s="15" t="str">
        <x:f>IF(AND(ISNUMBER(D17),ISNUMBER(E17)),IF(D17=0,"n.a.",ABS(E17-D17)/ABS(D17)),"")</x:f>
      </x:c>
      <x:c r="I17" s="2" t="str">
        <x:f>IF(COUNTA(A17)=0,"",IF(NOT(ISNUMBER('Status'!$B$6)),"Set tolerance",IF(COUNT(C17:E17)&lt;3,"Need 3 levels",IF(OR(C17=0,D17=0),"Use abs. Δ",IF(AND(ABS(D17-C17)/ABS(C17)&lt;='Status'!$B$6,H17&lt;='Status'!$B$6),"Yes","No")))))</x:f>
      </x:c>
      <x:c r="J17" s="14" t="str">
        <x:f>IF(OR(COUNTA($A17)=0,'Status'!$E$6=""),"",IF(COUNTIFS('Estimates'!$A$5:$A$2004,$A17,'Estimates'!$B$5:$B$2004,"PPS",'Estimates'!$D$5:$D$2004,'Status'!$E$6,'Estimates'!$E$5:$E$2004,'Status'!$E$7)=0,"",IF(COUNTIFS('Estimates'!$A$5:$A$2004,$A17,'Estimates'!$B$5:$B$2004,"PPS",'Estimates'!$D$5:$D$2004,'Status'!$E$6,'Estimates'!$E$5:$E$2004,'Status'!$E$7)&gt;1,"DUP",SUMIFS('Estimates'!$F$5:$F$2004,'Estimates'!$A$5:$A$2004,$A17,'Estimates'!$B$5:$B$2004,"PPS",'Estimates'!$D$5:$D$2004,'Status'!$E$6,'Estimates'!$E$5:$E$2004,'Status'!$E$7))))</x:f>
      </x:c>
      <x:c r="K17" s="14" t="str">
        <x:f>IF(OR(COUNTA($A17)=0,'Status'!$F$6=""),"",IF(COUNTIFS('Estimates'!$A$5:$A$2004,$A17,'Estimates'!$B$5:$B$2004,"PPS",'Estimates'!$D$5:$D$2004,'Status'!$F$6,'Estimates'!$E$5:$E$2004,'Status'!$E$7)=0,"",IF(COUNTIFS('Estimates'!$A$5:$A$2004,$A17,'Estimates'!$B$5:$B$2004,"PPS",'Estimates'!$D$5:$D$2004,'Status'!$F$6,'Estimates'!$E$5:$E$2004,'Status'!$E$7)&gt;1,"DUP",SUMIFS('Estimates'!$F$5:$F$2004,'Estimates'!$A$5:$A$2004,$A17,'Estimates'!$B$5:$B$2004,"PPS",'Estimates'!$D$5:$D$2004,'Status'!$F$6,'Estimates'!$E$5:$E$2004,'Status'!$E$7))))</x:f>
      </x:c>
      <x:c r="L17" s="14" t="str">
        <x:f>IF(OR(COUNTA($A17)=0,'Status'!$G$6=""),"",IF(COUNTIFS('Estimates'!$A$5:$A$2004,$A17,'Estimates'!$B$5:$B$2004,"PPS",'Estimates'!$D$5:$D$2004,'Status'!$G$6,'Estimates'!$E$5:$E$2004,'Status'!$E$7)=0,"",IF(COUNTIFS('Estimates'!$A$5:$A$2004,$A17,'Estimates'!$B$5:$B$2004,"PPS",'Estimates'!$D$5:$D$2004,'Status'!$G$6,'Estimates'!$E$5:$E$2004,'Status'!$E$7)&gt;1,"DUP",SUMIFS('Estimates'!$F$5:$F$2004,'Estimates'!$A$5:$A$2004,$A17,'Estimates'!$B$5:$B$2004,"PPS",'Estimates'!$D$5:$D$2004,'Status'!$G$6,'Estimates'!$E$5:$E$2004,'Status'!$E$7))))</x:f>
      </x:c>
      <x:c r="M17" s="14" t="str">
        <x:f>IF(COUNT(J17:L17)&lt;2,"",_xlfn.STDEV.S(J17:L17))</x:f>
      </x:c>
      <x:c r="N17" s="14" t="str">
        <x:f>IF(AND(ISNUMBER(K17),ISNUMBER(L17)),ABS(L17-K17),"")</x:f>
      </x:c>
      <x:c r="O17" s="15" t="str">
        <x:f>IF(AND(ISNUMBER(K17),ISNUMBER(L17)),IF(K17=0,"n.a.",ABS(L17-K17)/ABS(K17)),"")</x:f>
      </x:c>
      <x:c r="P17" s="2" t="str">
        <x:f>IF(COUNTA(A17)=0,"",IF(NOT(ISNUMBER('Status'!$B$6)),"Set tolerance",IF(COUNT(J17:L17)&lt;3,"Need 3 levels",IF(OR(J17=0,K17=0),"Use abs. Δ",IF(AND(ABS(K17-J17)/ABS(J17)&lt;='Status'!$B$6,O17&lt;='Status'!$B$6),"Yes","No")))))</x:f>
      </x:c>
      <x:c r="Q17" s="14" t="str">
        <x:f>IF(AND(ISNUMBER(E17),ISNUMBER(L17)),ABS(E17-L17),"")</x:f>
      </x:c>
      <x:c r="R17" s="2" t="str">
        <x:f>IF(COUNTA(A17)=0,"",IF(COUNT(C17:E17,J17:L17)&gt;0,1,0))</x:f>
      </x:c>
      <x:c r="S17" s="2" t="str">
        <x:f>IF(COUNTA(A17)=0,"",IF(COUNTIFS($A$6:$A$165,A17)&gt;1,"Duplicate target",""))</x:f>
      </x:c>
    </x:row>
    <x:row r="18">
      <x:c r="A18" s="6"/>
      <x:c r="B18" s="20"/>
      <x:c r="C18" s="14" t="str">
        <x:f>IF(OR(COUNTA($A18)=0,'Status'!$E$5=""),"",IF(COUNTIFS('Estimates'!$A$5:$A$2004,$A18,'Estimates'!$B$5:$B$2004,"MPS",'Estimates'!$C$5:$C$2004,'Status'!$E$5)=0,"",IF(COUNTIFS('Estimates'!$A$5:$A$2004,$A18,'Estimates'!$B$5:$B$2004,"MPS",'Estimates'!$C$5:$C$2004,'Status'!$E$5)&gt;1,"DUP",SUMIFS('Estimates'!$F$5:$F$2004,'Estimates'!$A$5:$A$2004,$A18,'Estimates'!$B$5:$B$2004,"MPS",'Estimates'!$C$5:$C$2004,'Status'!$E$5))))</x:f>
      </x:c>
      <x:c r="D18" s="14" t="str">
        <x:f>IF(OR(COUNTA($A18)=0,'Status'!$F$5=""),"",IF(COUNTIFS('Estimates'!$A$5:$A$2004,$A18,'Estimates'!$B$5:$B$2004,"MPS",'Estimates'!$C$5:$C$2004,'Status'!$F$5)=0,"",IF(COUNTIFS('Estimates'!$A$5:$A$2004,$A18,'Estimates'!$B$5:$B$2004,"MPS",'Estimates'!$C$5:$C$2004,'Status'!$F$5)&gt;1,"DUP",SUMIFS('Estimates'!$F$5:$F$2004,'Estimates'!$A$5:$A$2004,$A18,'Estimates'!$B$5:$B$2004,"MPS",'Estimates'!$C$5:$C$2004,'Status'!$F$5))))</x:f>
      </x:c>
      <x:c r="E18" s="14" t="str">
        <x:f>IF(OR(COUNTA($A18)=0,'Status'!$G$5=""),"",IF(COUNTIFS('Estimates'!$A$5:$A$2004,$A18,'Estimates'!$B$5:$B$2004,"MPS",'Estimates'!$C$5:$C$2004,'Status'!$G$5)=0,"",IF(COUNTIFS('Estimates'!$A$5:$A$2004,$A18,'Estimates'!$B$5:$B$2004,"MPS",'Estimates'!$C$5:$C$2004,'Status'!$G$5)&gt;1,"DUP",SUMIFS('Estimates'!$F$5:$F$2004,'Estimates'!$A$5:$A$2004,$A18,'Estimates'!$B$5:$B$2004,"MPS",'Estimates'!$C$5:$C$2004,'Status'!$G$5))))</x:f>
      </x:c>
      <x:c r="F18" s="14" t="str">
        <x:f>IF(COUNT(C18:E18)&lt;2,"",_xlfn.STDEV.S(C18:E18))</x:f>
      </x:c>
      <x:c r="G18" s="14" t="str">
        <x:f>IF(AND(ISNUMBER(D18),ISNUMBER(E18)),ABS(E18-D18),"")</x:f>
      </x:c>
      <x:c r="H18" s="15" t="str">
        <x:f>IF(AND(ISNUMBER(D18),ISNUMBER(E18)),IF(D18=0,"n.a.",ABS(E18-D18)/ABS(D18)),"")</x:f>
      </x:c>
      <x:c r="I18" s="2" t="str">
        <x:f>IF(COUNTA(A18)=0,"",IF(NOT(ISNUMBER('Status'!$B$6)),"Set tolerance",IF(COUNT(C18:E18)&lt;3,"Need 3 levels",IF(OR(C18=0,D18=0),"Use abs. Δ",IF(AND(ABS(D18-C18)/ABS(C18)&lt;='Status'!$B$6,H18&lt;='Status'!$B$6),"Yes","No")))))</x:f>
      </x:c>
      <x:c r="J18" s="14" t="str">
        <x:f>IF(OR(COUNTA($A18)=0,'Status'!$E$6=""),"",IF(COUNTIFS('Estimates'!$A$5:$A$2004,$A18,'Estimates'!$B$5:$B$2004,"PPS",'Estimates'!$D$5:$D$2004,'Status'!$E$6,'Estimates'!$E$5:$E$2004,'Status'!$E$7)=0,"",IF(COUNTIFS('Estimates'!$A$5:$A$2004,$A18,'Estimates'!$B$5:$B$2004,"PPS",'Estimates'!$D$5:$D$2004,'Status'!$E$6,'Estimates'!$E$5:$E$2004,'Status'!$E$7)&gt;1,"DUP",SUMIFS('Estimates'!$F$5:$F$2004,'Estimates'!$A$5:$A$2004,$A18,'Estimates'!$B$5:$B$2004,"PPS",'Estimates'!$D$5:$D$2004,'Status'!$E$6,'Estimates'!$E$5:$E$2004,'Status'!$E$7))))</x:f>
      </x:c>
      <x:c r="K18" s="14" t="str">
        <x:f>IF(OR(COUNTA($A18)=0,'Status'!$F$6=""),"",IF(COUNTIFS('Estimates'!$A$5:$A$2004,$A18,'Estimates'!$B$5:$B$2004,"PPS",'Estimates'!$D$5:$D$2004,'Status'!$F$6,'Estimates'!$E$5:$E$2004,'Status'!$E$7)=0,"",IF(COUNTIFS('Estimates'!$A$5:$A$2004,$A18,'Estimates'!$B$5:$B$2004,"PPS",'Estimates'!$D$5:$D$2004,'Status'!$F$6,'Estimates'!$E$5:$E$2004,'Status'!$E$7)&gt;1,"DUP",SUMIFS('Estimates'!$F$5:$F$2004,'Estimates'!$A$5:$A$2004,$A18,'Estimates'!$B$5:$B$2004,"PPS",'Estimates'!$D$5:$D$2004,'Status'!$F$6,'Estimates'!$E$5:$E$2004,'Status'!$E$7))))</x:f>
      </x:c>
      <x:c r="L18" s="14" t="str">
        <x:f>IF(OR(COUNTA($A18)=0,'Status'!$G$6=""),"",IF(COUNTIFS('Estimates'!$A$5:$A$2004,$A18,'Estimates'!$B$5:$B$2004,"PPS",'Estimates'!$D$5:$D$2004,'Status'!$G$6,'Estimates'!$E$5:$E$2004,'Status'!$E$7)=0,"",IF(COUNTIFS('Estimates'!$A$5:$A$2004,$A18,'Estimates'!$B$5:$B$2004,"PPS",'Estimates'!$D$5:$D$2004,'Status'!$G$6,'Estimates'!$E$5:$E$2004,'Status'!$E$7)&gt;1,"DUP",SUMIFS('Estimates'!$F$5:$F$2004,'Estimates'!$A$5:$A$2004,$A18,'Estimates'!$B$5:$B$2004,"PPS",'Estimates'!$D$5:$D$2004,'Status'!$G$6,'Estimates'!$E$5:$E$2004,'Status'!$E$7))))</x:f>
      </x:c>
      <x:c r="M18" s="14" t="str">
        <x:f>IF(COUNT(J18:L18)&lt;2,"",_xlfn.STDEV.S(J18:L18))</x:f>
      </x:c>
      <x:c r="N18" s="14" t="str">
        <x:f>IF(AND(ISNUMBER(K18),ISNUMBER(L18)),ABS(L18-K18),"")</x:f>
      </x:c>
      <x:c r="O18" s="15" t="str">
        <x:f>IF(AND(ISNUMBER(K18),ISNUMBER(L18)),IF(K18=0,"n.a.",ABS(L18-K18)/ABS(K18)),"")</x:f>
      </x:c>
      <x:c r="P18" s="2" t="str">
        <x:f>IF(COUNTA(A18)=0,"",IF(NOT(ISNUMBER('Status'!$B$6)),"Set tolerance",IF(COUNT(J18:L18)&lt;3,"Need 3 levels",IF(OR(J18=0,K18=0),"Use abs. Δ",IF(AND(ABS(K18-J18)/ABS(J18)&lt;='Status'!$B$6,O18&lt;='Status'!$B$6),"Yes","No")))))</x:f>
      </x:c>
      <x:c r="Q18" s="14" t="str">
        <x:f>IF(AND(ISNUMBER(E18),ISNUMBER(L18)),ABS(E18-L18),"")</x:f>
      </x:c>
      <x:c r="R18" s="2" t="str">
        <x:f>IF(COUNTA(A18)=0,"",IF(COUNT(C18:E18,J18:L18)&gt;0,1,0))</x:f>
      </x:c>
      <x:c r="S18" s="2" t="str">
        <x:f>IF(COUNTA(A18)=0,"",IF(COUNTIFS($A$6:$A$165,A18)&gt;1,"Duplicate target",""))</x:f>
      </x:c>
    </x:row>
    <x:row r="19">
      <x:c r="A19" s="6"/>
      <x:c r="B19" s="20"/>
      <x:c r="C19" s="14" t="str">
        <x:f>IF(OR(COUNTA($A19)=0,'Status'!$E$5=""),"",IF(COUNTIFS('Estimates'!$A$5:$A$2004,$A19,'Estimates'!$B$5:$B$2004,"MPS",'Estimates'!$C$5:$C$2004,'Status'!$E$5)=0,"",IF(COUNTIFS('Estimates'!$A$5:$A$2004,$A19,'Estimates'!$B$5:$B$2004,"MPS",'Estimates'!$C$5:$C$2004,'Status'!$E$5)&gt;1,"DUP",SUMIFS('Estimates'!$F$5:$F$2004,'Estimates'!$A$5:$A$2004,$A19,'Estimates'!$B$5:$B$2004,"MPS",'Estimates'!$C$5:$C$2004,'Status'!$E$5))))</x:f>
      </x:c>
      <x:c r="D19" s="14" t="str">
        <x:f>IF(OR(COUNTA($A19)=0,'Status'!$F$5=""),"",IF(COUNTIFS('Estimates'!$A$5:$A$2004,$A19,'Estimates'!$B$5:$B$2004,"MPS",'Estimates'!$C$5:$C$2004,'Status'!$F$5)=0,"",IF(COUNTIFS('Estimates'!$A$5:$A$2004,$A19,'Estimates'!$B$5:$B$2004,"MPS",'Estimates'!$C$5:$C$2004,'Status'!$F$5)&gt;1,"DUP",SUMIFS('Estimates'!$F$5:$F$2004,'Estimates'!$A$5:$A$2004,$A19,'Estimates'!$B$5:$B$2004,"MPS",'Estimates'!$C$5:$C$2004,'Status'!$F$5))))</x:f>
      </x:c>
      <x:c r="E19" s="14" t="str">
        <x:f>IF(OR(COUNTA($A19)=0,'Status'!$G$5=""),"",IF(COUNTIFS('Estimates'!$A$5:$A$2004,$A19,'Estimates'!$B$5:$B$2004,"MPS",'Estimates'!$C$5:$C$2004,'Status'!$G$5)=0,"",IF(COUNTIFS('Estimates'!$A$5:$A$2004,$A19,'Estimates'!$B$5:$B$2004,"MPS",'Estimates'!$C$5:$C$2004,'Status'!$G$5)&gt;1,"DUP",SUMIFS('Estimates'!$F$5:$F$2004,'Estimates'!$A$5:$A$2004,$A19,'Estimates'!$B$5:$B$2004,"MPS",'Estimates'!$C$5:$C$2004,'Status'!$G$5))))</x:f>
      </x:c>
      <x:c r="F19" s="14" t="str">
        <x:f>IF(COUNT(C19:E19)&lt;2,"",_xlfn.STDEV.S(C19:E19))</x:f>
      </x:c>
      <x:c r="G19" s="14" t="str">
        <x:f>IF(AND(ISNUMBER(D19),ISNUMBER(E19)),ABS(E19-D19),"")</x:f>
      </x:c>
      <x:c r="H19" s="15" t="str">
        <x:f>IF(AND(ISNUMBER(D19),ISNUMBER(E19)),IF(D19=0,"n.a.",ABS(E19-D19)/ABS(D19)),"")</x:f>
      </x:c>
      <x:c r="I19" s="2" t="str">
        <x:f>IF(COUNTA(A19)=0,"",IF(NOT(ISNUMBER('Status'!$B$6)),"Set tolerance",IF(COUNT(C19:E19)&lt;3,"Need 3 levels",IF(OR(C19=0,D19=0),"Use abs. Δ",IF(AND(ABS(D19-C19)/ABS(C19)&lt;='Status'!$B$6,H19&lt;='Status'!$B$6),"Yes","No")))))</x:f>
      </x:c>
      <x:c r="J19" s="14" t="str">
        <x:f>IF(OR(COUNTA($A19)=0,'Status'!$E$6=""),"",IF(COUNTIFS('Estimates'!$A$5:$A$2004,$A19,'Estimates'!$B$5:$B$2004,"PPS",'Estimates'!$D$5:$D$2004,'Status'!$E$6,'Estimates'!$E$5:$E$2004,'Status'!$E$7)=0,"",IF(COUNTIFS('Estimates'!$A$5:$A$2004,$A19,'Estimates'!$B$5:$B$2004,"PPS",'Estimates'!$D$5:$D$2004,'Status'!$E$6,'Estimates'!$E$5:$E$2004,'Status'!$E$7)&gt;1,"DUP",SUMIFS('Estimates'!$F$5:$F$2004,'Estimates'!$A$5:$A$2004,$A19,'Estimates'!$B$5:$B$2004,"PPS",'Estimates'!$D$5:$D$2004,'Status'!$E$6,'Estimates'!$E$5:$E$2004,'Status'!$E$7))))</x:f>
      </x:c>
      <x:c r="K19" s="14" t="str">
        <x:f>IF(OR(COUNTA($A19)=0,'Status'!$F$6=""),"",IF(COUNTIFS('Estimates'!$A$5:$A$2004,$A19,'Estimates'!$B$5:$B$2004,"PPS",'Estimates'!$D$5:$D$2004,'Status'!$F$6,'Estimates'!$E$5:$E$2004,'Status'!$E$7)=0,"",IF(COUNTIFS('Estimates'!$A$5:$A$2004,$A19,'Estimates'!$B$5:$B$2004,"PPS",'Estimates'!$D$5:$D$2004,'Status'!$F$6,'Estimates'!$E$5:$E$2004,'Status'!$E$7)&gt;1,"DUP",SUMIFS('Estimates'!$F$5:$F$2004,'Estimates'!$A$5:$A$2004,$A19,'Estimates'!$B$5:$B$2004,"PPS",'Estimates'!$D$5:$D$2004,'Status'!$F$6,'Estimates'!$E$5:$E$2004,'Status'!$E$7))))</x:f>
      </x:c>
      <x:c r="L19" s="14" t="str">
        <x:f>IF(OR(COUNTA($A19)=0,'Status'!$G$6=""),"",IF(COUNTIFS('Estimates'!$A$5:$A$2004,$A19,'Estimates'!$B$5:$B$2004,"PPS",'Estimates'!$D$5:$D$2004,'Status'!$G$6,'Estimates'!$E$5:$E$2004,'Status'!$E$7)=0,"",IF(COUNTIFS('Estimates'!$A$5:$A$2004,$A19,'Estimates'!$B$5:$B$2004,"PPS",'Estimates'!$D$5:$D$2004,'Status'!$G$6,'Estimates'!$E$5:$E$2004,'Status'!$E$7)&gt;1,"DUP",SUMIFS('Estimates'!$F$5:$F$2004,'Estimates'!$A$5:$A$2004,$A19,'Estimates'!$B$5:$B$2004,"PPS",'Estimates'!$D$5:$D$2004,'Status'!$G$6,'Estimates'!$E$5:$E$2004,'Status'!$E$7))))</x:f>
      </x:c>
      <x:c r="M19" s="14" t="str">
        <x:f>IF(COUNT(J19:L19)&lt;2,"",_xlfn.STDEV.S(J19:L19))</x:f>
      </x:c>
      <x:c r="N19" s="14" t="str">
        <x:f>IF(AND(ISNUMBER(K19),ISNUMBER(L19)),ABS(L19-K19),"")</x:f>
      </x:c>
      <x:c r="O19" s="15" t="str">
        <x:f>IF(AND(ISNUMBER(K19),ISNUMBER(L19)),IF(K19=0,"n.a.",ABS(L19-K19)/ABS(K19)),"")</x:f>
      </x:c>
      <x:c r="P19" s="2" t="str">
        <x:f>IF(COUNTA(A19)=0,"",IF(NOT(ISNUMBER('Status'!$B$6)),"Set tolerance",IF(COUNT(J19:L19)&lt;3,"Need 3 levels",IF(OR(J19=0,K19=0),"Use abs. Δ",IF(AND(ABS(K19-J19)/ABS(J19)&lt;='Status'!$B$6,O19&lt;='Status'!$B$6),"Yes","No")))))</x:f>
      </x:c>
      <x:c r="Q19" s="14" t="str">
        <x:f>IF(AND(ISNUMBER(E19),ISNUMBER(L19)),ABS(E19-L19),"")</x:f>
      </x:c>
      <x:c r="R19" s="2" t="str">
        <x:f>IF(COUNTA(A19)=0,"",IF(COUNT(C19:E19,J19:L19)&gt;0,1,0))</x:f>
      </x:c>
      <x:c r="S19" s="2" t="str">
        <x:f>IF(COUNTA(A19)=0,"",IF(COUNTIFS($A$6:$A$165,A19)&gt;1,"Duplicate target",""))</x:f>
      </x:c>
    </x:row>
    <x:row r="20">
      <x:c r="A20" s="6"/>
      <x:c r="B20" s="20"/>
      <x:c r="C20" s="14" t="str">
        <x:f>IF(OR(COUNTA($A20)=0,'Status'!$E$5=""),"",IF(COUNTIFS('Estimates'!$A$5:$A$2004,$A20,'Estimates'!$B$5:$B$2004,"MPS",'Estimates'!$C$5:$C$2004,'Status'!$E$5)=0,"",IF(COUNTIFS('Estimates'!$A$5:$A$2004,$A20,'Estimates'!$B$5:$B$2004,"MPS",'Estimates'!$C$5:$C$2004,'Status'!$E$5)&gt;1,"DUP",SUMIFS('Estimates'!$F$5:$F$2004,'Estimates'!$A$5:$A$2004,$A20,'Estimates'!$B$5:$B$2004,"MPS",'Estimates'!$C$5:$C$2004,'Status'!$E$5))))</x:f>
      </x:c>
      <x:c r="D20" s="14" t="str">
        <x:f>IF(OR(COUNTA($A20)=0,'Status'!$F$5=""),"",IF(COUNTIFS('Estimates'!$A$5:$A$2004,$A20,'Estimates'!$B$5:$B$2004,"MPS",'Estimates'!$C$5:$C$2004,'Status'!$F$5)=0,"",IF(COUNTIFS('Estimates'!$A$5:$A$2004,$A20,'Estimates'!$B$5:$B$2004,"MPS",'Estimates'!$C$5:$C$2004,'Status'!$F$5)&gt;1,"DUP",SUMIFS('Estimates'!$F$5:$F$2004,'Estimates'!$A$5:$A$2004,$A20,'Estimates'!$B$5:$B$2004,"MPS",'Estimates'!$C$5:$C$2004,'Status'!$F$5))))</x:f>
      </x:c>
      <x:c r="E20" s="14" t="str">
        <x:f>IF(OR(COUNTA($A20)=0,'Status'!$G$5=""),"",IF(COUNTIFS('Estimates'!$A$5:$A$2004,$A20,'Estimates'!$B$5:$B$2004,"MPS",'Estimates'!$C$5:$C$2004,'Status'!$G$5)=0,"",IF(COUNTIFS('Estimates'!$A$5:$A$2004,$A20,'Estimates'!$B$5:$B$2004,"MPS",'Estimates'!$C$5:$C$2004,'Status'!$G$5)&gt;1,"DUP",SUMIFS('Estimates'!$F$5:$F$2004,'Estimates'!$A$5:$A$2004,$A20,'Estimates'!$B$5:$B$2004,"MPS",'Estimates'!$C$5:$C$2004,'Status'!$G$5))))</x:f>
      </x:c>
      <x:c r="F20" s="14" t="str">
        <x:f>IF(COUNT(C20:E20)&lt;2,"",_xlfn.STDEV.S(C20:E20))</x:f>
      </x:c>
      <x:c r="G20" s="14" t="str">
        <x:f>IF(AND(ISNUMBER(D20),ISNUMBER(E20)),ABS(E20-D20),"")</x:f>
      </x:c>
      <x:c r="H20" s="15" t="str">
        <x:f>IF(AND(ISNUMBER(D20),ISNUMBER(E20)),IF(D20=0,"n.a.",ABS(E20-D20)/ABS(D20)),"")</x:f>
      </x:c>
      <x:c r="I20" s="2" t="str">
        <x:f>IF(COUNTA(A20)=0,"",IF(NOT(ISNUMBER('Status'!$B$6)),"Set tolerance",IF(COUNT(C20:E20)&lt;3,"Need 3 levels",IF(OR(C20=0,D20=0),"Use abs. Δ",IF(AND(ABS(D20-C20)/ABS(C20)&lt;='Status'!$B$6,H20&lt;='Status'!$B$6),"Yes","No")))))</x:f>
      </x:c>
      <x:c r="J20" s="14" t="str">
        <x:f>IF(OR(COUNTA($A20)=0,'Status'!$E$6=""),"",IF(COUNTIFS('Estimates'!$A$5:$A$2004,$A20,'Estimates'!$B$5:$B$2004,"PPS",'Estimates'!$D$5:$D$2004,'Status'!$E$6,'Estimates'!$E$5:$E$2004,'Status'!$E$7)=0,"",IF(COUNTIFS('Estimates'!$A$5:$A$2004,$A20,'Estimates'!$B$5:$B$2004,"PPS",'Estimates'!$D$5:$D$2004,'Status'!$E$6,'Estimates'!$E$5:$E$2004,'Status'!$E$7)&gt;1,"DUP",SUMIFS('Estimates'!$F$5:$F$2004,'Estimates'!$A$5:$A$2004,$A20,'Estimates'!$B$5:$B$2004,"PPS",'Estimates'!$D$5:$D$2004,'Status'!$E$6,'Estimates'!$E$5:$E$2004,'Status'!$E$7))))</x:f>
      </x:c>
      <x:c r="K20" s="14" t="str">
        <x:f>IF(OR(COUNTA($A20)=0,'Status'!$F$6=""),"",IF(COUNTIFS('Estimates'!$A$5:$A$2004,$A20,'Estimates'!$B$5:$B$2004,"PPS",'Estimates'!$D$5:$D$2004,'Status'!$F$6,'Estimates'!$E$5:$E$2004,'Status'!$E$7)=0,"",IF(COUNTIFS('Estimates'!$A$5:$A$2004,$A20,'Estimates'!$B$5:$B$2004,"PPS",'Estimates'!$D$5:$D$2004,'Status'!$F$6,'Estimates'!$E$5:$E$2004,'Status'!$E$7)&gt;1,"DUP",SUMIFS('Estimates'!$F$5:$F$2004,'Estimates'!$A$5:$A$2004,$A20,'Estimates'!$B$5:$B$2004,"PPS",'Estimates'!$D$5:$D$2004,'Status'!$F$6,'Estimates'!$E$5:$E$2004,'Status'!$E$7))))</x:f>
      </x:c>
      <x:c r="L20" s="14" t="str">
        <x:f>IF(OR(COUNTA($A20)=0,'Status'!$G$6=""),"",IF(COUNTIFS('Estimates'!$A$5:$A$2004,$A20,'Estimates'!$B$5:$B$2004,"PPS",'Estimates'!$D$5:$D$2004,'Status'!$G$6,'Estimates'!$E$5:$E$2004,'Status'!$E$7)=0,"",IF(COUNTIFS('Estimates'!$A$5:$A$2004,$A20,'Estimates'!$B$5:$B$2004,"PPS",'Estimates'!$D$5:$D$2004,'Status'!$G$6,'Estimates'!$E$5:$E$2004,'Status'!$E$7)&gt;1,"DUP",SUMIFS('Estimates'!$F$5:$F$2004,'Estimates'!$A$5:$A$2004,$A20,'Estimates'!$B$5:$B$2004,"PPS",'Estimates'!$D$5:$D$2004,'Status'!$G$6,'Estimates'!$E$5:$E$2004,'Status'!$E$7))))</x:f>
      </x:c>
      <x:c r="M20" s="14" t="str">
        <x:f>IF(COUNT(J20:L20)&lt;2,"",_xlfn.STDEV.S(J20:L20))</x:f>
      </x:c>
      <x:c r="N20" s="14" t="str">
        <x:f>IF(AND(ISNUMBER(K20),ISNUMBER(L20)),ABS(L20-K20),"")</x:f>
      </x:c>
      <x:c r="O20" s="15" t="str">
        <x:f>IF(AND(ISNUMBER(K20),ISNUMBER(L20)),IF(K20=0,"n.a.",ABS(L20-K20)/ABS(K20)),"")</x:f>
      </x:c>
      <x:c r="P20" s="2" t="str">
        <x:f>IF(COUNTA(A20)=0,"",IF(NOT(ISNUMBER('Status'!$B$6)),"Set tolerance",IF(COUNT(J20:L20)&lt;3,"Need 3 levels",IF(OR(J20=0,K20=0),"Use abs. Δ",IF(AND(ABS(K20-J20)/ABS(J20)&lt;='Status'!$B$6,O20&lt;='Status'!$B$6),"Yes","No")))))</x:f>
      </x:c>
      <x:c r="Q20" s="14" t="str">
        <x:f>IF(AND(ISNUMBER(E20),ISNUMBER(L20)),ABS(E20-L20),"")</x:f>
      </x:c>
      <x:c r="R20" s="2" t="str">
        <x:f>IF(COUNTA(A20)=0,"",IF(COUNT(C20:E20,J20:L20)&gt;0,1,0))</x:f>
      </x:c>
      <x:c r="S20" s="2" t="str">
        <x:f>IF(COUNTA(A20)=0,"",IF(COUNTIFS($A$6:$A$165,A20)&gt;1,"Duplicate target",""))</x:f>
      </x:c>
    </x:row>
    <x:row r="21">
      <x:c r="A21" s="6"/>
      <x:c r="B21" s="20"/>
      <x:c r="C21" s="14" t="str">
        <x:f>IF(OR(COUNTA($A21)=0,'Status'!$E$5=""),"",IF(COUNTIFS('Estimates'!$A$5:$A$2004,$A21,'Estimates'!$B$5:$B$2004,"MPS",'Estimates'!$C$5:$C$2004,'Status'!$E$5)=0,"",IF(COUNTIFS('Estimates'!$A$5:$A$2004,$A21,'Estimates'!$B$5:$B$2004,"MPS",'Estimates'!$C$5:$C$2004,'Status'!$E$5)&gt;1,"DUP",SUMIFS('Estimates'!$F$5:$F$2004,'Estimates'!$A$5:$A$2004,$A21,'Estimates'!$B$5:$B$2004,"MPS",'Estimates'!$C$5:$C$2004,'Status'!$E$5))))</x:f>
      </x:c>
      <x:c r="D21" s="14" t="str">
        <x:f>IF(OR(COUNTA($A21)=0,'Status'!$F$5=""),"",IF(COUNTIFS('Estimates'!$A$5:$A$2004,$A21,'Estimates'!$B$5:$B$2004,"MPS",'Estimates'!$C$5:$C$2004,'Status'!$F$5)=0,"",IF(COUNTIFS('Estimates'!$A$5:$A$2004,$A21,'Estimates'!$B$5:$B$2004,"MPS",'Estimates'!$C$5:$C$2004,'Status'!$F$5)&gt;1,"DUP",SUMIFS('Estimates'!$F$5:$F$2004,'Estimates'!$A$5:$A$2004,$A21,'Estimates'!$B$5:$B$2004,"MPS",'Estimates'!$C$5:$C$2004,'Status'!$F$5))))</x:f>
      </x:c>
      <x:c r="E21" s="14" t="str">
        <x:f>IF(OR(COUNTA($A21)=0,'Status'!$G$5=""),"",IF(COUNTIFS('Estimates'!$A$5:$A$2004,$A21,'Estimates'!$B$5:$B$2004,"MPS",'Estimates'!$C$5:$C$2004,'Status'!$G$5)=0,"",IF(COUNTIFS('Estimates'!$A$5:$A$2004,$A21,'Estimates'!$B$5:$B$2004,"MPS",'Estimates'!$C$5:$C$2004,'Status'!$G$5)&gt;1,"DUP",SUMIFS('Estimates'!$F$5:$F$2004,'Estimates'!$A$5:$A$2004,$A21,'Estimates'!$B$5:$B$2004,"MPS",'Estimates'!$C$5:$C$2004,'Status'!$G$5))))</x:f>
      </x:c>
      <x:c r="F21" s="14" t="str">
        <x:f>IF(COUNT(C21:E21)&lt;2,"",_xlfn.STDEV.S(C21:E21))</x:f>
      </x:c>
      <x:c r="G21" s="14" t="str">
        <x:f>IF(AND(ISNUMBER(D21),ISNUMBER(E21)),ABS(E21-D21),"")</x:f>
      </x:c>
      <x:c r="H21" s="15" t="str">
        <x:f>IF(AND(ISNUMBER(D21),ISNUMBER(E21)),IF(D21=0,"n.a.",ABS(E21-D21)/ABS(D21)),"")</x:f>
      </x:c>
      <x:c r="I21" s="2" t="str">
        <x:f>IF(COUNTA(A21)=0,"",IF(NOT(ISNUMBER('Status'!$B$6)),"Set tolerance",IF(COUNT(C21:E21)&lt;3,"Need 3 levels",IF(OR(C21=0,D21=0),"Use abs. Δ",IF(AND(ABS(D21-C21)/ABS(C21)&lt;='Status'!$B$6,H21&lt;='Status'!$B$6),"Yes","No")))))</x:f>
      </x:c>
      <x:c r="J21" s="14" t="str">
        <x:f>IF(OR(COUNTA($A21)=0,'Status'!$E$6=""),"",IF(COUNTIFS('Estimates'!$A$5:$A$2004,$A21,'Estimates'!$B$5:$B$2004,"PPS",'Estimates'!$D$5:$D$2004,'Status'!$E$6,'Estimates'!$E$5:$E$2004,'Status'!$E$7)=0,"",IF(COUNTIFS('Estimates'!$A$5:$A$2004,$A21,'Estimates'!$B$5:$B$2004,"PPS",'Estimates'!$D$5:$D$2004,'Status'!$E$6,'Estimates'!$E$5:$E$2004,'Status'!$E$7)&gt;1,"DUP",SUMIFS('Estimates'!$F$5:$F$2004,'Estimates'!$A$5:$A$2004,$A21,'Estimates'!$B$5:$B$2004,"PPS",'Estimates'!$D$5:$D$2004,'Status'!$E$6,'Estimates'!$E$5:$E$2004,'Status'!$E$7))))</x:f>
      </x:c>
      <x:c r="K21" s="14" t="str">
        <x:f>IF(OR(COUNTA($A21)=0,'Status'!$F$6=""),"",IF(COUNTIFS('Estimates'!$A$5:$A$2004,$A21,'Estimates'!$B$5:$B$2004,"PPS",'Estimates'!$D$5:$D$2004,'Status'!$F$6,'Estimates'!$E$5:$E$2004,'Status'!$E$7)=0,"",IF(COUNTIFS('Estimates'!$A$5:$A$2004,$A21,'Estimates'!$B$5:$B$2004,"PPS",'Estimates'!$D$5:$D$2004,'Status'!$F$6,'Estimates'!$E$5:$E$2004,'Status'!$E$7)&gt;1,"DUP",SUMIFS('Estimates'!$F$5:$F$2004,'Estimates'!$A$5:$A$2004,$A21,'Estimates'!$B$5:$B$2004,"PPS",'Estimates'!$D$5:$D$2004,'Status'!$F$6,'Estimates'!$E$5:$E$2004,'Status'!$E$7))))</x:f>
      </x:c>
      <x:c r="L21" s="14" t="str">
        <x:f>IF(OR(COUNTA($A21)=0,'Status'!$G$6=""),"",IF(COUNTIFS('Estimates'!$A$5:$A$2004,$A21,'Estimates'!$B$5:$B$2004,"PPS",'Estimates'!$D$5:$D$2004,'Status'!$G$6,'Estimates'!$E$5:$E$2004,'Status'!$E$7)=0,"",IF(COUNTIFS('Estimates'!$A$5:$A$2004,$A21,'Estimates'!$B$5:$B$2004,"PPS",'Estimates'!$D$5:$D$2004,'Status'!$G$6,'Estimates'!$E$5:$E$2004,'Status'!$E$7)&gt;1,"DUP",SUMIFS('Estimates'!$F$5:$F$2004,'Estimates'!$A$5:$A$2004,$A21,'Estimates'!$B$5:$B$2004,"PPS",'Estimates'!$D$5:$D$2004,'Status'!$G$6,'Estimates'!$E$5:$E$2004,'Status'!$E$7))))</x:f>
      </x:c>
      <x:c r="M21" s="14" t="str">
        <x:f>IF(COUNT(J21:L21)&lt;2,"",_xlfn.STDEV.S(J21:L21))</x:f>
      </x:c>
      <x:c r="N21" s="14" t="str">
        <x:f>IF(AND(ISNUMBER(K21),ISNUMBER(L21)),ABS(L21-K21),"")</x:f>
      </x:c>
      <x:c r="O21" s="15" t="str">
        <x:f>IF(AND(ISNUMBER(K21),ISNUMBER(L21)),IF(K21=0,"n.a.",ABS(L21-K21)/ABS(K21)),"")</x:f>
      </x:c>
      <x:c r="P21" s="2" t="str">
        <x:f>IF(COUNTA(A21)=0,"",IF(NOT(ISNUMBER('Status'!$B$6)),"Set tolerance",IF(COUNT(J21:L21)&lt;3,"Need 3 levels",IF(OR(J21=0,K21=0),"Use abs. Δ",IF(AND(ABS(K21-J21)/ABS(J21)&lt;='Status'!$B$6,O21&lt;='Status'!$B$6),"Yes","No")))))</x:f>
      </x:c>
      <x:c r="Q21" s="14" t="str">
        <x:f>IF(AND(ISNUMBER(E21),ISNUMBER(L21)),ABS(E21-L21),"")</x:f>
      </x:c>
      <x:c r="R21" s="2" t="str">
        <x:f>IF(COUNTA(A21)=0,"",IF(COUNT(C21:E21,J21:L21)&gt;0,1,0))</x:f>
      </x:c>
      <x:c r="S21" s="2" t="str">
        <x:f>IF(COUNTA(A21)=0,"",IF(COUNTIFS($A$6:$A$165,A21)&gt;1,"Duplicate target",""))</x:f>
      </x:c>
    </x:row>
    <x:row r="22">
      <x:c r="A22" s="6"/>
      <x:c r="B22" s="20"/>
      <x:c r="C22" s="14" t="str">
        <x:f>IF(OR(COUNTA($A22)=0,'Status'!$E$5=""),"",IF(COUNTIFS('Estimates'!$A$5:$A$2004,$A22,'Estimates'!$B$5:$B$2004,"MPS",'Estimates'!$C$5:$C$2004,'Status'!$E$5)=0,"",IF(COUNTIFS('Estimates'!$A$5:$A$2004,$A22,'Estimates'!$B$5:$B$2004,"MPS",'Estimates'!$C$5:$C$2004,'Status'!$E$5)&gt;1,"DUP",SUMIFS('Estimates'!$F$5:$F$2004,'Estimates'!$A$5:$A$2004,$A22,'Estimates'!$B$5:$B$2004,"MPS",'Estimates'!$C$5:$C$2004,'Status'!$E$5))))</x:f>
      </x:c>
      <x:c r="D22" s="14" t="str">
        <x:f>IF(OR(COUNTA($A22)=0,'Status'!$F$5=""),"",IF(COUNTIFS('Estimates'!$A$5:$A$2004,$A22,'Estimates'!$B$5:$B$2004,"MPS",'Estimates'!$C$5:$C$2004,'Status'!$F$5)=0,"",IF(COUNTIFS('Estimates'!$A$5:$A$2004,$A22,'Estimates'!$B$5:$B$2004,"MPS",'Estimates'!$C$5:$C$2004,'Status'!$F$5)&gt;1,"DUP",SUMIFS('Estimates'!$F$5:$F$2004,'Estimates'!$A$5:$A$2004,$A22,'Estimates'!$B$5:$B$2004,"MPS",'Estimates'!$C$5:$C$2004,'Status'!$F$5))))</x:f>
      </x:c>
      <x:c r="E22" s="14" t="str">
        <x:f>IF(OR(COUNTA($A22)=0,'Status'!$G$5=""),"",IF(COUNTIFS('Estimates'!$A$5:$A$2004,$A22,'Estimates'!$B$5:$B$2004,"MPS",'Estimates'!$C$5:$C$2004,'Status'!$G$5)=0,"",IF(COUNTIFS('Estimates'!$A$5:$A$2004,$A22,'Estimates'!$B$5:$B$2004,"MPS",'Estimates'!$C$5:$C$2004,'Status'!$G$5)&gt;1,"DUP",SUMIFS('Estimates'!$F$5:$F$2004,'Estimates'!$A$5:$A$2004,$A22,'Estimates'!$B$5:$B$2004,"MPS",'Estimates'!$C$5:$C$2004,'Status'!$G$5))))</x:f>
      </x:c>
      <x:c r="F22" s="14" t="str">
        <x:f>IF(COUNT(C22:E22)&lt;2,"",_xlfn.STDEV.S(C22:E22))</x:f>
      </x:c>
      <x:c r="G22" s="14" t="str">
        <x:f>IF(AND(ISNUMBER(D22),ISNUMBER(E22)),ABS(E22-D22),"")</x:f>
      </x:c>
      <x:c r="H22" s="15" t="str">
        <x:f>IF(AND(ISNUMBER(D22),ISNUMBER(E22)),IF(D22=0,"n.a.",ABS(E22-D22)/ABS(D22)),"")</x:f>
      </x:c>
      <x:c r="I22" s="2" t="str">
        <x:f>IF(COUNTA(A22)=0,"",IF(NOT(ISNUMBER('Status'!$B$6)),"Set tolerance",IF(COUNT(C22:E22)&lt;3,"Need 3 levels",IF(OR(C22=0,D22=0),"Use abs. Δ",IF(AND(ABS(D22-C22)/ABS(C22)&lt;='Status'!$B$6,H22&lt;='Status'!$B$6),"Yes","No")))))</x:f>
      </x:c>
      <x:c r="J22" s="14" t="str">
        <x:f>IF(OR(COUNTA($A22)=0,'Status'!$E$6=""),"",IF(COUNTIFS('Estimates'!$A$5:$A$2004,$A22,'Estimates'!$B$5:$B$2004,"PPS",'Estimates'!$D$5:$D$2004,'Status'!$E$6,'Estimates'!$E$5:$E$2004,'Status'!$E$7)=0,"",IF(COUNTIFS('Estimates'!$A$5:$A$2004,$A22,'Estimates'!$B$5:$B$2004,"PPS",'Estimates'!$D$5:$D$2004,'Status'!$E$6,'Estimates'!$E$5:$E$2004,'Status'!$E$7)&gt;1,"DUP",SUMIFS('Estimates'!$F$5:$F$2004,'Estimates'!$A$5:$A$2004,$A22,'Estimates'!$B$5:$B$2004,"PPS",'Estimates'!$D$5:$D$2004,'Status'!$E$6,'Estimates'!$E$5:$E$2004,'Status'!$E$7))))</x:f>
      </x:c>
      <x:c r="K22" s="14" t="str">
        <x:f>IF(OR(COUNTA($A22)=0,'Status'!$F$6=""),"",IF(COUNTIFS('Estimates'!$A$5:$A$2004,$A22,'Estimates'!$B$5:$B$2004,"PPS",'Estimates'!$D$5:$D$2004,'Status'!$F$6,'Estimates'!$E$5:$E$2004,'Status'!$E$7)=0,"",IF(COUNTIFS('Estimates'!$A$5:$A$2004,$A22,'Estimates'!$B$5:$B$2004,"PPS",'Estimates'!$D$5:$D$2004,'Status'!$F$6,'Estimates'!$E$5:$E$2004,'Status'!$E$7)&gt;1,"DUP",SUMIFS('Estimates'!$F$5:$F$2004,'Estimates'!$A$5:$A$2004,$A22,'Estimates'!$B$5:$B$2004,"PPS",'Estimates'!$D$5:$D$2004,'Status'!$F$6,'Estimates'!$E$5:$E$2004,'Status'!$E$7))))</x:f>
      </x:c>
      <x:c r="L22" s="14" t="str">
        <x:f>IF(OR(COUNTA($A22)=0,'Status'!$G$6=""),"",IF(COUNTIFS('Estimates'!$A$5:$A$2004,$A22,'Estimates'!$B$5:$B$2004,"PPS",'Estimates'!$D$5:$D$2004,'Status'!$G$6,'Estimates'!$E$5:$E$2004,'Status'!$E$7)=0,"",IF(COUNTIFS('Estimates'!$A$5:$A$2004,$A22,'Estimates'!$B$5:$B$2004,"PPS",'Estimates'!$D$5:$D$2004,'Status'!$G$6,'Estimates'!$E$5:$E$2004,'Status'!$E$7)&gt;1,"DUP",SUMIFS('Estimates'!$F$5:$F$2004,'Estimates'!$A$5:$A$2004,$A22,'Estimates'!$B$5:$B$2004,"PPS",'Estimates'!$D$5:$D$2004,'Status'!$G$6,'Estimates'!$E$5:$E$2004,'Status'!$E$7))))</x:f>
      </x:c>
      <x:c r="M22" s="14" t="str">
        <x:f>IF(COUNT(J22:L22)&lt;2,"",_xlfn.STDEV.S(J22:L22))</x:f>
      </x:c>
      <x:c r="N22" s="14" t="str">
        <x:f>IF(AND(ISNUMBER(K22),ISNUMBER(L22)),ABS(L22-K22),"")</x:f>
      </x:c>
      <x:c r="O22" s="15" t="str">
        <x:f>IF(AND(ISNUMBER(K22),ISNUMBER(L22)),IF(K22=0,"n.a.",ABS(L22-K22)/ABS(K22)),"")</x:f>
      </x:c>
      <x:c r="P22" s="2" t="str">
        <x:f>IF(COUNTA(A22)=0,"",IF(NOT(ISNUMBER('Status'!$B$6)),"Set tolerance",IF(COUNT(J22:L22)&lt;3,"Need 3 levels",IF(OR(J22=0,K22=0),"Use abs. Δ",IF(AND(ABS(K22-J22)/ABS(J22)&lt;='Status'!$B$6,O22&lt;='Status'!$B$6),"Yes","No")))))</x:f>
      </x:c>
      <x:c r="Q22" s="14" t="str">
        <x:f>IF(AND(ISNUMBER(E22),ISNUMBER(L22)),ABS(E22-L22),"")</x:f>
      </x:c>
      <x:c r="R22" s="2" t="str">
        <x:f>IF(COUNTA(A22)=0,"",IF(COUNT(C22:E22,J22:L22)&gt;0,1,0))</x:f>
      </x:c>
      <x:c r="S22" s="2" t="str">
        <x:f>IF(COUNTA(A22)=0,"",IF(COUNTIFS($A$6:$A$165,A22)&gt;1,"Duplicate target",""))</x:f>
      </x:c>
    </x:row>
    <x:row r="23">
      <x:c r="A23" s="6"/>
      <x:c r="B23" s="20"/>
      <x:c r="C23" s="14" t="str">
        <x:f>IF(OR(COUNTA($A23)=0,'Status'!$E$5=""),"",IF(COUNTIFS('Estimates'!$A$5:$A$2004,$A23,'Estimates'!$B$5:$B$2004,"MPS",'Estimates'!$C$5:$C$2004,'Status'!$E$5)=0,"",IF(COUNTIFS('Estimates'!$A$5:$A$2004,$A23,'Estimates'!$B$5:$B$2004,"MPS",'Estimates'!$C$5:$C$2004,'Status'!$E$5)&gt;1,"DUP",SUMIFS('Estimates'!$F$5:$F$2004,'Estimates'!$A$5:$A$2004,$A23,'Estimates'!$B$5:$B$2004,"MPS",'Estimates'!$C$5:$C$2004,'Status'!$E$5))))</x:f>
      </x:c>
      <x:c r="D23" s="14" t="str">
        <x:f>IF(OR(COUNTA($A23)=0,'Status'!$F$5=""),"",IF(COUNTIFS('Estimates'!$A$5:$A$2004,$A23,'Estimates'!$B$5:$B$2004,"MPS",'Estimates'!$C$5:$C$2004,'Status'!$F$5)=0,"",IF(COUNTIFS('Estimates'!$A$5:$A$2004,$A23,'Estimates'!$B$5:$B$2004,"MPS",'Estimates'!$C$5:$C$2004,'Status'!$F$5)&gt;1,"DUP",SUMIFS('Estimates'!$F$5:$F$2004,'Estimates'!$A$5:$A$2004,$A23,'Estimates'!$B$5:$B$2004,"MPS",'Estimates'!$C$5:$C$2004,'Status'!$F$5))))</x:f>
      </x:c>
      <x:c r="E23" s="14" t="str">
        <x:f>IF(OR(COUNTA($A23)=0,'Status'!$G$5=""),"",IF(COUNTIFS('Estimates'!$A$5:$A$2004,$A23,'Estimates'!$B$5:$B$2004,"MPS",'Estimates'!$C$5:$C$2004,'Status'!$G$5)=0,"",IF(COUNTIFS('Estimates'!$A$5:$A$2004,$A23,'Estimates'!$B$5:$B$2004,"MPS",'Estimates'!$C$5:$C$2004,'Status'!$G$5)&gt;1,"DUP",SUMIFS('Estimates'!$F$5:$F$2004,'Estimates'!$A$5:$A$2004,$A23,'Estimates'!$B$5:$B$2004,"MPS",'Estimates'!$C$5:$C$2004,'Status'!$G$5))))</x:f>
      </x:c>
      <x:c r="F23" s="14" t="str">
        <x:f>IF(COUNT(C23:E23)&lt;2,"",_xlfn.STDEV.S(C23:E23))</x:f>
      </x:c>
      <x:c r="G23" s="14" t="str">
        <x:f>IF(AND(ISNUMBER(D23),ISNUMBER(E23)),ABS(E23-D23),"")</x:f>
      </x:c>
      <x:c r="H23" s="15" t="str">
        <x:f>IF(AND(ISNUMBER(D23),ISNUMBER(E23)),IF(D23=0,"n.a.",ABS(E23-D23)/ABS(D23)),"")</x:f>
      </x:c>
      <x:c r="I23" s="2" t="str">
        <x:f>IF(COUNTA(A23)=0,"",IF(NOT(ISNUMBER('Status'!$B$6)),"Set tolerance",IF(COUNT(C23:E23)&lt;3,"Need 3 levels",IF(OR(C23=0,D23=0),"Use abs. Δ",IF(AND(ABS(D23-C23)/ABS(C23)&lt;='Status'!$B$6,H23&lt;='Status'!$B$6),"Yes","No")))))</x:f>
      </x:c>
      <x:c r="J23" s="14" t="str">
        <x:f>IF(OR(COUNTA($A23)=0,'Status'!$E$6=""),"",IF(COUNTIFS('Estimates'!$A$5:$A$2004,$A23,'Estimates'!$B$5:$B$2004,"PPS",'Estimates'!$D$5:$D$2004,'Status'!$E$6,'Estimates'!$E$5:$E$2004,'Status'!$E$7)=0,"",IF(COUNTIFS('Estimates'!$A$5:$A$2004,$A23,'Estimates'!$B$5:$B$2004,"PPS",'Estimates'!$D$5:$D$2004,'Status'!$E$6,'Estimates'!$E$5:$E$2004,'Status'!$E$7)&gt;1,"DUP",SUMIFS('Estimates'!$F$5:$F$2004,'Estimates'!$A$5:$A$2004,$A23,'Estimates'!$B$5:$B$2004,"PPS",'Estimates'!$D$5:$D$2004,'Status'!$E$6,'Estimates'!$E$5:$E$2004,'Status'!$E$7))))</x:f>
      </x:c>
      <x:c r="K23" s="14" t="str">
        <x:f>IF(OR(COUNTA($A23)=0,'Status'!$F$6=""),"",IF(COUNTIFS('Estimates'!$A$5:$A$2004,$A23,'Estimates'!$B$5:$B$2004,"PPS",'Estimates'!$D$5:$D$2004,'Status'!$F$6,'Estimates'!$E$5:$E$2004,'Status'!$E$7)=0,"",IF(COUNTIFS('Estimates'!$A$5:$A$2004,$A23,'Estimates'!$B$5:$B$2004,"PPS",'Estimates'!$D$5:$D$2004,'Status'!$F$6,'Estimates'!$E$5:$E$2004,'Status'!$E$7)&gt;1,"DUP",SUMIFS('Estimates'!$F$5:$F$2004,'Estimates'!$A$5:$A$2004,$A23,'Estimates'!$B$5:$B$2004,"PPS",'Estimates'!$D$5:$D$2004,'Status'!$F$6,'Estimates'!$E$5:$E$2004,'Status'!$E$7))))</x:f>
      </x:c>
      <x:c r="L23" s="14" t="str">
        <x:f>IF(OR(COUNTA($A23)=0,'Status'!$G$6=""),"",IF(COUNTIFS('Estimates'!$A$5:$A$2004,$A23,'Estimates'!$B$5:$B$2004,"PPS",'Estimates'!$D$5:$D$2004,'Status'!$G$6,'Estimates'!$E$5:$E$2004,'Status'!$E$7)=0,"",IF(COUNTIFS('Estimates'!$A$5:$A$2004,$A23,'Estimates'!$B$5:$B$2004,"PPS",'Estimates'!$D$5:$D$2004,'Status'!$G$6,'Estimates'!$E$5:$E$2004,'Status'!$E$7)&gt;1,"DUP",SUMIFS('Estimates'!$F$5:$F$2004,'Estimates'!$A$5:$A$2004,$A23,'Estimates'!$B$5:$B$2004,"PPS",'Estimates'!$D$5:$D$2004,'Status'!$G$6,'Estimates'!$E$5:$E$2004,'Status'!$E$7))))</x:f>
      </x:c>
      <x:c r="M23" s="14" t="str">
        <x:f>IF(COUNT(J23:L23)&lt;2,"",_xlfn.STDEV.S(J23:L23))</x:f>
      </x:c>
      <x:c r="N23" s="14" t="str">
        <x:f>IF(AND(ISNUMBER(K23),ISNUMBER(L23)),ABS(L23-K23),"")</x:f>
      </x:c>
      <x:c r="O23" s="15" t="str">
        <x:f>IF(AND(ISNUMBER(K23),ISNUMBER(L23)),IF(K23=0,"n.a.",ABS(L23-K23)/ABS(K23)),"")</x:f>
      </x:c>
      <x:c r="P23" s="2" t="str">
        <x:f>IF(COUNTA(A23)=0,"",IF(NOT(ISNUMBER('Status'!$B$6)),"Set tolerance",IF(COUNT(J23:L23)&lt;3,"Need 3 levels",IF(OR(J23=0,K23=0),"Use abs. Δ",IF(AND(ABS(K23-J23)/ABS(J23)&lt;='Status'!$B$6,O23&lt;='Status'!$B$6),"Yes","No")))))</x:f>
      </x:c>
      <x:c r="Q23" s="14" t="str">
        <x:f>IF(AND(ISNUMBER(E23),ISNUMBER(L23)),ABS(E23-L23),"")</x:f>
      </x:c>
      <x:c r="R23" s="2" t="str">
        <x:f>IF(COUNTA(A23)=0,"",IF(COUNT(C23:E23,J23:L23)&gt;0,1,0))</x:f>
      </x:c>
      <x:c r="S23" s="2" t="str">
        <x:f>IF(COUNTA(A23)=0,"",IF(COUNTIFS($A$6:$A$165,A23)&gt;1,"Duplicate target",""))</x:f>
      </x:c>
    </x:row>
    <x:row r="24">
      <x:c r="A24" s="6"/>
      <x:c r="B24" s="20"/>
      <x:c r="C24" s="14" t="str">
        <x:f>IF(OR(COUNTA($A24)=0,'Status'!$E$5=""),"",IF(COUNTIFS('Estimates'!$A$5:$A$2004,$A24,'Estimates'!$B$5:$B$2004,"MPS",'Estimates'!$C$5:$C$2004,'Status'!$E$5)=0,"",IF(COUNTIFS('Estimates'!$A$5:$A$2004,$A24,'Estimates'!$B$5:$B$2004,"MPS",'Estimates'!$C$5:$C$2004,'Status'!$E$5)&gt;1,"DUP",SUMIFS('Estimates'!$F$5:$F$2004,'Estimates'!$A$5:$A$2004,$A24,'Estimates'!$B$5:$B$2004,"MPS",'Estimates'!$C$5:$C$2004,'Status'!$E$5))))</x:f>
      </x:c>
      <x:c r="D24" s="14" t="str">
        <x:f>IF(OR(COUNTA($A24)=0,'Status'!$F$5=""),"",IF(COUNTIFS('Estimates'!$A$5:$A$2004,$A24,'Estimates'!$B$5:$B$2004,"MPS",'Estimates'!$C$5:$C$2004,'Status'!$F$5)=0,"",IF(COUNTIFS('Estimates'!$A$5:$A$2004,$A24,'Estimates'!$B$5:$B$2004,"MPS",'Estimates'!$C$5:$C$2004,'Status'!$F$5)&gt;1,"DUP",SUMIFS('Estimates'!$F$5:$F$2004,'Estimates'!$A$5:$A$2004,$A24,'Estimates'!$B$5:$B$2004,"MPS",'Estimates'!$C$5:$C$2004,'Status'!$F$5))))</x:f>
      </x:c>
      <x:c r="E24" s="14" t="str">
        <x:f>IF(OR(COUNTA($A24)=0,'Status'!$G$5=""),"",IF(COUNTIFS('Estimates'!$A$5:$A$2004,$A24,'Estimates'!$B$5:$B$2004,"MPS",'Estimates'!$C$5:$C$2004,'Status'!$G$5)=0,"",IF(COUNTIFS('Estimates'!$A$5:$A$2004,$A24,'Estimates'!$B$5:$B$2004,"MPS",'Estimates'!$C$5:$C$2004,'Status'!$G$5)&gt;1,"DUP",SUMIFS('Estimates'!$F$5:$F$2004,'Estimates'!$A$5:$A$2004,$A24,'Estimates'!$B$5:$B$2004,"MPS",'Estimates'!$C$5:$C$2004,'Status'!$G$5))))</x:f>
      </x:c>
      <x:c r="F24" s="14" t="str">
        <x:f>IF(COUNT(C24:E24)&lt;2,"",_xlfn.STDEV.S(C24:E24))</x:f>
      </x:c>
      <x:c r="G24" s="14" t="str">
        <x:f>IF(AND(ISNUMBER(D24),ISNUMBER(E24)),ABS(E24-D24),"")</x:f>
      </x:c>
      <x:c r="H24" s="15" t="str">
        <x:f>IF(AND(ISNUMBER(D24),ISNUMBER(E24)),IF(D24=0,"n.a.",ABS(E24-D24)/ABS(D24)),"")</x:f>
      </x:c>
      <x:c r="I24" s="2" t="str">
        <x:f>IF(COUNTA(A24)=0,"",IF(NOT(ISNUMBER('Status'!$B$6)),"Set tolerance",IF(COUNT(C24:E24)&lt;3,"Need 3 levels",IF(OR(C24=0,D24=0),"Use abs. Δ",IF(AND(ABS(D24-C24)/ABS(C24)&lt;='Status'!$B$6,H24&lt;='Status'!$B$6),"Yes","No")))))</x:f>
      </x:c>
      <x:c r="J24" s="14" t="str">
        <x:f>IF(OR(COUNTA($A24)=0,'Status'!$E$6=""),"",IF(COUNTIFS('Estimates'!$A$5:$A$2004,$A24,'Estimates'!$B$5:$B$2004,"PPS",'Estimates'!$D$5:$D$2004,'Status'!$E$6,'Estimates'!$E$5:$E$2004,'Status'!$E$7)=0,"",IF(COUNTIFS('Estimates'!$A$5:$A$2004,$A24,'Estimates'!$B$5:$B$2004,"PPS",'Estimates'!$D$5:$D$2004,'Status'!$E$6,'Estimates'!$E$5:$E$2004,'Status'!$E$7)&gt;1,"DUP",SUMIFS('Estimates'!$F$5:$F$2004,'Estimates'!$A$5:$A$2004,$A24,'Estimates'!$B$5:$B$2004,"PPS",'Estimates'!$D$5:$D$2004,'Status'!$E$6,'Estimates'!$E$5:$E$2004,'Status'!$E$7))))</x:f>
      </x:c>
      <x:c r="K24" s="14" t="str">
        <x:f>IF(OR(COUNTA($A24)=0,'Status'!$F$6=""),"",IF(COUNTIFS('Estimates'!$A$5:$A$2004,$A24,'Estimates'!$B$5:$B$2004,"PPS",'Estimates'!$D$5:$D$2004,'Status'!$F$6,'Estimates'!$E$5:$E$2004,'Status'!$E$7)=0,"",IF(COUNTIFS('Estimates'!$A$5:$A$2004,$A24,'Estimates'!$B$5:$B$2004,"PPS",'Estimates'!$D$5:$D$2004,'Status'!$F$6,'Estimates'!$E$5:$E$2004,'Status'!$E$7)&gt;1,"DUP",SUMIFS('Estimates'!$F$5:$F$2004,'Estimates'!$A$5:$A$2004,$A24,'Estimates'!$B$5:$B$2004,"PPS",'Estimates'!$D$5:$D$2004,'Status'!$F$6,'Estimates'!$E$5:$E$2004,'Status'!$E$7))))</x:f>
      </x:c>
      <x:c r="L24" s="14" t="str">
        <x:f>IF(OR(COUNTA($A24)=0,'Status'!$G$6=""),"",IF(COUNTIFS('Estimates'!$A$5:$A$2004,$A24,'Estimates'!$B$5:$B$2004,"PPS",'Estimates'!$D$5:$D$2004,'Status'!$G$6,'Estimates'!$E$5:$E$2004,'Status'!$E$7)=0,"",IF(COUNTIFS('Estimates'!$A$5:$A$2004,$A24,'Estimates'!$B$5:$B$2004,"PPS",'Estimates'!$D$5:$D$2004,'Status'!$G$6,'Estimates'!$E$5:$E$2004,'Status'!$E$7)&gt;1,"DUP",SUMIFS('Estimates'!$F$5:$F$2004,'Estimates'!$A$5:$A$2004,$A24,'Estimates'!$B$5:$B$2004,"PPS",'Estimates'!$D$5:$D$2004,'Status'!$G$6,'Estimates'!$E$5:$E$2004,'Status'!$E$7))))</x:f>
      </x:c>
      <x:c r="M24" s="14" t="str">
        <x:f>IF(COUNT(J24:L24)&lt;2,"",_xlfn.STDEV.S(J24:L24))</x:f>
      </x:c>
      <x:c r="N24" s="14" t="str">
        <x:f>IF(AND(ISNUMBER(K24),ISNUMBER(L24)),ABS(L24-K24),"")</x:f>
      </x:c>
      <x:c r="O24" s="15" t="str">
        <x:f>IF(AND(ISNUMBER(K24),ISNUMBER(L24)),IF(K24=0,"n.a.",ABS(L24-K24)/ABS(K24)),"")</x:f>
      </x:c>
      <x:c r="P24" s="2" t="str">
        <x:f>IF(COUNTA(A24)=0,"",IF(NOT(ISNUMBER('Status'!$B$6)),"Set tolerance",IF(COUNT(J24:L24)&lt;3,"Need 3 levels",IF(OR(J24=0,K24=0),"Use abs. Δ",IF(AND(ABS(K24-J24)/ABS(J24)&lt;='Status'!$B$6,O24&lt;='Status'!$B$6),"Yes","No")))))</x:f>
      </x:c>
      <x:c r="Q24" s="14" t="str">
        <x:f>IF(AND(ISNUMBER(E24),ISNUMBER(L24)),ABS(E24-L24),"")</x:f>
      </x:c>
      <x:c r="R24" s="2" t="str">
        <x:f>IF(COUNTA(A24)=0,"",IF(COUNT(C24:E24,J24:L24)&gt;0,1,0))</x:f>
      </x:c>
      <x:c r="S24" s="2" t="str">
        <x:f>IF(COUNTA(A24)=0,"",IF(COUNTIFS($A$6:$A$165,A24)&gt;1,"Duplicate target",""))</x:f>
      </x:c>
    </x:row>
    <x:row r="25">
      <x:c r="A25" s="6"/>
      <x:c r="B25" s="20"/>
      <x:c r="C25" s="14" t="str">
        <x:f>IF(OR(COUNTA($A25)=0,'Status'!$E$5=""),"",IF(COUNTIFS('Estimates'!$A$5:$A$2004,$A25,'Estimates'!$B$5:$B$2004,"MPS",'Estimates'!$C$5:$C$2004,'Status'!$E$5)=0,"",IF(COUNTIFS('Estimates'!$A$5:$A$2004,$A25,'Estimates'!$B$5:$B$2004,"MPS",'Estimates'!$C$5:$C$2004,'Status'!$E$5)&gt;1,"DUP",SUMIFS('Estimates'!$F$5:$F$2004,'Estimates'!$A$5:$A$2004,$A25,'Estimates'!$B$5:$B$2004,"MPS",'Estimates'!$C$5:$C$2004,'Status'!$E$5))))</x:f>
      </x:c>
      <x:c r="D25" s="14" t="str">
        <x:f>IF(OR(COUNTA($A25)=0,'Status'!$F$5=""),"",IF(COUNTIFS('Estimates'!$A$5:$A$2004,$A25,'Estimates'!$B$5:$B$2004,"MPS",'Estimates'!$C$5:$C$2004,'Status'!$F$5)=0,"",IF(COUNTIFS('Estimates'!$A$5:$A$2004,$A25,'Estimates'!$B$5:$B$2004,"MPS",'Estimates'!$C$5:$C$2004,'Status'!$F$5)&gt;1,"DUP",SUMIFS('Estimates'!$F$5:$F$2004,'Estimates'!$A$5:$A$2004,$A25,'Estimates'!$B$5:$B$2004,"MPS",'Estimates'!$C$5:$C$2004,'Status'!$F$5))))</x:f>
      </x:c>
      <x:c r="E25" s="14" t="str">
        <x:f>IF(OR(COUNTA($A25)=0,'Status'!$G$5=""),"",IF(COUNTIFS('Estimates'!$A$5:$A$2004,$A25,'Estimates'!$B$5:$B$2004,"MPS",'Estimates'!$C$5:$C$2004,'Status'!$G$5)=0,"",IF(COUNTIFS('Estimates'!$A$5:$A$2004,$A25,'Estimates'!$B$5:$B$2004,"MPS",'Estimates'!$C$5:$C$2004,'Status'!$G$5)&gt;1,"DUP",SUMIFS('Estimates'!$F$5:$F$2004,'Estimates'!$A$5:$A$2004,$A25,'Estimates'!$B$5:$B$2004,"MPS",'Estimates'!$C$5:$C$2004,'Status'!$G$5))))</x:f>
      </x:c>
      <x:c r="F25" s="14" t="str">
        <x:f>IF(COUNT(C25:E25)&lt;2,"",_xlfn.STDEV.S(C25:E25))</x:f>
      </x:c>
      <x:c r="G25" s="14" t="str">
        <x:f>IF(AND(ISNUMBER(D25),ISNUMBER(E25)),ABS(E25-D25),"")</x:f>
      </x:c>
      <x:c r="H25" s="15" t="str">
        <x:f>IF(AND(ISNUMBER(D25),ISNUMBER(E25)),IF(D25=0,"n.a.",ABS(E25-D25)/ABS(D25)),"")</x:f>
      </x:c>
      <x:c r="I25" s="2" t="str">
        <x:f>IF(COUNTA(A25)=0,"",IF(NOT(ISNUMBER('Status'!$B$6)),"Set tolerance",IF(COUNT(C25:E25)&lt;3,"Need 3 levels",IF(OR(C25=0,D25=0),"Use abs. Δ",IF(AND(ABS(D25-C25)/ABS(C25)&lt;='Status'!$B$6,H25&lt;='Status'!$B$6),"Yes","No")))))</x:f>
      </x:c>
      <x:c r="J25" s="14" t="str">
        <x:f>IF(OR(COUNTA($A25)=0,'Status'!$E$6=""),"",IF(COUNTIFS('Estimates'!$A$5:$A$2004,$A25,'Estimates'!$B$5:$B$2004,"PPS",'Estimates'!$D$5:$D$2004,'Status'!$E$6,'Estimates'!$E$5:$E$2004,'Status'!$E$7)=0,"",IF(COUNTIFS('Estimates'!$A$5:$A$2004,$A25,'Estimates'!$B$5:$B$2004,"PPS",'Estimates'!$D$5:$D$2004,'Status'!$E$6,'Estimates'!$E$5:$E$2004,'Status'!$E$7)&gt;1,"DUP",SUMIFS('Estimates'!$F$5:$F$2004,'Estimates'!$A$5:$A$2004,$A25,'Estimates'!$B$5:$B$2004,"PPS",'Estimates'!$D$5:$D$2004,'Status'!$E$6,'Estimates'!$E$5:$E$2004,'Status'!$E$7))))</x:f>
      </x:c>
      <x:c r="K25" s="14" t="str">
        <x:f>IF(OR(COUNTA($A25)=0,'Status'!$F$6=""),"",IF(COUNTIFS('Estimates'!$A$5:$A$2004,$A25,'Estimates'!$B$5:$B$2004,"PPS",'Estimates'!$D$5:$D$2004,'Status'!$F$6,'Estimates'!$E$5:$E$2004,'Status'!$E$7)=0,"",IF(COUNTIFS('Estimates'!$A$5:$A$2004,$A25,'Estimates'!$B$5:$B$2004,"PPS",'Estimates'!$D$5:$D$2004,'Status'!$F$6,'Estimates'!$E$5:$E$2004,'Status'!$E$7)&gt;1,"DUP",SUMIFS('Estimates'!$F$5:$F$2004,'Estimates'!$A$5:$A$2004,$A25,'Estimates'!$B$5:$B$2004,"PPS",'Estimates'!$D$5:$D$2004,'Status'!$F$6,'Estimates'!$E$5:$E$2004,'Status'!$E$7))))</x:f>
      </x:c>
      <x:c r="L25" s="14" t="str">
        <x:f>IF(OR(COUNTA($A25)=0,'Status'!$G$6=""),"",IF(COUNTIFS('Estimates'!$A$5:$A$2004,$A25,'Estimates'!$B$5:$B$2004,"PPS",'Estimates'!$D$5:$D$2004,'Status'!$G$6,'Estimates'!$E$5:$E$2004,'Status'!$E$7)=0,"",IF(COUNTIFS('Estimates'!$A$5:$A$2004,$A25,'Estimates'!$B$5:$B$2004,"PPS",'Estimates'!$D$5:$D$2004,'Status'!$G$6,'Estimates'!$E$5:$E$2004,'Status'!$E$7)&gt;1,"DUP",SUMIFS('Estimates'!$F$5:$F$2004,'Estimates'!$A$5:$A$2004,$A25,'Estimates'!$B$5:$B$2004,"PPS",'Estimates'!$D$5:$D$2004,'Status'!$G$6,'Estimates'!$E$5:$E$2004,'Status'!$E$7))))</x:f>
      </x:c>
      <x:c r="M25" s="14" t="str">
        <x:f>IF(COUNT(J25:L25)&lt;2,"",_xlfn.STDEV.S(J25:L25))</x:f>
      </x:c>
      <x:c r="N25" s="14" t="str">
        <x:f>IF(AND(ISNUMBER(K25),ISNUMBER(L25)),ABS(L25-K25),"")</x:f>
      </x:c>
      <x:c r="O25" s="15" t="str">
        <x:f>IF(AND(ISNUMBER(K25),ISNUMBER(L25)),IF(K25=0,"n.a.",ABS(L25-K25)/ABS(K25)),"")</x:f>
      </x:c>
      <x:c r="P25" s="2" t="str">
        <x:f>IF(COUNTA(A25)=0,"",IF(NOT(ISNUMBER('Status'!$B$6)),"Set tolerance",IF(COUNT(J25:L25)&lt;3,"Need 3 levels",IF(OR(J25=0,K25=0),"Use abs. Δ",IF(AND(ABS(K25-J25)/ABS(J25)&lt;='Status'!$B$6,O25&lt;='Status'!$B$6),"Yes","No")))))</x:f>
      </x:c>
      <x:c r="Q25" s="14" t="str">
        <x:f>IF(AND(ISNUMBER(E25),ISNUMBER(L25)),ABS(E25-L25),"")</x:f>
      </x:c>
      <x:c r="R25" s="2" t="str">
        <x:f>IF(COUNTA(A25)=0,"",IF(COUNT(C25:E25,J25:L25)&gt;0,1,0))</x:f>
      </x:c>
      <x:c r="S25" s="2" t="str">
        <x:f>IF(COUNTA(A25)=0,"",IF(COUNTIFS($A$6:$A$165,A25)&gt;1,"Duplicate target",""))</x:f>
      </x:c>
    </x:row>
    <x:row r="26">
      <x:c r="A26" s="6"/>
      <x:c r="B26" s="20"/>
      <x:c r="C26" s="14" t="str">
        <x:f>IF(OR(COUNTA($A26)=0,'Status'!$E$5=""),"",IF(COUNTIFS('Estimates'!$A$5:$A$2004,$A26,'Estimates'!$B$5:$B$2004,"MPS",'Estimates'!$C$5:$C$2004,'Status'!$E$5)=0,"",IF(COUNTIFS('Estimates'!$A$5:$A$2004,$A26,'Estimates'!$B$5:$B$2004,"MPS",'Estimates'!$C$5:$C$2004,'Status'!$E$5)&gt;1,"DUP",SUMIFS('Estimates'!$F$5:$F$2004,'Estimates'!$A$5:$A$2004,$A26,'Estimates'!$B$5:$B$2004,"MPS",'Estimates'!$C$5:$C$2004,'Status'!$E$5))))</x:f>
      </x:c>
      <x:c r="D26" s="14" t="str">
        <x:f>IF(OR(COUNTA($A26)=0,'Status'!$F$5=""),"",IF(COUNTIFS('Estimates'!$A$5:$A$2004,$A26,'Estimates'!$B$5:$B$2004,"MPS",'Estimates'!$C$5:$C$2004,'Status'!$F$5)=0,"",IF(COUNTIFS('Estimates'!$A$5:$A$2004,$A26,'Estimates'!$B$5:$B$2004,"MPS",'Estimates'!$C$5:$C$2004,'Status'!$F$5)&gt;1,"DUP",SUMIFS('Estimates'!$F$5:$F$2004,'Estimates'!$A$5:$A$2004,$A26,'Estimates'!$B$5:$B$2004,"MPS",'Estimates'!$C$5:$C$2004,'Status'!$F$5))))</x:f>
      </x:c>
      <x:c r="E26" s="14" t="str">
        <x:f>IF(OR(COUNTA($A26)=0,'Status'!$G$5=""),"",IF(COUNTIFS('Estimates'!$A$5:$A$2004,$A26,'Estimates'!$B$5:$B$2004,"MPS",'Estimates'!$C$5:$C$2004,'Status'!$G$5)=0,"",IF(COUNTIFS('Estimates'!$A$5:$A$2004,$A26,'Estimates'!$B$5:$B$2004,"MPS",'Estimates'!$C$5:$C$2004,'Status'!$G$5)&gt;1,"DUP",SUMIFS('Estimates'!$F$5:$F$2004,'Estimates'!$A$5:$A$2004,$A26,'Estimates'!$B$5:$B$2004,"MPS",'Estimates'!$C$5:$C$2004,'Status'!$G$5))))</x:f>
      </x:c>
      <x:c r="F26" s="14" t="str">
        <x:f>IF(COUNT(C26:E26)&lt;2,"",_xlfn.STDEV.S(C26:E26))</x:f>
      </x:c>
      <x:c r="G26" s="14" t="str">
        <x:f>IF(AND(ISNUMBER(D26),ISNUMBER(E26)),ABS(E26-D26),"")</x:f>
      </x:c>
      <x:c r="H26" s="15" t="str">
        <x:f>IF(AND(ISNUMBER(D26),ISNUMBER(E26)),IF(D26=0,"n.a.",ABS(E26-D26)/ABS(D26)),"")</x:f>
      </x:c>
      <x:c r="I26" s="2" t="str">
        <x:f>IF(COUNTA(A26)=0,"",IF(NOT(ISNUMBER('Status'!$B$6)),"Set tolerance",IF(COUNT(C26:E26)&lt;3,"Need 3 levels",IF(OR(C26=0,D26=0),"Use abs. Δ",IF(AND(ABS(D26-C26)/ABS(C26)&lt;='Status'!$B$6,H26&lt;='Status'!$B$6),"Yes","No")))))</x:f>
      </x:c>
      <x:c r="J26" s="14" t="str">
        <x:f>IF(OR(COUNTA($A26)=0,'Status'!$E$6=""),"",IF(COUNTIFS('Estimates'!$A$5:$A$2004,$A26,'Estimates'!$B$5:$B$2004,"PPS",'Estimates'!$D$5:$D$2004,'Status'!$E$6,'Estimates'!$E$5:$E$2004,'Status'!$E$7)=0,"",IF(COUNTIFS('Estimates'!$A$5:$A$2004,$A26,'Estimates'!$B$5:$B$2004,"PPS",'Estimates'!$D$5:$D$2004,'Status'!$E$6,'Estimates'!$E$5:$E$2004,'Status'!$E$7)&gt;1,"DUP",SUMIFS('Estimates'!$F$5:$F$2004,'Estimates'!$A$5:$A$2004,$A26,'Estimates'!$B$5:$B$2004,"PPS",'Estimates'!$D$5:$D$2004,'Status'!$E$6,'Estimates'!$E$5:$E$2004,'Status'!$E$7))))</x:f>
      </x:c>
      <x:c r="K26" s="14" t="str">
        <x:f>IF(OR(COUNTA($A26)=0,'Status'!$F$6=""),"",IF(COUNTIFS('Estimates'!$A$5:$A$2004,$A26,'Estimates'!$B$5:$B$2004,"PPS",'Estimates'!$D$5:$D$2004,'Status'!$F$6,'Estimates'!$E$5:$E$2004,'Status'!$E$7)=0,"",IF(COUNTIFS('Estimates'!$A$5:$A$2004,$A26,'Estimates'!$B$5:$B$2004,"PPS",'Estimates'!$D$5:$D$2004,'Status'!$F$6,'Estimates'!$E$5:$E$2004,'Status'!$E$7)&gt;1,"DUP",SUMIFS('Estimates'!$F$5:$F$2004,'Estimates'!$A$5:$A$2004,$A26,'Estimates'!$B$5:$B$2004,"PPS",'Estimates'!$D$5:$D$2004,'Status'!$F$6,'Estimates'!$E$5:$E$2004,'Status'!$E$7))))</x:f>
      </x:c>
      <x:c r="L26" s="14" t="str">
        <x:f>IF(OR(COUNTA($A26)=0,'Status'!$G$6=""),"",IF(COUNTIFS('Estimates'!$A$5:$A$2004,$A26,'Estimates'!$B$5:$B$2004,"PPS",'Estimates'!$D$5:$D$2004,'Status'!$G$6,'Estimates'!$E$5:$E$2004,'Status'!$E$7)=0,"",IF(COUNTIFS('Estimates'!$A$5:$A$2004,$A26,'Estimates'!$B$5:$B$2004,"PPS",'Estimates'!$D$5:$D$2004,'Status'!$G$6,'Estimates'!$E$5:$E$2004,'Status'!$E$7)&gt;1,"DUP",SUMIFS('Estimates'!$F$5:$F$2004,'Estimates'!$A$5:$A$2004,$A26,'Estimates'!$B$5:$B$2004,"PPS",'Estimates'!$D$5:$D$2004,'Status'!$G$6,'Estimates'!$E$5:$E$2004,'Status'!$E$7))))</x:f>
      </x:c>
      <x:c r="M26" s="14" t="str">
        <x:f>IF(COUNT(J26:L26)&lt;2,"",_xlfn.STDEV.S(J26:L26))</x:f>
      </x:c>
      <x:c r="N26" s="14" t="str">
        <x:f>IF(AND(ISNUMBER(K26),ISNUMBER(L26)),ABS(L26-K26),"")</x:f>
      </x:c>
      <x:c r="O26" s="15" t="str">
        <x:f>IF(AND(ISNUMBER(K26),ISNUMBER(L26)),IF(K26=0,"n.a.",ABS(L26-K26)/ABS(K26)),"")</x:f>
      </x:c>
      <x:c r="P26" s="2" t="str">
        <x:f>IF(COUNTA(A26)=0,"",IF(NOT(ISNUMBER('Status'!$B$6)),"Set tolerance",IF(COUNT(J26:L26)&lt;3,"Need 3 levels",IF(OR(J26=0,K26=0),"Use abs. Δ",IF(AND(ABS(K26-J26)/ABS(J26)&lt;='Status'!$B$6,O26&lt;='Status'!$B$6),"Yes","No")))))</x:f>
      </x:c>
      <x:c r="Q26" s="14" t="str">
        <x:f>IF(AND(ISNUMBER(E26),ISNUMBER(L26)),ABS(E26-L26),"")</x:f>
      </x:c>
      <x:c r="R26" s="2" t="str">
        <x:f>IF(COUNTA(A26)=0,"",IF(COUNT(C26:E26,J26:L26)&gt;0,1,0))</x:f>
      </x:c>
      <x:c r="S26" s="2" t="str">
        <x:f>IF(COUNTA(A26)=0,"",IF(COUNTIFS($A$6:$A$165,A26)&gt;1,"Duplicate target",""))</x:f>
      </x:c>
    </x:row>
    <x:row r="27">
      <x:c r="A27" s="6"/>
      <x:c r="B27" s="20"/>
      <x:c r="C27" s="14" t="str">
        <x:f>IF(OR(COUNTA($A27)=0,'Status'!$E$5=""),"",IF(COUNTIFS('Estimates'!$A$5:$A$2004,$A27,'Estimates'!$B$5:$B$2004,"MPS",'Estimates'!$C$5:$C$2004,'Status'!$E$5)=0,"",IF(COUNTIFS('Estimates'!$A$5:$A$2004,$A27,'Estimates'!$B$5:$B$2004,"MPS",'Estimates'!$C$5:$C$2004,'Status'!$E$5)&gt;1,"DUP",SUMIFS('Estimates'!$F$5:$F$2004,'Estimates'!$A$5:$A$2004,$A27,'Estimates'!$B$5:$B$2004,"MPS",'Estimates'!$C$5:$C$2004,'Status'!$E$5))))</x:f>
      </x:c>
      <x:c r="D27" s="14" t="str">
        <x:f>IF(OR(COUNTA($A27)=0,'Status'!$F$5=""),"",IF(COUNTIFS('Estimates'!$A$5:$A$2004,$A27,'Estimates'!$B$5:$B$2004,"MPS",'Estimates'!$C$5:$C$2004,'Status'!$F$5)=0,"",IF(COUNTIFS('Estimates'!$A$5:$A$2004,$A27,'Estimates'!$B$5:$B$2004,"MPS",'Estimates'!$C$5:$C$2004,'Status'!$F$5)&gt;1,"DUP",SUMIFS('Estimates'!$F$5:$F$2004,'Estimates'!$A$5:$A$2004,$A27,'Estimates'!$B$5:$B$2004,"MPS",'Estimates'!$C$5:$C$2004,'Status'!$F$5))))</x:f>
      </x:c>
      <x:c r="E27" s="14" t="str">
        <x:f>IF(OR(COUNTA($A27)=0,'Status'!$G$5=""),"",IF(COUNTIFS('Estimates'!$A$5:$A$2004,$A27,'Estimates'!$B$5:$B$2004,"MPS",'Estimates'!$C$5:$C$2004,'Status'!$G$5)=0,"",IF(COUNTIFS('Estimates'!$A$5:$A$2004,$A27,'Estimates'!$B$5:$B$2004,"MPS",'Estimates'!$C$5:$C$2004,'Status'!$G$5)&gt;1,"DUP",SUMIFS('Estimates'!$F$5:$F$2004,'Estimates'!$A$5:$A$2004,$A27,'Estimates'!$B$5:$B$2004,"MPS",'Estimates'!$C$5:$C$2004,'Status'!$G$5))))</x:f>
      </x:c>
      <x:c r="F27" s="14" t="str">
        <x:f>IF(COUNT(C27:E27)&lt;2,"",_xlfn.STDEV.S(C27:E27))</x:f>
      </x:c>
      <x:c r="G27" s="14" t="str">
        <x:f>IF(AND(ISNUMBER(D27),ISNUMBER(E27)),ABS(E27-D27),"")</x:f>
      </x:c>
      <x:c r="H27" s="15" t="str">
        <x:f>IF(AND(ISNUMBER(D27),ISNUMBER(E27)),IF(D27=0,"n.a.",ABS(E27-D27)/ABS(D27)),"")</x:f>
      </x:c>
      <x:c r="I27" s="2" t="str">
        <x:f>IF(COUNTA(A27)=0,"",IF(NOT(ISNUMBER('Status'!$B$6)),"Set tolerance",IF(COUNT(C27:E27)&lt;3,"Need 3 levels",IF(OR(C27=0,D27=0),"Use abs. Δ",IF(AND(ABS(D27-C27)/ABS(C27)&lt;='Status'!$B$6,H27&lt;='Status'!$B$6),"Yes","No")))))</x:f>
      </x:c>
      <x:c r="J27" s="14" t="str">
        <x:f>IF(OR(COUNTA($A27)=0,'Status'!$E$6=""),"",IF(COUNTIFS('Estimates'!$A$5:$A$2004,$A27,'Estimates'!$B$5:$B$2004,"PPS",'Estimates'!$D$5:$D$2004,'Status'!$E$6,'Estimates'!$E$5:$E$2004,'Status'!$E$7)=0,"",IF(COUNTIFS('Estimates'!$A$5:$A$2004,$A27,'Estimates'!$B$5:$B$2004,"PPS",'Estimates'!$D$5:$D$2004,'Status'!$E$6,'Estimates'!$E$5:$E$2004,'Status'!$E$7)&gt;1,"DUP",SUMIFS('Estimates'!$F$5:$F$2004,'Estimates'!$A$5:$A$2004,$A27,'Estimates'!$B$5:$B$2004,"PPS",'Estimates'!$D$5:$D$2004,'Status'!$E$6,'Estimates'!$E$5:$E$2004,'Status'!$E$7))))</x:f>
      </x:c>
      <x:c r="K27" s="14" t="str">
        <x:f>IF(OR(COUNTA($A27)=0,'Status'!$F$6=""),"",IF(COUNTIFS('Estimates'!$A$5:$A$2004,$A27,'Estimates'!$B$5:$B$2004,"PPS",'Estimates'!$D$5:$D$2004,'Status'!$F$6,'Estimates'!$E$5:$E$2004,'Status'!$E$7)=0,"",IF(COUNTIFS('Estimates'!$A$5:$A$2004,$A27,'Estimates'!$B$5:$B$2004,"PPS",'Estimates'!$D$5:$D$2004,'Status'!$F$6,'Estimates'!$E$5:$E$2004,'Status'!$E$7)&gt;1,"DUP",SUMIFS('Estimates'!$F$5:$F$2004,'Estimates'!$A$5:$A$2004,$A27,'Estimates'!$B$5:$B$2004,"PPS",'Estimates'!$D$5:$D$2004,'Status'!$F$6,'Estimates'!$E$5:$E$2004,'Status'!$E$7))))</x:f>
      </x:c>
      <x:c r="L27" s="14" t="str">
        <x:f>IF(OR(COUNTA($A27)=0,'Status'!$G$6=""),"",IF(COUNTIFS('Estimates'!$A$5:$A$2004,$A27,'Estimates'!$B$5:$B$2004,"PPS",'Estimates'!$D$5:$D$2004,'Status'!$G$6,'Estimates'!$E$5:$E$2004,'Status'!$E$7)=0,"",IF(COUNTIFS('Estimates'!$A$5:$A$2004,$A27,'Estimates'!$B$5:$B$2004,"PPS",'Estimates'!$D$5:$D$2004,'Status'!$G$6,'Estimates'!$E$5:$E$2004,'Status'!$E$7)&gt;1,"DUP",SUMIFS('Estimates'!$F$5:$F$2004,'Estimates'!$A$5:$A$2004,$A27,'Estimates'!$B$5:$B$2004,"PPS",'Estimates'!$D$5:$D$2004,'Status'!$G$6,'Estimates'!$E$5:$E$2004,'Status'!$E$7))))</x:f>
      </x:c>
      <x:c r="M27" s="14" t="str">
        <x:f>IF(COUNT(J27:L27)&lt;2,"",_xlfn.STDEV.S(J27:L27))</x:f>
      </x:c>
      <x:c r="N27" s="14" t="str">
        <x:f>IF(AND(ISNUMBER(K27),ISNUMBER(L27)),ABS(L27-K27),"")</x:f>
      </x:c>
      <x:c r="O27" s="15" t="str">
        <x:f>IF(AND(ISNUMBER(K27),ISNUMBER(L27)),IF(K27=0,"n.a.",ABS(L27-K27)/ABS(K27)),"")</x:f>
      </x:c>
      <x:c r="P27" s="2" t="str">
        <x:f>IF(COUNTA(A27)=0,"",IF(NOT(ISNUMBER('Status'!$B$6)),"Set tolerance",IF(COUNT(J27:L27)&lt;3,"Need 3 levels",IF(OR(J27=0,K27=0),"Use abs. Δ",IF(AND(ABS(K27-J27)/ABS(J27)&lt;='Status'!$B$6,O27&lt;='Status'!$B$6),"Yes","No")))))</x:f>
      </x:c>
      <x:c r="Q27" s="14" t="str">
        <x:f>IF(AND(ISNUMBER(E27),ISNUMBER(L27)),ABS(E27-L27),"")</x:f>
      </x:c>
      <x:c r="R27" s="2" t="str">
        <x:f>IF(COUNTA(A27)=0,"",IF(COUNT(C27:E27,J27:L27)&gt;0,1,0))</x:f>
      </x:c>
      <x:c r="S27" s="2" t="str">
        <x:f>IF(COUNTA(A27)=0,"",IF(COUNTIFS($A$6:$A$165,A27)&gt;1,"Duplicate target",""))</x:f>
      </x:c>
    </x:row>
    <x:row r="28">
      <x:c r="A28" s="6"/>
      <x:c r="B28" s="20"/>
      <x:c r="C28" s="14" t="str">
        <x:f>IF(OR(COUNTA($A28)=0,'Status'!$E$5=""),"",IF(COUNTIFS('Estimates'!$A$5:$A$2004,$A28,'Estimates'!$B$5:$B$2004,"MPS",'Estimates'!$C$5:$C$2004,'Status'!$E$5)=0,"",IF(COUNTIFS('Estimates'!$A$5:$A$2004,$A28,'Estimates'!$B$5:$B$2004,"MPS",'Estimates'!$C$5:$C$2004,'Status'!$E$5)&gt;1,"DUP",SUMIFS('Estimates'!$F$5:$F$2004,'Estimates'!$A$5:$A$2004,$A28,'Estimates'!$B$5:$B$2004,"MPS",'Estimates'!$C$5:$C$2004,'Status'!$E$5))))</x:f>
      </x:c>
      <x:c r="D28" s="14" t="str">
        <x:f>IF(OR(COUNTA($A28)=0,'Status'!$F$5=""),"",IF(COUNTIFS('Estimates'!$A$5:$A$2004,$A28,'Estimates'!$B$5:$B$2004,"MPS",'Estimates'!$C$5:$C$2004,'Status'!$F$5)=0,"",IF(COUNTIFS('Estimates'!$A$5:$A$2004,$A28,'Estimates'!$B$5:$B$2004,"MPS",'Estimates'!$C$5:$C$2004,'Status'!$F$5)&gt;1,"DUP",SUMIFS('Estimates'!$F$5:$F$2004,'Estimates'!$A$5:$A$2004,$A28,'Estimates'!$B$5:$B$2004,"MPS",'Estimates'!$C$5:$C$2004,'Status'!$F$5))))</x:f>
      </x:c>
      <x:c r="E28" s="14" t="str">
        <x:f>IF(OR(COUNTA($A28)=0,'Status'!$G$5=""),"",IF(COUNTIFS('Estimates'!$A$5:$A$2004,$A28,'Estimates'!$B$5:$B$2004,"MPS",'Estimates'!$C$5:$C$2004,'Status'!$G$5)=0,"",IF(COUNTIFS('Estimates'!$A$5:$A$2004,$A28,'Estimates'!$B$5:$B$2004,"MPS",'Estimates'!$C$5:$C$2004,'Status'!$G$5)&gt;1,"DUP",SUMIFS('Estimates'!$F$5:$F$2004,'Estimates'!$A$5:$A$2004,$A28,'Estimates'!$B$5:$B$2004,"MPS",'Estimates'!$C$5:$C$2004,'Status'!$G$5))))</x:f>
      </x:c>
      <x:c r="F28" s="14" t="str">
        <x:f>IF(COUNT(C28:E28)&lt;2,"",_xlfn.STDEV.S(C28:E28))</x:f>
      </x:c>
      <x:c r="G28" s="14" t="str">
        <x:f>IF(AND(ISNUMBER(D28),ISNUMBER(E28)),ABS(E28-D28),"")</x:f>
      </x:c>
      <x:c r="H28" s="15" t="str">
        <x:f>IF(AND(ISNUMBER(D28),ISNUMBER(E28)),IF(D28=0,"n.a.",ABS(E28-D28)/ABS(D28)),"")</x:f>
      </x:c>
      <x:c r="I28" s="2" t="str">
        <x:f>IF(COUNTA(A28)=0,"",IF(NOT(ISNUMBER('Status'!$B$6)),"Set tolerance",IF(COUNT(C28:E28)&lt;3,"Need 3 levels",IF(OR(C28=0,D28=0),"Use abs. Δ",IF(AND(ABS(D28-C28)/ABS(C28)&lt;='Status'!$B$6,H28&lt;='Status'!$B$6),"Yes","No")))))</x:f>
      </x:c>
      <x:c r="J28" s="14" t="str">
        <x:f>IF(OR(COUNTA($A28)=0,'Status'!$E$6=""),"",IF(COUNTIFS('Estimates'!$A$5:$A$2004,$A28,'Estimates'!$B$5:$B$2004,"PPS",'Estimates'!$D$5:$D$2004,'Status'!$E$6,'Estimates'!$E$5:$E$2004,'Status'!$E$7)=0,"",IF(COUNTIFS('Estimates'!$A$5:$A$2004,$A28,'Estimates'!$B$5:$B$2004,"PPS",'Estimates'!$D$5:$D$2004,'Status'!$E$6,'Estimates'!$E$5:$E$2004,'Status'!$E$7)&gt;1,"DUP",SUMIFS('Estimates'!$F$5:$F$2004,'Estimates'!$A$5:$A$2004,$A28,'Estimates'!$B$5:$B$2004,"PPS",'Estimates'!$D$5:$D$2004,'Status'!$E$6,'Estimates'!$E$5:$E$2004,'Status'!$E$7))))</x:f>
      </x:c>
      <x:c r="K28" s="14" t="str">
        <x:f>IF(OR(COUNTA($A28)=0,'Status'!$F$6=""),"",IF(COUNTIFS('Estimates'!$A$5:$A$2004,$A28,'Estimates'!$B$5:$B$2004,"PPS",'Estimates'!$D$5:$D$2004,'Status'!$F$6,'Estimates'!$E$5:$E$2004,'Status'!$E$7)=0,"",IF(COUNTIFS('Estimates'!$A$5:$A$2004,$A28,'Estimates'!$B$5:$B$2004,"PPS",'Estimates'!$D$5:$D$2004,'Status'!$F$6,'Estimates'!$E$5:$E$2004,'Status'!$E$7)&gt;1,"DUP",SUMIFS('Estimates'!$F$5:$F$2004,'Estimates'!$A$5:$A$2004,$A28,'Estimates'!$B$5:$B$2004,"PPS",'Estimates'!$D$5:$D$2004,'Status'!$F$6,'Estimates'!$E$5:$E$2004,'Status'!$E$7))))</x:f>
      </x:c>
      <x:c r="L28" s="14" t="str">
        <x:f>IF(OR(COUNTA($A28)=0,'Status'!$G$6=""),"",IF(COUNTIFS('Estimates'!$A$5:$A$2004,$A28,'Estimates'!$B$5:$B$2004,"PPS",'Estimates'!$D$5:$D$2004,'Status'!$G$6,'Estimates'!$E$5:$E$2004,'Status'!$E$7)=0,"",IF(COUNTIFS('Estimates'!$A$5:$A$2004,$A28,'Estimates'!$B$5:$B$2004,"PPS",'Estimates'!$D$5:$D$2004,'Status'!$G$6,'Estimates'!$E$5:$E$2004,'Status'!$E$7)&gt;1,"DUP",SUMIFS('Estimates'!$F$5:$F$2004,'Estimates'!$A$5:$A$2004,$A28,'Estimates'!$B$5:$B$2004,"PPS",'Estimates'!$D$5:$D$2004,'Status'!$G$6,'Estimates'!$E$5:$E$2004,'Status'!$E$7))))</x:f>
      </x:c>
      <x:c r="M28" s="14" t="str">
        <x:f>IF(COUNT(J28:L28)&lt;2,"",_xlfn.STDEV.S(J28:L28))</x:f>
      </x:c>
      <x:c r="N28" s="14" t="str">
        <x:f>IF(AND(ISNUMBER(K28),ISNUMBER(L28)),ABS(L28-K28),"")</x:f>
      </x:c>
      <x:c r="O28" s="15" t="str">
        <x:f>IF(AND(ISNUMBER(K28),ISNUMBER(L28)),IF(K28=0,"n.a.",ABS(L28-K28)/ABS(K28)),"")</x:f>
      </x:c>
      <x:c r="P28" s="2" t="str">
        <x:f>IF(COUNTA(A28)=0,"",IF(NOT(ISNUMBER('Status'!$B$6)),"Set tolerance",IF(COUNT(J28:L28)&lt;3,"Need 3 levels",IF(OR(J28=0,K28=0),"Use abs. Δ",IF(AND(ABS(K28-J28)/ABS(J28)&lt;='Status'!$B$6,O28&lt;='Status'!$B$6),"Yes","No")))))</x:f>
      </x:c>
      <x:c r="Q28" s="14" t="str">
        <x:f>IF(AND(ISNUMBER(E28),ISNUMBER(L28)),ABS(E28-L28),"")</x:f>
      </x:c>
      <x:c r="R28" s="2" t="str">
        <x:f>IF(COUNTA(A28)=0,"",IF(COUNT(C28:E28,J28:L28)&gt;0,1,0))</x:f>
      </x:c>
      <x:c r="S28" s="2" t="str">
        <x:f>IF(COUNTA(A28)=0,"",IF(COUNTIFS($A$6:$A$165,A28)&gt;1,"Duplicate target",""))</x:f>
      </x:c>
    </x:row>
    <x:row r="29">
      <x:c r="A29" s="6"/>
      <x:c r="B29" s="20"/>
      <x:c r="C29" s="14" t="str">
        <x:f>IF(OR(COUNTA($A29)=0,'Status'!$E$5=""),"",IF(COUNTIFS('Estimates'!$A$5:$A$2004,$A29,'Estimates'!$B$5:$B$2004,"MPS",'Estimates'!$C$5:$C$2004,'Status'!$E$5)=0,"",IF(COUNTIFS('Estimates'!$A$5:$A$2004,$A29,'Estimates'!$B$5:$B$2004,"MPS",'Estimates'!$C$5:$C$2004,'Status'!$E$5)&gt;1,"DUP",SUMIFS('Estimates'!$F$5:$F$2004,'Estimates'!$A$5:$A$2004,$A29,'Estimates'!$B$5:$B$2004,"MPS",'Estimates'!$C$5:$C$2004,'Status'!$E$5))))</x:f>
      </x:c>
      <x:c r="D29" s="14" t="str">
        <x:f>IF(OR(COUNTA($A29)=0,'Status'!$F$5=""),"",IF(COUNTIFS('Estimates'!$A$5:$A$2004,$A29,'Estimates'!$B$5:$B$2004,"MPS",'Estimates'!$C$5:$C$2004,'Status'!$F$5)=0,"",IF(COUNTIFS('Estimates'!$A$5:$A$2004,$A29,'Estimates'!$B$5:$B$2004,"MPS",'Estimates'!$C$5:$C$2004,'Status'!$F$5)&gt;1,"DUP",SUMIFS('Estimates'!$F$5:$F$2004,'Estimates'!$A$5:$A$2004,$A29,'Estimates'!$B$5:$B$2004,"MPS",'Estimates'!$C$5:$C$2004,'Status'!$F$5))))</x:f>
      </x:c>
      <x:c r="E29" s="14" t="str">
        <x:f>IF(OR(COUNTA($A29)=0,'Status'!$G$5=""),"",IF(COUNTIFS('Estimates'!$A$5:$A$2004,$A29,'Estimates'!$B$5:$B$2004,"MPS",'Estimates'!$C$5:$C$2004,'Status'!$G$5)=0,"",IF(COUNTIFS('Estimates'!$A$5:$A$2004,$A29,'Estimates'!$B$5:$B$2004,"MPS",'Estimates'!$C$5:$C$2004,'Status'!$G$5)&gt;1,"DUP",SUMIFS('Estimates'!$F$5:$F$2004,'Estimates'!$A$5:$A$2004,$A29,'Estimates'!$B$5:$B$2004,"MPS",'Estimates'!$C$5:$C$2004,'Status'!$G$5))))</x:f>
      </x:c>
      <x:c r="F29" s="14" t="str">
        <x:f>IF(COUNT(C29:E29)&lt;2,"",_xlfn.STDEV.S(C29:E29))</x:f>
      </x:c>
      <x:c r="G29" s="14" t="str">
        <x:f>IF(AND(ISNUMBER(D29),ISNUMBER(E29)),ABS(E29-D29),"")</x:f>
      </x:c>
      <x:c r="H29" s="15" t="str">
        <x:f>IF(AND(ISNUMBER(D29),ISNUMBER(E29)),IF(D29=0,"n.a.",ABS(E29-D29)/ABS(D29)),"")</x:f>
      </x:c>
      <x:c r="I29" s="2" t="str">
        <x:f>IF(COUNTA(A29)=0,"",IF(NOT(ISNUMBER('Status'!$B$6)),"Set tolerance",IF(COUNT(C29:E29)&lt;3,"Need 3 levels",IF(OR(C29=0,D29=0),"Use abs. Δ",IF(AND(ABS(D29-C29)/ABS(C29)&lt;='Status'!$B$6,H29&lt;='Status'!$B$6),"Yes","No")))))</x:f>
      </x:c>
      <x:c r="J29" s="14" t="str">
        <x:f>IF(OR(COUNTA($A29)=0,'Status'!$E$6=""),"",IF(COUNTIFS('Estimates'!$A$5:$A$2004,$A29,'Estimates'!$B$5:$B$2004,"PPS",'Estimates'!$D$5:$D$2004,'Status'!$E$6,'Estimates'!$E$5:$E$2004,'Status'!$E$7)=0,"",IF(COUNTIFS('Estimates'!$A$5:$A$2004,$A29,'Estimates'!$B$5:$B$2004,"PPS",'Estimates'!$D$5:$D$2004,'Status'!$E$6,'Estimates'!$E$5:$E$2004,'Status'!$E$7)&gt;1,"DUP",SUMIFS('Estimates'!$F$5:$F$2004,'Estimates'!$A$5:$A$2004,$A29,'Estimates'!$B$5:$B$2004,"PPS",'Estimates'!$D$5:$D$2004,'Status'!$E$6,'Estimates'!$E$5:$E$2004,'Status'!$E$7))))</x:f>
      </x:c>
      <x:c r="K29" s="14" t="str">
        <x:f>IF(OR(COUNTA($A29)=0,'Status'!$F$6=""),"",IF(COUNTIFS('Estimates'!$A$5:$A$2004,$A29,'Estimates'!$B$5:$B$2004,"PPS",'Estimates'!$D$5:$D$2004,'Status'!$F$6,'Estimates'!$E$5:$E$2004,'Status'!$E$7)=0,"",IF(COUNTIFS('Estimates'!$A$5:$A$2004,$A29,'Estimates'!$B$5:$B$2004,"PPS",'Estimates'!$D$5:$D$2004,'Status'!$F$6,'Estimates'!$E$5:$E$2004,'Status'!$E$7)&gt;1,"DUP",SUMIFS('Estimates'!$F$5:$F$2004,'Estimates'!$A$5:$A$2004,$A29,'Estimates'!$B$5:$B$2004,"PPS",'Estimates'!$D$5:$D$2004,'Status'!$F$6,'Estimates'!$E$5:$E$2004,'Status'!$E$7))))</x:f>
      </x:c>
      <x:c r="L29" s="14" t="str">
        <x:f>IF(OR(COUNTA($A29)=0,'Status'!$G$6=""),"",IF(COUNTIFS('Estimates'!$A$5:$A$2004,$A29,'Estimates'!$B$5:$B$2004,"PPS",'Estimates'!$D$5:$D$2004,'Status'!$G$6,'Estimates'!$E$5:$E$2004,'Status'!$E$7)=0,"",IF(COUNTIFS('Estimates'!$A$5:$A$2004,$A29,'Estimates'!$B$5:$B$2004,"PPS",'Estimates'!$D$5:$D$2004,'Status'!$G$6,'Estimates'!$E$5:$E$2004,'Status'!$E$7)&gt;1,"DUP",SUMIFS('Estimates'!$F$5:$F$2004,'Estimates'!$A$5:$A$2004,$A29,'Estimates'!$B$5:$B$2004,"PPS",'Estimates'!$D$5:$D$2004,'Status'!$G$6,'Estimates'!$E$5:$E$2004,'Status'!$E$7))))</x:f>
      </x:c>
      <x:c r="M29" s="14" t="str">
        <x:f>IF(COUNT(J29:L29)&lt;2,"",_xlfn.STDEV.S(J29:L29))</x:f>
      </x:c>
      <x:c r="N29" s="14" t="str">
        <x:f>IF(AND(ISNUMBER(K29),ISNUMBER(L29)),ABS(L29-K29),"")</x:f>
      </x:c>
      <x:c r="O29" s="15" t="str">
        <x:f>IF(AND(ISNUMBER(K29),ISNUMBER(L29)),IF(K29=0,"n.a.",ABS(L29-K29)/ABS(K29)),"")</x:f>
      </x:c>
      <x:c r="P29" s="2" t="str">
        <x:f>IF(COUNTA(A29)=0,"",IF(NOT(ISNUMBER('Status'!$B$6)),"Set tolerance",IF(COUNT(J29:L29)&lt;3,"Need 3 levels",IF(OR(J29=0,K29=0),"Use abs. Δ",IF(AND(ABS(K29-J29)/ABS(J29)&lt;='Status'!$B$6,O29&lt;='Status'!$B$6),"Yes","No")))))</x:f>
      </x:c>
      <x:c r="Q29" s="14" t="str">
        <x:f>IF(AND(ISNUMBER(E29),ISNUMBER(L29)),ABS(E29-L29),"")</x:f>
      </x:c>
      <x:c r="R29" s="2" t="str">
        <x:f>IF(COUNTA(A29)=0,"",IF(COUNT(C29:E29,J29:L29)&gt;0,1,0))</x:f>
      </x:c>
      <x:c r="S29" s="2" t="str">
        <x:f>IF(COUNTA(A29)=0,"",IF(COUNTIFS($A$6:$A$165,A29)&gt;1,"Duplicate target",""))</x:f>
      </x:c>
    </x:row>
    <x:row r="30">
      <x:c r="A30" s="6"/>
      <x:c r="B30" s="20"/>
      <x:c r="C30" s="14" t="str">
        <x:f>IF(OR(COUNTA($A30)=0,'Status'!$E$5=""),"",IF(COUNTIFS('Estimates'!$A$5:$A$2004,$A30,'Estimates'!$B$5:$B$2004,"MPS",'Estimates'!$C$5:$C$2004,'Status'!$E$5)=0,"",IF(COUNTIFS('Estimates'!$A$5:$A$2004,$A30,'Estimates'!$B$5:$B$2004,"MPS",'Estimates'!$C$5:$C$2004,'Status'!$E$5)&gt;1,"DUP",SUMIFS('Estimates'!$F$5:$F$2004,'Estimates'!$A$5:$A$2004,$A30,'Estimates'!$B$5:$B$2004,"MPS",'Estimates'!$C$5:$C$2004,'Status'!$E$5))))</x:f>
      </x:c>
      <x:c r="D30" s="14" t="str">
        <x:f>IF(OR(COUNTA($A30)=0,'Status'!$F$5=""),"",IF(COUNTIFS('Estimates'!$A$5:$A$2004,$A30,'Estimates'!$B$5:$B$2004,"MPS",'Estimates'!$C$5:$C$2004,'Status'!$F$5)=0,"",IF(COUNTIFS('Estimates'!$A$5:$A$2004,$A30,'Estimates'!$B$5:$B$2004,"MPS",'Estimates'!$C$5:$C$2004,'Status'!$F$5)&gt;1,"DUP",SUMIFS('Estimates'!$F$5:$F$2004,'Estimates'!$A$5:$A$2004,$A30,'Estimates'!$B$5:$B$2004,"MPS",'Estimates'!$C$5:$C$2004,'Status'!$F$5))))</x:f>
      </x:c>
      <x:c r="E30" s="14" t="str">
        <x:f>IF(OR(COUNTA($A30)=0,'Status'!$G$5=""),"",IF(COUNTIFS('Estimates'!$A$5:$A$2004,$A30,'Estimates'!$B$5:$B$2004,"MPS",'Estimates'!$C$5:$C$2004,'Status'!$G$5)=0,"",IF(COUNTIFS('Estimates'!$A$5:$A$2004,$A30,'Estimates'!$B$5:$B$2004,"MPS",'Estimates'!$C$5:$C$2004,'Status'!$G$5)&gt;1,"DUP",SUMIFS('Estimates'!$F$5:$F$2004,'Estimates'!$A$5:$A$2004,$A30,'Estimates'!$B$5:$B$2004,"MPS",'Estimates'!$C$5:$C$2004,'Status'!$G$5))))</x:f>
      </x:c>
      <x:c r="F30" s="14" t="str">
        <x:f>IF(COUNT(C30:E30)&lt;2,"",_xlfn.STDEV.S(C30:E30))</x:f>
      </x:c>
      <x:c r="G30" s="14" t="str">
        <x:f>IF(AND(ISNUMBER(D30),ISNUMBER(E30)),ABS(E30-D30),"")</x:f>
      </x:c>
      <x:c r="H30" s="15" t="str">
        <x:f>IF(AND(ISNUMBER(D30),ISNUMBER(E30)),IF(D30=0,"n.a.",ABS(E30-D30)/ABS(D30)),"")</x:f>
      </x:c>
      <x:c r="I30" s="2" t="str">
        <x:f>IF(COUNTA(A30)=0,"",IF(NOT(ISNUMBER('Status'!$B$6)),"Set tolerance",IF(COUNT(C30:E30)&lt;3,"Need 3 levels",IF(OR(C30=0,D30=0),"Use abs. Δ",IF(AND(ABS(D30-C30)/ABS(C30)&lt;='Status'!$B$6,H30&lt;='Status'!$B$6),"Yes","No")))))</x:f>
      </x:c>
      <x:c r="J30" s="14" t="str">
        <x:f>IF(OR(COUNTA($A30)=0,'Status'!$E$6=""),"",IF(COUNTIFS('Estimates'!$A$5:$A$2004,$A30,'Estimates'!$B$5:$B$2004,"PPS",'Estimates'!$D$5:$D$2004,'Status'!$E$6,'Estimates'!$E$5:$E$2004,'Status'!$E$7)=0,"",IF(COUNTIFS('Estimates'!$A$5:$A$2004,$A30,'Estimates'!$B$5:$B$2004,"PPS",'Estimates'!$D$5:$D$2004,'Status'!$E$6,'Estimates'!$E$5:$E$2004,'Status'!$E$7)&gt;1,"DUP",SUMIFS('Estimates'!$F$5:$F$2004,'Estimates'!$A$5:$A$2004,$A30,'Estimates'!$B$5:$B$2004,"PPS",'Estimates'!$D$5:$D$2004,'Status'!$E$6,'Estimates'!$E$5:$E$2004,'Status'!$E$7))))</x:f>
      </x:c>
      <x:c r="K30" s="14" t="str">
        <x:f>IF(OR(COUNTA($A30)=0,'Status'!$F$6=""),"",IF(COUNTIFS('Estimates'!$A$5:$A$2004,$A30,'Estimates'!$B$5:$B$2004,"PPS",'Estimates'!$D$5:$D$2004,'Status'!$F$6,'Estimates'!$E$5:$E$2004,'Status'!$E$7)=0,"",IF(COUNTIFS('Estimates'!$A$5:$A$2004,$A30,'Estimates'!$B$5:$B$2004,"PPS",'Estimates'!$D$5:$D$2004,'Status'!$F$6,'Estimates'!$E$5:$E$2004,'Status'!$E$7)&gt;1,"DUP",SUMIFS('Estimates'!$F$5:$F$2004,'Estimates'!$A$5:$A$2004,$A30,'Estimates'!$B$5:$B$2004,"PPS",'Estimates'!$D$5:$D$2004,'Status'!$F$6,'Estimates'!$E$5:$E$2004,'Status'!$E$7))))</x:f>
      </x:c>
      <x:c r="L30" s="14" t="str">
        <x:f>IF(OR(COUNTA($A30)=0,'Status'!$G$6=""),"",IF(COUNTIFS('Estimates'!$A$5:$A$2004,$A30,'Estimates'!$B$5:$B$2004,"PPS",'Estimates'!$D$5:$D$2004,'Status'!$G$6,'Estimates'!$E$5:$E$2004,'Status'!$E$7)=0,"",IF(COUNTIFS('Estimates'!$A$5:$A$2004,$A30,'Estimates'!$B$5:$B$2004,"PPS",'Estimates'!$D$5:$D$2004,'Status'!$G$6,'Estimates'!$E$5:$E$2004,'Status'!$E$7)&gt;1,"DUP",SUMIFS('Estimates'!$F$5:$F$2004,'Estimates'!$A$5:$A$2004,$A30,'Estimates'!$B$5:$B$2004,"PPS",'Estimates'!$D$5:$D$2004,'Status'!$G$6,'Estimates'!$E$5:$E$2004,'Status'!$E$7))))</x:f>
      </x:c>
      <x:c r="M30" s="14" t="str">
        <x:f>IF(COUNT(J30:L30)&lt;2,"",_xlfn.STDEV.S(J30:L30))</x:f>
      </x:c>
      <x:c r="N30" s="14" t="str">
        <x:f>IF(AND(ISNUMBER(K30),ISNUMBER(L30)),ABS(L30-K30),"")</x:f>
      </x:c>
      <x:c r="O30" s="15" t="str">
        <x:f>IF(AND(ISNUMBER(K30),ISNUMBER(L30)),IF(K30=0,"n.a.",ABS(L30-K30)/ABS(K30)),"")</x:f>
      </x:c>
      <x:c r="P30" s="2" t="str">
        <x:f>IF(COUNTA(A30)=0,"",IF(NOT(ISNUMBER('Status'!$B$6)),"Set tolerance",IF(COUNT(J30:L30)&lt;3,"Need 3 levels",IF(OR(J30=0,K30=0),"Use abs. Δ",IF(AND(ABS(K30-J30)/ABS(J30)&lt;='Status'!$B$6,O30&lt;='Status'!$B$6),"Yes","No")))))</x:f>
      </x:c>
      <x:c r="Q30" s="14" t="str">
        <x:f>IF(AND(ISNUMBER(E30),ISNUMBER(L30)),ABS(E30-L30),"")</x:f>
      </x:c>
      <x:c r="R30" s="2" t="str">
        <x:f>IF(COUNTA(A30)=0,"",IF(COUNT(C30:E30,J30:L30)&gt;0,1,0))</x:f>
      </x:c>
      <x:c r="S30" s="2" t="str">
        <x:f>IF(COUNTA(A30)=0,"",IF(COUNTIFS($A$6:$A$165,A30)&gt;1,"Duplicate target",""))</x:f>
      </x:c>
    </x:row>
    <x:row r="31">
      <x:c r="A31" s="6"/>
      <x:c r="B31" s="20"/>
      <x:c r="C31" s="14" t="str">
        <x:f>IF(OR(COUNTA($A31)=0,'Status'!$E$5=""),"",IF(COUNTIFS('Estimates'!$A$5:$A$2004,$A31,'Estimates'!$B$5:$B$2004,"MPS",'Estimates'!$C$5:$C$2004,'Status'!$E$5)=0,"",IF(COUNTIFS('Estimates'!$A$5:$A$2004,$A31,'Estimates'!$B$5:$B$2004,"MPS",'Estimates'!$C$5:$C$2004,'Status'!$E$5)&gt;1,"DUP",SUMIFS('Estimates'!$F$5:$F$2004,'Estimates'!$A$5:$A$2004,$A31,'Estimates'!$B$5:$B$2004,"MPS",'Estimates'!$C$5:$C$2004,'Status'!$E$5))))</x:f>
      </x:c>
      <x:c r="D31" s="14" t="str">
        <x:f>IF(OR(COUNTA($A31)=0,'Status'!$F$5=""),"",IF(COUNTIFS('Estimates'!$A$5:$A$2004,$A31,'Estimates'!$B$5:$B$2004,"MPS",'Estimates'!$C$5:$C$2004,'Status'!$F$5)=0,"",IF(COUNTIFS('Estimates'!$A$5:$A$2004,$A31,'Estimates'!$B$5:$B$2004,"MPS",'Estimates'!$C$5:$C$2004,'Status'!$F$5)&gt;1,"DUP",SUMIFS('Estimates'!$F$5:$F$2004,'Estimates'!$A$5:$A$2004,$A31,'Estimates'!$B$5:$B$2004,"MPS",'Estimates'!$C$5:$C$2004,'Status'!$F$5))))</x:f>
      </x:c>
      <x:c r="E31" s="14" t="str">
        <x:f>IF(OR(COUNTA($A31)=0,'Status'!$G$5=""),"",IF(COUNTIFS('Estimates'!$A$5:$A$2004,$A31,'Estimates'!$B$5:$B$2004,"MPS",'Estimates'!$C$5:$C$2004,'Status'!$G$5)=0,"",IF(COUNTIFS('Estimates'!$A$5:$A$2004,$A31,'Estimates'!$B$5:$B$2004,"MPS",'Estimates'!$C$5:$C$2004,'Status'!$G$5)&gt;1,"DUP",SUMIFS('Estimates'!$F$5:$F$2004,'Estimates'!$A$5:$A$2004,$A31,'Estimates'!$B$5:$B$2004,"MPS",'Estimates'!$C$5:$C$2004,'Status'!$G$5))))</x:f>
      </x:c>
      <x:c r="F31" s="14" t="str">
        <x:f>IF(COUNT(C31:E31)&lt;2,"",_xlfn.STDEV.S(C31:E31))</x:f>
      </x:c>
      <x:c r="G31" s="14" t="str">
        <x:f>IF(AND(ISNUMBER(D31),ISNUMBER(E31)),ABS(E31-D31),"")</x:f>
      </x:c>
      <x:c r="H31" s="15" t="str">
        <x:f>IF(AND(ISNUMBER(D31),ISNUMBER(E31)),IF(D31=0,"n.a.",ABS(E31-D31)/ABS(D31)),"")</x:f>
      </x:c>
      <x:c r="I31" s="2" t="str">
        <x:f>IF(COUNTA(A31)=0,"",IF(NOT(ISNUMBER('Status'!$B$6)),"Set tolerance",IF(COUNT(C31:E31)&lt;3,"Need 3 levels",IF(OR(C31=0,D31=0),"Use abs. Δ",IF(AND(ABS(D31-C31)/ABS(C31)&lt;='Status'!$B$6,H31&lt;='Status'!$B$6),"Yes","No")))))</x:f>
      </x:c>
      <x:c r="J31" s="14" t="str">
        <x:f>IF(OR(COUNTA($A31)=0,'Status'!$E$6=""),"",IF(COUNTIFS('Estimates'!$A$5:$A$2004,$A31,'Estimates'!$B$5:$B$2004,"PPS",'Estimates'!$D$5:$D$2004,'Status'!$E$6,'Estimates'!$E$5:$E$2004,'Status'!$E$7)=0,"",IF(COUNTIFS('Estimates'!$A$5:$A$2004,$A31,'Estimates'!$B$5:$B$2004,"PPS",'Estimates'!$D$5:$D$2004,'Status'!$E$6,'Estimates'!$E$5:$E$2004,'Status'!$E$7)&gt;1,"DUP",SUMIFS('Estimates'!$F$5:$F$2004,'Estimates'!$A$5:$A$2004,$A31,'Estimates'!$B$5:$B$2004,"PPS",'Estimates'!$D$5:$D$2004,'Status'!$E$6,'Estimates'!$E$5:$E$2004,'Status'!$E$7))))</x:f>
      </x:c>
      <x:c r="K31" s="14" t="str">
        <x:f>IF(OR(COUNTA($A31)=0,'Status'!$F$6=""),"",IF(COUNTIFS('Estimates'!$A$5:$A$2004,$A31,'Estimates'!$B$5:$B$2004,"PPS",'Estimates'!$D$5:$D$2004,'Status'!$F$6,'Estimates'!$E$5:$E$2004,'Status'!$E$7)=0,"",IF(COUNTIFS('Estimates'!$A$5:$A$2004,$A31,'Estimates'!$B$5:$B$2004,"PPS",'Estimates'!$D$5:$D$2004,'Status'!$F$6,'Estimates'!$E$5:$E$2004,'Status'!$E$7)&gt;1,"DUP",SUMIFS('Estimates'!$F$5:$F$2004,'Estimates'!$A$5:$A$2004,$A31,'Estimates'!$B$5:$B$2004,"PPS",'Estimates'!$D$5:$D$2004,'Status'!$F$6,'Estimates'!$E$5:$E$2004,'Status'!$E$7))))</x:f>
      </x:c>
      <x:c r="L31" s="14" t="str">
        <x:f>IF(OR(COUNTA($A31)=0,'Status'!$G$6=""),"",IF(COUNTIFS('Estimates'!$A$5:$A$2004,$A31,'Estimates'!$B$5:$B$2004,"PPS",'Estimates'!$D$5:$D$2004,'Status'!$G$6,'Estimates'!$E$5:$E$2004,'Status'!$E$7)=0,"",IF(COUNTIFS('Estimates'!$A$5:$A$2004,$A31,'Estimates'!$B$5:$B$2004,"PPS",'Estimates'!$D$5:$D$2004,'Status'!$G$6,'Estimates'!$E$5:$E$2004,'Status'!$E$7)&gt;1,"DUP",SUMIFS('Estimates'!$F$5:$F$2004,'Estimates'!$A$5:$A$2004,$A31,'Estimates'!$B$5:$B$2004,"PPS",'Estimates'!$D$5:$D$2004,'Status'!$G$6,'Estimates'!$E$5:$E$2004,'Status'!$E$7))))</x:f>
      </x:c>
      <x:c r="M31" s="14" t="str">
        <x:f>IF(COUNT(J31:L31)&lt;2,"",_xlfn.STDEV.S(J31:L31))</x:f>
      </x:c>
      <x:c r="N31" s="14" t="str">
        <x:f>IF(AND(ISNUMBER(K31),ISNUMBER(L31)),ABS(L31-K31),"")</x:f>
      </x:c>
      <x:c r="O31" s="15" t="str">
        <x:f>IF(AND(ISNUMBER(K31),ISNUMBER(L31)),IF(K31=0,"n.a.",ABS(L31-K31)/ABS(K31)),"")</x:f>
      </x:c>
      <x:c r="P31" s="2" t="str">
        <x:f>IF(COUNTA(A31)=0,"",IF(NOT(ISNUMBER('Status'!$B$6)),"Set tolerance",IF(COUNT(J31:L31)&lt;3,"Need 3 levels",IF(OR(J31=0,K31=0),"Use abs. Δ",IF(AND(ABS(K31-J31)/ABS(J31)&lt;='Status'!$B$6,O31&lt;='Status'!$B$6),"Yes","No")))))</x:f>
      </x:c>
      <x:c r="Q31" s="14" t="str">
        <x:f>IF(AND(ISNUMBER(E31),ISNUMBER(L31)),ABS(E31-L31),"")</x:f>
      </x:c>
      <x:c r="R31" s="2" t="str">
        <x:f>IF(COUNTA(A31)=0,"",IF(COUNT(C31:E31,J31:L31)&gt;0,1,0))</x:f>
      </x:c>
      <x:c r="S31" s="2" t="str">
        <x:f>IF(COUNTA(A31)=0,"",IF(COUNTIFS($A$6:$A$165,A31)&gt;1,"Duplicate target",""))</x:f>
      </x:c>
    </x:row>
    <x:row r="32">
      <x:c r="A32" s="6"/>
      <x:c r="B32" s="20"/>
      <x:c r="C32" s="14" t="str">
        <x:f>IF(OR(COUNTA($A32)=0,'Status'!$E$5=""),"",IF(COUNTIFS('Estimates'!$A$5:$A$2004,$A32,'Estimates'!$B$5:$B$2004,"MPS",'Estimates'!$C$5:$C$2004,'Status'!$E$5)=0,"",IF(COUNTIFS('Estimates'!$A$5:$A$2004,$A32,'Estimates'!$B$5:$B$2004,"MPS",'Estimates'!$C$5:$C$2004,'Status'!$E$5)&gt;1,"DUP",SUMIFS('Estimates'!$F$5:$F$2004,'Estimates'!$A$5:$A$2004,$A32,'Estimates'!$B$5:$B$2004,"MPS",'Estimates'!$C$5:$C$2004,'Status'!$E$5))))</x:f>
      </x:c>
      <x:c r="D32" s="14" t="str">
        <x:f>IF(OR(COUNTA($A32)=0,'Status'!$F$5=""),"",IF(COUNTIFS('Estimates'!$A$5:$A$2004,$A32,'Estimates'!$B$5:$B$2004,"MPS",'Estimates'!$C$5:$C$2004,'Status'!$F$5)=0,"",IF(COUNTIFS('Estimates'!$A$5:$A$2004,$A32,'Estimates'!$B$5:$B$2004,"MPS",'Estimates'!$C$5:$C$2004,'Status'!$F$5)&gt;1,"DUP",SUMIFS('Estimates'!$F$5:$F$2004,'Estimates'!$A$5:$A$2004,$A32,'Estimates'!$B$5:$B$2004,"MPS",'Estimates'!$C$5:$C$2004,'Status'!$F$5))))</x:f>
      </x:c>
      <x:c r="E32" s="14" t="str">
        <x:f>IF(OR(COUNTA($A32)=0,'Status'!$G$5=""),"",IF(COUNTIFS('Estimates'!$A$5:$A$2004,$A32,'Estimates'!$B$5:$B$2004,"MPS",'Estimates'!$C$5:$C$2004,'Status'!$G$5)=0,"",IF(COUNTIFS('Estimates'!$A$5:$A$2004,$A32,'Estimates'!$B$5:$B$2004,"MPS",'Estimates'!$C$5:$C$2004,'Status'!$G$5)&gt;1,"DUP",SUMIFS('Estimates'!$F$5:$F$2004,'Estimates'!$A$5:$A$2004,$A32,'Estimates'!$B$5:$B$2004,"MPS",'Estimates'!$C$5:$C$2004,'Status'!$G$5))))</x:f>
      </x:c>
      <x:c r="F32" s="14" t="str">
        <x:f>IF(COUNT(C32:E32)&lt;2,"",_xlfn.STDEV.S(C32:E32))</x:f>
      </x:c>
      <x:c r="G32" s="14" t="str">
        <x:f>IF(AND(ISNUMBER(D32),ISNUMBER(E32)),ABS(E32-D32),"")</x:f>
      </x:c>
      <x:c r="H32" s="15" t="str">
        <x:f>IF(AND(ISNUMBER(D32),ISNUMBER(E32)),IF(D32=0,"n.a.",ABS(E32-D32)/ABS(D32)),"")</x:f>
      </x:c>
      <x:c r="I32" s="2" t="str">
        <x:f>IF(COUNTA(A32)=0,"",IF(NOT(ISNUMBER('Status'!$B$6)),"Set tolerance",IF(COUNT(C32:E32)&lt;3,"Need 3 levels",IF(OR(C32=0,D32=0),"Use abs. Δ",IF(AND(ABS(D32-C32)/ABS(C32)&lt;='Status'!$B$6,H32&lt;='Status'!$B$6),"Yes","No")))))</x:f>
      </x:c>
      <x:c r="J32" s="14" t="str">
        <x:f>IF(OR(COUNTA($A32)=0,'Status'!$E$6=""),"",IF(COUNTIFS('Estimates'!$A$5:$A$2004,$A32,'Estimates'!$B$5:$B$2004,"PPS",'Estimates'!$D$5:$D$2004,'Status'!$E$6,'Estimates'!$E$5:$E$2004,'Status'!$E$7)=0,"",IF(COUNTIFS('Estimates'!$A$5:$A$2004,$A32,'Estimates'!$B$5:$B$2004,"PPS",'Estimates'!$D$5:$D$2004,'Status'!$E$6,'Estimates'!$E$5:$E$2004,'Status'!$E$7)&gt;1,"DUP",SUMIFS('Estimates'!$F$5:$F$2004,'Estimates'!$A$5:$A$2004,$A32,'Estimates'!$B$5:$B$2004,"PPS",'Estimates'!$D$5:$D$2004,'Status'!$E$6,'Estimates'!$E$5:$E$2004,'Status'!$E$7))))</x:f>
      </x:c>
      <x:c r="K32" s="14" t="str">
        <x:f>IF(OR(COUNTA($A32)=0,'Status'!$F$6=""),"",IF(COUNTIFS('Estimates'!$A$5:$A$2004,$A32,'Estimates'!$B$5:$B$2004,"PPS",'Estimates'!$D$5:$D$2004,'Status'!$F$6,'Estimates'!$E$5:$E$2004,'Status'!$E$7)=0,"",IF(COUNTIFS('Estimates'!$A$5:$A$2004,$A32,'Estimates'!$B$5:$B$2004,"PPS",'Estimates'!$D$5:$D$2004,'Status'!$F$6,'Estimates'!$E$5:$E$2004,'Status'!$E$7)&gt;1,"DUP",SUMIFS('Estimates'!$F$5:$F$2004,'Estimates'!$A$5:$A$2004,$A32,'Estimates'!$B$5:$B$2004,"PPS",'Estimates'!$D$5:$D$2004,'Status'!$F$6,'Estimates'!$E$5:$E$2004,'Status'!$E$7))))</x:f>
      </x:c>
      <x:c r="L32" s="14" t="str">
        <x:f>IF(OR(COUNTA($A32)=0,'Status'!$G$6=""),"",IF(COUNTIFS('Estimates'!$A$5:$A$2004,$A32,'Estimates'!$B$5:$B$2004,"PPS",'Estimates'!$D$5:$D$2004,'Status'!$G$6,'Estimates'!$E$5:$E$2004,'Status'!$E$7)=0,"",IF(COUNTIFS('Estimates'!$A$5:$A$2004,$A32,'Estimates'!$B$5:$B$2004,"PPS",'Estimates'!$D$5:$D$2004,'Status'!$G$6,'Estimates'!$E$5:$E$2004,'Status'!$E$7)&gt;1,"DUP",SUMIFS('Estimates'!$F$5:$F$2004,'Estimates'!$A$5:$A$2004,$A32,'Estimates'!$B$5:$B$2004,"PPS",'Estimates'!$D$5:$D$2004,'Status'!$G$6,'Estimates'!$E$5:$E$2004,'Status'!$E$7))))</x:f>
      </x:c>
      <x:c r="M32" s="14" t="str">
        <x:f>IF(COUNT(J32:L32)&lt;2,"",_xlfn.STDEV.S(J32:L32))</x:f>
      </x:c>
      <x:c r="N32" s="14" t="str">
        <x:f>IF(AND(ISNUMBER(K32),ISNUMBER(L32)),ABS(L32-K32),"")</x:f>
      </x:c>
      <x:c r="O32" s="15" t="str">
        <x:f>IF(AND(ISNUMBER(K32),ISNUMBER(L32)),IF(K32=0,"n.a.",ABS(L32-K32)/ABS(K32)),"")</x:f>
      </x:c>
      <x:c r="P32" s="2" t="str">
        <x:f>IF(COUNTA(A32)=0,"",IF(NOT(ISNUMBER('Status'!$B$6)),"Set tolerance",IF(COUNT(J32:L32)&lt;3,"Need 3 levels",IF(OR(J32=0,K32=0),"Use abs. Δ",IF(AND(ABS(K32-J32)/ABS(J32)&lt;='Status'!$B$6,O32&lt;='Status'!$B$6),"Yes","No")))))</x:f>
      </x:c>
      <x:c r="Q32" s="14" t="str">
        <x:f>IF(AND(ISNUMBER(E32),ISNUMBER(L32)),ABS(E32-L32),"")</x:f>
      </x:c>
      <x:c r="R32" s="2" t="str">
        <x:f>IF(COUNTA(A32)=0,"",IF(COUNT(C32:E32,J32:L32)&gt;0,1,0))</x:f>
      </x:c>
      <x:c r="S32" s="2" t="str">
        <x:f>IF(COUNTA(A32)=0,"",IF(COUNTIFS($A$6:$A$165,A32)&gt;1,"Duplicate target",""))</x:f>
      </x:c>
    </x:row>
    <x:row r="33">
      <x:c r="A33" s="6"/>
      <x:c r="B33" s="20"/>
      <x:c r="C33" s="14" t="str">
        <x:f>IF(OR(COUNTA($A33)=0,'Status'!$E$5=""),"",IF(COUNTIFS('Estimates'!$A$5:$A$2004,$A33,'Estimates'!$B$5:$B$2004,"MPS",'Estimates'!$C$5:$C$2004,'Status'!$E$5)=0,"",IF(COUNTIFS('Estimates'!$A$5:$A$2004,$A33,'Estimates'!$B$5:$B$2004,"MPS",'Estimates'!$C$5:$C$2004,'Status'!$E$5)&gt;1,"DUP",SUMIFS('Estimates'!$F$5:$F$2004,'Estimates'!$A$5:$A$2004,$A33,'Estimates'!$B$5:$B$2004,"MPS",'Estimates'!$C$5:$C$2004,'Status'!$E$5))))</x:f>
      </x:c>
      <x:c r="D33" s="14" t="str">
        <x:f>IF(OR(COUNTA($A33)=0,'Status'!$F$5=""),"",IF(COUNTIFS('Estimates'!$A$5:$A$2004,$A33,'Estimates'!$B$5:$B$2004,"MPS",'Estimates'!$C$5:$C$2004,'Status'!$F$5)=0,"",IF(COUNTIFS('Estimates'!$A$5:$A$2004,$A33,'Estimates'!$B$5:$B$2004,"MPS",'Estimates'!$C$5:$C$2004,'Status'!$F$5)&gt;1,"DUP",SUMIFS('Estimates'!$F$5:$F$2004,'Estimates'!$A$5:$A$2004,$A33,'Estimates'!$B$5:$B$2004,"MPS",'Estimates'!$C$5:$C$2004,'Status'!$F$5))))</x:f>
      </x:c>
      <x:c r="E33" s="14" t="str">
        <x:f>IF(OR(COUNTA($A33)=0,'Status'!$G$5=""),"",IF(COUNTIFS('Estimates'!$A$5:$A$2004,$A33,'Estimates'!$B$5:$B$2004,"MPS",'Estimates'!$C$5:$C$2004,'Status'!$G$5)=0,"",IF(COUNTIFS('Estimates'!$A$5:$A$2004,$A33,'Estimates'!$B$5:$B$2004,"MPS",'Estimates'!$C$5:$C$2004,'Status'!$G$5)&gt;1,"DUP",SUMIFS('Estimates'!$F$5:$F$2004,'Estimates'!$A$5:$A$2004,$A33,'Estimates'!$B$5:$B$2004,"MPS",'Estimates'!$C$5:$C$2004,'Status'!$G$5))))</x:f>
      </x:c>
      <x:c r="F33" s="14" t="str">
        <x:f>IF(COUNT(C33:E33)&lt;2,"",_xlfn.STDEV.S(C33:E33))</x:f>
      </x:c>
      <x:c r="G33" s="14" t="str">
        <x:f>IF(AND(ISNUMBER(D33),ISNUMBER(E33)),ABS(E33-D33),"")</x:f>
      </x:c>
      <x:c r="H33" s="15" t="str">
        <x:f>IF(AND(ISNUMBER(D33),ISNUMBER(E33)),IF(D33=0,"n.a.",ABS(E33-D33)/ABS(D33)),"")</x:f>
      </x:c>
      <x:c r="I33" s="2" t="str">
        <x:f>IF(COUNTA(A33)=0,"",IF(NOT(ISNUMBER('Status'!$B$6)),"Set tolerance",IF(COUNT(C33:E33)&lt;3,"Need 3 levels",IF(OR(C33=0,D33=0),"Use abs. Δ",IF(AND(ABS(D33-C33)/ABS(C33)&lt;='Status'!$B$6,H33&lt;='Status'!$B$6),"Yes","No")))))</x:f>
      </x:c>
      <x:c r="J33" s="14" t="str">
        <x:f>IF(OR(COUNTA($A33)=0,'Status'!$E$6=""),"",IF(COUNTIFS('Estimates'!$A$5:$A$2004,$A33,'Estimates'!$B$5:$B$2004,"PPS",'Estimates'!$D$5:$D$2004,'Status'!$E$6,'Estimates'!$E$5:$E$2004,'Status'!$E$7)=0,"",IF(COUNTIFS('Estimates'!$A$5:$A$2004,$A33,'Estimates'!$B$5:$B$2004,"PPS",'Estimates'!$D$5:$D$2004,'Status'!$E$6,'Estimates'!$E$5:$E$2004,'Status'!$E$7)&gt;1,"DUP",SUMIFS('Estimates'!$F$5:$F$2004,'Estimates'!$A$5:$A$2004,$A33,'Estimates'!$B$5:$B$2004,"PPS",'Estimates'!$D$5:$D$2004,'Status'!$E$6,'Estimates'!$E$5:$E$2004,'Status'!$E$7))))</x:f>
      </x:c>
      <x:c r="K33" s="14" t="str">
        <x:f>IF(OR(COUNTA($A33)=0,'Status'!$F$6=""),"",IF(COUNTIFS('Estimates'!$A$5:$A$2004,$A33,'Estimates'!$B$5:$B$2004,"PPS",'Estimates'!$D$5:$D$2004,'Status'!$F$6,'Estimates'!$E$5:$E$2004,'Status'!$E$7)=0,"",IF(COUNTIFS('Estimates'!$A$5:$A$2004,$A33,'Estimates'!$B$5:$B$2004,"PPS",'Estimates'!$D$5:$D$2004,'Status'!$F$6,'Estimates'!$E$5:$E$2004,'Status'!$E$7)&gt;1,"DUP",SUMIFS('Estimates'!$F$5:$F$2004,'Estimates'!$A$5:$A$2004,$A33,'Estimates'!$B$5:$B$2004,"PPS",'Estimates'!$D$5:$D$2004,'Status'!$F$6,'Estimates'!$E$5:$E$2004,'Status'!$E$7))))</x:f>
      </x:c>
      <x:c r="L33" s="14" t="str">
        <x:f>IF(OR(COUNTA($A33)=0,'Status'!$G$6=""),"",IF(COUNTIFS('Estimates'!$A$5:$A$2004,$A33,'Estimates'!$B$5:$B$2004,"PPS",'Estimates'!$D$5:$D$2004,'Status'!$G$6,'Estimates'!$E$5:$E$2004,'Status'!$E$7)=0,"",IF(COUNTIFS('Estimates'!$A$5:$A$2004,$A33,'Estimates'!$B$5:$B$2004,"PPS",'Estimates'!$D$5:$D$2004,'Status'!$G$6,'Estimates'!$E$5:$E$2004,'Status'!$E$7)&gt;1,"DUP",SUMIFS('Estimates'!$F$5:$F$2004,'Estimates'!$A$5:$A$2004,$A33,'Estimates'!$B$5:$B$2004,"PPS",'Estimates'!$D$5:$D$2004,'Status'!$G$6,'Estimates'!$E$5:$E$2004,'Status'!$E$7))))</x:f>
      </x:c>
      <x:c r="M33" s="14" t="str">
        <x:f>IF(COUNT(J33:L33)&lt;2,"",_xlfn.STDEV.S(J33:L33))</x:f>
      </x:c>
      <x:c r="N33" s="14" t="str">
        <x:f>IF(AND(ISNUMBER(K33),ISNUMBER(L33)),ABS(L33-K33),"")</x:f>
      </x:c>
      <x:c r="O33" s="15" t="str">
        <x:f>IF(AND(ISNUMBER(K33),ISNUMBER(L33)),IF(K33=0,"n.a.",ABS(L33-K33)/ABS(K33)),"")</x:f>
      </x:c>
      <x:c r="P33" s="2" t="str">
        <x:f>IF(COUNTA(A33)=0,"",IF(NOT(ISNUMBER('Status'!$B$6)),"Set tolerance",IF(COUNT(J33:L33)&lt;3,"Need 3 levels",IF(OR(J33=0,K33=0),"Use abs. Δ",IF(AND(ABS(K33-J33)/ABS(J33)&lt;='Status'!$B$6,O33&lt;='Status'!$B$6),"Yes","No")))))</x:f>
      </x:c>
      <x:c r="Q33" s="14" t="str">
        <x:f>IF(AND(ISNUMBER(E33),ISNUMBER(L33)),ABS(E33-L33),"")</x:f>
      </x:c>
      <x:c r="R33" s="2" t="str">
        <x:f>IF(COUNTA(A33)=0,"",IF(COUNT(C33:E33,J33:L33)&gt;0,1,0))</x:f>
      </x:c>
      <x:c r="S33" s="2" t="str">
        <x:f>IF(COUNTA(A33)=0,"",IF(COUNTIFS($A$6:$A$165,A33)&gt;1,"Duplicate target",""))</x:f>
      </x:c>
    </x:row>
    <x:row r="34">
      <x:c r="A34" s="6"/>
      <x:c r="B34" s="20"/>
      <x:c r="C34" s="14" t="str">
        <x:f>IF(OR(COUNTA($A34)=0,'Status'!$E$5=""),"",IF(COUNTIFS('Estimates'!$A$5:$A$2004,$A34,'Estimates'!$B$5:$B$2004,"MPS",'Estimates'!$C$5:$C$2004,'Status'!$E$5)=0,"",IF(COUNTIFS('Estimates'!$A$5:$A$2004,$A34,'Estimates'!$B$5:$B$2004,"MPS",'Estimates'!$C$5:$C$2004,'Status'!$E$5)&gt;1,"DUP",SUMIFS('Estimates'!$F$5:$F$2004,'Estimates'!$A$5:$A$2004,$A34,'Estimates'!$B$5:$B$2004,"MPS",'Estimates'!$C$5:$C$2004,'Status'!$E$5))))</x:f>
      </x:c>
      <x:c r="D34" s="14" t="str">
        <x:f>IF(OR(COUNTA($A34)=0,'Status'!$F$5=""),"",IF(COUNTIFS('Estimates'!$A$5:$A$2004,$A34,'Estimates'!$B$5:$B$2004,"MPS",'Estimates'!$C$5:$C$2004,'Status'!$F$5)=0,"",IF(COUNTIFS('Estimates'!$A$5:$A$2004,$A34,'Estimates'!$B$5:$B$2004,"MPS",'Estimates'!$C$5:$C$2004,'Status'!$F$5)&gt;1,"DUP",SUMIFS('Estimates'!$F$5:$F$2004,'Estimates'!$A$5:$A$2004,$A34,'Estimates'!$B$5:$B$2004,"MPS",'Estimates'!$C$5:$C$2004,'Status'!$F$5))))</x:f>
      </x:c>
      <x:c r="E34" s="14" t="str">
        <x:f>IF(OR(COUNTA($A34)=0,'Status'!$G$5=""),"",IF(COUNTIFS('Estimates'!$A$5:$A$2004,$A34,'Estimates'!$B$5:$B$2004,"MPS",'Estimates'!$C$5:$C$2004,'Status'!$G$5)=0,"",IF(COUNTIFS('Estimates'!$A$5:$A$2004,$A34,'Estimates'!$B$5:$B$2004,"MPS",'Estimates'!$C$5:$C$2004,'Status'!$G$5)&gt;1,"DUP",SUMIFS('Estimates'!$F$5:$F$2004,'Estimates'!$A$5:$A$2004,$A34,'Estimates'!$B$5:$B$2004,"MPS",'Estimates'!$C$5:$C$2004,'Status'!$G$5))))</x:f>
      </x:c>
      <x:c r="F34" s="14" t="str">
        <x:f>IF(COUNT(C34:E34)&lt;2,"",_xlfn.STDEV.S(C34:E34))</x:f>
      </x:c>
      <x:c r="G34" s="14" t="str">
        <x:f>IF(AND(ISNUMBER(D34),ISNUMBER(E34)),ABS(E34-D34),"")</x:f>
      </x:c>
      <x:c r="H34" s="15" t="str">
        <x:f>IF(AND(ISNUMBER(D34),ISNUMBER(E34)),IF(D34=0,"n.a.",ABS(E34-D34)/ABS(D34)),"")</x:f>
      </x:c>
      <x:c r="I34" s="2" t="str">
        <x:f>IF(COUNTA(A34)=0,"",IF(NOT(ISNUMBER('Status'!$B$6)),"Set tolerance",IF(COUNT(C34:E34)&lt;3,"Need 3 levels",IF(OR(C34=0,D34=0),"Use abs. Δ",IF(AND(ABS(D34-C34)/ABS(C34)&lt;='Status'!$B$6,H34&lt;='Status'!$B$6),"Yes","No")))))</x:f>
      </x:c>
      <x:c r="J34" s="14" t="str">
        <x:f>IF(OR(COUNTA($A34)=0,'Status'!$E$6=""),"",IF(COUNTIFS('Estimates'!$A$5:$A$2004,$A34,'Estimates'!$B$5:$B$2004,"PPS",'Estimates'!$D$5:$D$2004,'Status'!$E$6,'Estimates'!$E$5:$E$2004,'Status'!$E$7)=0,"",IF(COUNTIFS('Estimates'!$A$5:$A$2004,$A34,'Estimates'!$B$5:$B$2004,"PPS",'Estimates'!$D$5:$D$2004,'Status'!$E$6,'Estimates'!$E$5:$E$2004,'Status'!$E$7)&gt;1,"DUP",SUMIFS('Estimates'!$F$5:$F$2004,'Estimates'!$A$5:$A$2004,$A34,'Estimates'!$B$5:$B$2004,"PPS",'Estimates'!$D$5:$D$2004,'Status'!$E$6,'Estimates'!$E$5:$E$2004,'Status'!$E$7))))</x:f>
      </x:c>
      <x:c r="K34" s="14" t="str">
        <x:f>IF(OR(COUNTA($A34)=0,'Status'!$F$6=""),"",IF(COUNTIFS('Estimates'!$A$5:$A$2004,$A34,'Estimates'!$B$5:$B$2004,"PPS",'Estimates'!$D$5:$D$2004,'Status'!$F$6,'Estimates'!$E$5:$E$2004,'Status'!$E$7)=0,"",IF(COUNTIFS('Estimates'!$A$5:$A$2004,$A34,'Estimates'!$B$5:$B$2004,"PPS",'Estimates'!$D$5:$D$2004,'Status'!$F$6,'Estimates'!$E$5:$E$2004,'Status'!$E$7)&gt;1,"DUP",SUMIFS('Estimates'!$F$5:$F$2004,'Estimates'!$A$5:$A$2004,$A34,'Estimates'!$B$5:$B$2004,"PPS",'Estimates'!$D$5:$D$2004,'Status'!$F$6,'Estimates'!$E$5:$E$2004,'Status'!$E$7))))</x:f>
      </x:c>
      <x:c r="L34" s="14" t="str">
        <x:f>IF(OR(COUNTA($A34)=0,'Status'!$G$6=""),"",IF(COUNTIFS('Estimates'!$A$5:$A$2004,$A34,'Estimates'!$B$5:$B$2004,"PPS",'Estimates'!$D$5:$D$2004,'Status'!$G$6,'Estimates'!$E$5:$E$2004,'Status'!$E$7)=0,"",IF(COUNTIFS('Estimates'!$A$5:$A$2004,$A34,'Estimates'!$B$5:$B$2004,"PPS",'Estimates'!$D$5:$D$2004,'Status'!$G$6,'Estimates'!$E$5:$E$2004,'Status'!$E$7)&gt;1,"DUP",SUMIFS('Estimates'!$F$5:$F$2004,'Estimates'!$A$5:$A$2004,$A34,'Estimates'!$B$5:$B$2004,"PPS",'Estimates'!$D$5:$D$2004,'Status'!$G$6,'Estimates'!$E$5:$E$2004,'Status'!$E$7))))</x:f>
      </x:c>
      <x:c r="M34" s="14" t="str">
        <x:f>IF(COUNT(J34:L34)&lt;2,"",_xlfn.STDEV.S(J34:L34))</x:f>
      </x:c>
      <x:c r="N34" s="14" t="str">
        <x:f>IF(AND(ISNUMBER(K34),ISNUMBER(L34)),ABS(L34-K34),"")</x:f>
      </x:c>
      <x:c r="O34" s="15" t="str">
        <x:f>IF(AND(ISNUMBER(K34),ISNUMBER(L34)),IF(K34=0,"n.a.",ABS(L34-K34)/ABS(K34)),"")</x:f>
      </x:c>
      <x:c r="P34" s="2" t="str">
        <x:f>IF(COUNTA(A34)=0,"",IF(NOT(ISNUMBER('Status'!$B$6)),"Set tolerance",IF(COUNT(J34:L34)&lt;3,"Need 3 levels",IF(OR(J34=0,K34=0),"Use abs. Δ",IF(AND(ABS(K34-J34)/ABS(J34)&lt;='Status'!$B$6,O34&lt;='Status'!$B$6),"Yes","No")))))</x:f>
      </x:c>
      <x:c r="Q34" s="14" t="str">
        <x:f>IF(AND(ISNUMBER(E34),ISNUMBER(L34)),ABS(E34-L34),"")</x:f>
      </x:c>
      <x:c r="R34" s="2" t="str">
        <x:f>IF(COUNTA(A34)=0,"",IF(COUNT(C34:E34,J34:L34)&gt;0,1,0))</x:f>
      </x:c>
      <x:c r="S34" s="2" t="str">
        <x:f>IF(COUNTA(A34)=0,"",IF(COUNTIFS($A$6:$A$165,A34)&gt;1,"Duplicate target",""))</x:f>
      </x:c>
    </x:row>
    <x:row r="35">
      <x:c r="A35" s="6"/>
      <x:c r="B35" s="20"/>
      <x:c r="C35" s="14" t="str">
        <x:f>IF(OR(COUNTA($A35)=0,'Status'!$E$5=""),"",IF(COUNTIFS('Estimates'!$A$5:$A$2004,$A35,'Estimates'!$B$5:$B$2004,"MPS",'Estimates'!$C$5:$C$2004,'Status'!$E$5)=0,"",IF(COUNTIFS('Estimates'!$A$5:$A$2004,$A35,'Estimates'!$B$5:$B$2004,"MPS",'Estimates'!$C$5:$C$2004,'Status'!$E$5)&gt;1,"DUP",SUMIFS('Estimates'!$F$5:$F$2004,'Estimates'!$A$5:$A$2004,$A35,'Estimates'!$B$5:$B$2004,"MPS",'Estimates'!$C$5:$C$2004,'Status'!$E$5))))</x:f>
      </x:c>
      <x:c r="D35" s="14" t="str">
        <x:f>IF(OR(COUNTA($A35)=0,'Status'!$F$5=""),"",IF(COUNTIFS('Estimates'!$A$5:$A$2004,$A35,'Estimates'!$B$5:$B$2004,"MPS",'Estimates'!$C$5:$C$2004,'Status'!$F$5)=0,"",IF(COUNTIFS('Estimates'!$A$5:$A$2004,$A35,'Estimates'!$B$5:$B$2004,"MPS",'Estimates'!$C$5:$C$2004,'Status'!$F$5)&gt;1,"DUP",SUMIFS('Estimates'!$F$5:$F$2004,'Estimates'!$A$5:$A$2004,$A35,'Estimates'!$B$5:$B$2004,"MPS",'Estimates'!$C$5:$C$2004,'Status'!$F$5))))</x:f>
      </x:c>
      <x:c r="E35" s="14" t="str">
        <x:f>IF(OR(COUNTA($A35)=0,'Status'!$G$5=""),"",IF(COUNTIFS('Estimates'!$A$5:$A$2004,$A35,'Estimates'!$B$5:$B$2004,"MPS",'Estimates'!$C$5:$C$2004,'Status'!$G$5)=0,"",IF(COUNTIFS('Estimates'!$A$5:$A$2004,$A35,'Estimates'!$B$5:$B$2004,"MPS",'Estimates'!$C$5:$C$2004,'Status'!$G$5)&gt;1,"DUP",SUMIFS('Estimates'!$F$5:$F$2004,'Estimates'!$A$5:$A$2004,$A35,'Estimates'!$B$5:$B$2004,"MPS",'Estimates'!$C$5:$C$2004,'Status'!$G$5))))</x:f>
      </x:c>
      <x:c r="F35" s="14" t="str">
        <x:f>IF(COUNT(C35:E35)&lt;2,"",_xlfn.STDEV.S(C35:E35))</x:f>
      </x:c>
      <x:c r="G35" s="14" t="str">
        <x:f>IF(AND(ISNUMBER(D35),ISNUMBER(E35)),ABS(E35-D35),"")</x:f>
      </x:c>
      <x:c r="H35" s="15" t="str">
        <x:f>IF(AND(ISNUMBER(D35),ISNUMBER(E35)),IF(D35=0,"n.a.",ABS(E35-D35)/ABS(D35)),"")</x:f>
      </x:c>
      <x:c r="I35" s="2" t="str">
        <x:f>IF(COUNTA(A35)=0,"",IF(NOT(ISNUMBER('Status'!$B$6)),"Set tolerance",IF(COUNT(C35:E35)&lt;3,"Need 3 levels",IF(OR(C35=0,D35=0),"Use abs. Δ",IF(AND(ABS(D35-C35)/ABS(C35)&lt;='Status'!$B$6,H35&lt;='Status'!$B$6),"Yes","No")))))</x:f>
      </x:c>
      <x:c r="J35" s="14" t="str">
        <x:f>IF(OR(COUNTA($A35)=0,'Status'!$E$6=""),"",IF(COUNTIFS('Estimates'!$A$5:$A$2004,$A35,'Estimates'!$B$5:$B$2004,"PPS",'Estimates'!$D$5:$D$2004,'Status'!$E$6,'Estimates'!$E$5:$E$2004,'Status'!$E$7)=0,"",IF(COUNTIFS('Estimates'!$A$5:$A$2004,$A35,'Estimates'!$B$5:$B$2004,"PPS",'Estimates'!$D$5:$D$2004,'Status'!$E$6,'Estimates'!$E$5:$E$2004,'Status'!$E$7)&gt;1,"DUP",SUMIFS('Estimates'!$F$5:$F$2004,'Estimates'!$A$5:$A$2004,$A35,'Estimates'!$B$5:$B$2004,"PPS",'Estimates'!$D$5:$D$2004,'Status'!$E$6,'Estimates'!$E$5:$E$2004,'Status'!$E$7))))</x:f>
      </x:c>
      <x:c r="K35" s="14" t="str">
        <x:f>IF(OR(COUNTA($A35)=0,'Status'!$F$6=""),"",IF(COUNTIFS('Estimates'!$A$5:$A$2004,$A35,'Estimates'!$B$5:$B$2004,"PPS",'Estimates'!$D$5:$D$2004,'Status'!$F$6,'Estimates'!$E$5:$E$2004,'Status'!$E$7)=0,"",IF(COUNTIFS('Estimates'!$A$5:$A$2004,$A35,'Estimates'!$B$5:$B$2004,"PPS",'Estimates'!$D$5:$D$2004,'Status'!$F$6,'Estimates'!$E$5:$E$2004,'Status'!$E$7)&gt;1,"DUP",SUMIFS('Estimates'!$F$5:$F$2004,'Estimates'!$A$5:$A$2004,$A35,'Estimates'!$B$5:$B$2004,"PPS",'Estimates'!$D$5:$D$2004,'Status'!$F$6,'Estimates'!$E$5:$E$2004,'Status'!$E$7))))</x:f>
      </x:c>
      <x:c r="L35" s="14" t="str">
        <x:f>IF(OR(COUNTA($A35)=0,'Status'!$G$6=""),"",IF(COUNTIFS('Estimates'!$A$5:$A$2004,$A35,'Estimates'!$B$5:$B$2004,"PPS",'Estimates'!$D$5:$D$2004,'Status'!$G$6,'Estimates'!$E$5:$E$2004,'Status'!$E$7)=0,"",IF(COUNTIFS('Estimates'!$A$5:$A$2004,$A35,'Estimates'!$B$5:$B$2004,"PPS",'Estimates'!$D$5:$D$2004,'Status'!$G$6,'Estimates'!$E$5:$E$2004,'Status'!$E$7)&gt;1,"DUP",SUMIFS('Estimates'!$F$5:$F$2004,'Estimates'!$A$5:$A$2004,$A35,'Estimates'!$B$5:$B$2004,"PPS",'Estimates'!$D$5:$D$2004,'Status'!$G$6,'Estimates'!$E$5:$E$2004,'Status'!$E$7))))</x:f>
      </x:c>
      <x:c r="M35" s="14" t="str">
        <x:f>IF(COUNT(J35:L35)&lt;2,"",_xlfn.STDEV.S(J35:L35))</x:f>
      </x:c>
      <x:c r="N35" s="14" t="str">
        <x:f>IF(AND(ISNUMBER(K35),ISNUMBER(L35)),ABS(L35-K35),"")</x:f>
      </x:c>
      <x:c r="O35" s="15" t="str">
        <x:f>IF(AND(ISNUMBER(K35),ISNUMBER(L35)),IF(K35=0,"n.a.",ABS(L35-K35)/ABS(K35)),"")</x:f>
      </x:c>
      <x:c r="P35" s="2" t="str">
        <x:f>IF(COUNTA(A35)=0,"",IF(NOT(ISNUMBER('Status'!$B$6)),"Set tolerance",IF(COUNT(J35:L35)&lt;3,"Need 3 levels",IF(OR(J35=0,K35=0),"Use abs. Δ",IF(AND(ABS(K35-J35)/ABS(J35)&lt;='Status'!$B$6,O35&lt;='Status'!$B$6),"Yes","No")))))</x:f>
      </x:c>
      <x:c r="Q35" s="14" t="str">
        <x:f>IF(AND(ISNUMBER(E35),ISNUMBER(L35)),ABS(E35-L35),"")</x:f>
      </x:c>
      <x:c r="R35" s="2" t="str">
        <x:f>IF(COUNTA(A35)=0,"",IF(COUNT(C35:E35,J35:L35)&gt;0,1,0))</x:f>
      </x:c>
      <x:c r="S35" s="2" t="str">
        <x:f>IF(COUNTA(A35)=0,"",IF(COUNTIFS($A$6:$A$165,A35)&gt;1,"Duplicate target",""))</x:f>
      </x:c>
    </x:row>
    <x:row r="36">
      <x:c r="A36" s="6"/>
      <x:c r="B36" s="20"/>
      <x:c r="C36" s="14" t="str">
        <x:f>IF(OR(COUNTA($A36)=0,'Status'!$E$5=""),"",IF(COUNTIFS('Estimates'!$A$5:$A$2004,$A36,'Estimates'!$B$5:$B$2004,"MPS",'Estimates'!$C$5:$C$2004,'Status'!$E$5)=0,"",IF(COUNTIFS('Estimates'!$A$5:$A$2004,$A36,'Estimates'!$B$5:$B$2004,"MPS",'Estimates'!$C$5:$C$2004,'Status'!$E$5)&gt;1,"DUP",SUMIFS('Estimates'!$F$5:$F$2004,'Estimates'!$A$5:$A$2004,$A36,'Estimates'!$B$5:$B$2004,"MPS",'Estimates'!$C$5:$C$2004,'Status'!$E$5))))</x:f>
      </x:c>
      <x:c r="D36" s="14" t="str">
        <x:f>IF(OR(COUNTA($A36)=0,'Status'!$F$5=""),"",IF(COUNTIFS('Estimates'!$A$5:$A$2004,$A36,'Estimates'!$B$5:$B$2004,"MPS",'Estimates'!$C$5:$C$2004,'Status'!$F$5)=0,"",IF(COUNTIFS('Estimates'!$A$5:$A$2004,$A36,'Estimates'!$B$5:$B$2004,"MPS",'Estimates'!$C$5:$C$2004,'Status'!$F$5)&gt;1,"DUP",SUMIFS('Estimates'!$F$5:$F$2004,'Estimates'!$A$5:$A$2004,$A36,'Estimates'!$B$5:$B$2004,"MPS",'Estimates'!$C$5:$C$2004,'Status'!$F$5))))</x:f>
      </x:c>
      <x:c r="E36" s="14" t="str">
        <x:f>IF(OR(COUNTA($A36)=0,'Status'!$G$5=""),"",IF(COUNTIFS('Estimates'!$A$5:$A$2004,$A36,'Estimates'!$B$5:$B$2004,"MPS",'Estimates'!$C$5:$C$2004,'Status'!$G$5)=0,"",IF(COUNTIFS('Estimates'!$A$5:$A$2004,$A36,'Estimates'!$B$5:$B$2004,"MPS",'Estimates'!$C$5:$C$2004,'Status'!$G$5)&gt;1,"DUP",SUMIFS('Estimates'!$F$5:$F$2004,'Estimates'!$A$5:$A$2004,$A36,'Estimates'!$B$5:$B$2004,"MPS",'Estimates'!$C$5:$C$2004,'Status'!$G$5))))</x:f>
      </x:c>
      <x:c r="F36" s="14" t="str">
        <x:f>IF(COUNT(C36:E36)&lt;2,"",_xlfn.STDEV.S(C36:E36))</x:f>
      </x:c>
      <x:c r="G36" s="14" t="str">
        <x:f>IF(AND(ISNUMBER(D36),ISNUMBER(E36)),ABS(E36-D36),"")</x:f>
      </x:c>
      <x:c r="H36" s="15" t="str">
        <x:f>IF(AND(ISNUMBER(D36),ISNUMBER(E36)),IF(D36=0,"n.a.",ABS(E36-D36)/ABS(D36)),"")</x:f>
      </x:c>
      <x:c r="I36" s="2" t="str">
        <x:f>IF(COUNTA(A36)=0,"",IF(NOT(ISNUMBER('Status'!$B$6)),"Set tolerance",IF(COUNT(C36:E36)&lt;3,"Need 3 levels",IF(OR(C36=0,D36=0),"Use abs. Δ",IF(AND(ABS(D36-C36)/ABS(C36)&lt;='Status'!$B$6,H36&lt;='Status'!$B$6),"Yes","No")))))</x:f>
      </x:c>
      <x:c r="J36" s="14" t="str">
        <x:f>IF(OR(COUNTA($A36)=0,'Status'!$E$6=""),"",IF(COUNTIFS('Estimates'!$A$5:$A$2004,$A36,'Estimates'!$B$5:$B$2004,"PPS",'Estimates'!$D$5:$D$2004,'Status'!$E$6,'Estimates'!$E$5:$E$2004,'Status'!$E$7)=0,"",IF(COUNTIFS('Estimates'!$A$5:$A$2004,$A36,'Estimates'!$B$5:$B$2004,"PPS",'Estimates'!$D$5:$D$2004,'Status'!$E$6,'Estimates'!$E$5:$E$2004,'Status'!$E$7)&gt;1,"DUP",SUMIFS('Estimates'!$F$5:$F$2004,'Estimates'!$A$5:$A$2004,$A36,'Estimates'!$B$5:$B$2004,"PPS",'Estimates'!$D$5:$D$2004,'Status'!$E$6,'Estimates'!$E$5:$E$2004,'Status'!$E$7))))</x:f>
      </x:c>
      <x:c r="K36" s="14" t="str">
        <x:f>IF(OR(COUNTA($A36)=0,'Status'!$F$6=""),"",IF(COUNTIFS('Estimates'!$A$5:$A$2004,$A36,'Estimates'!$B$5:$B$2004,"PPS",'Estimates'!$D$5:$D$2004,'Status'!$F$6,'Estimates'!$E$5:$E$2004,'Status'!$E$7)=0,"",IF(COUNTIFS('Estimates'!$A$5:$A$2004,$A36,'Estimates'!$B$5:$B$2004,"PPS",'Estimates'!$D$5:$D$2004,'Status'!$F$6,'Estimates'!$E$5:$E$2004,'Status'!$E$7)&gt;1,"DUP",SUMIFS('Estimates'!$F$5:$F$2004,'Estimates'!$A$5:$A$2004,$A36,'Estimates'!$B$5:$B$2004,"PPS",'Estimates'!$D$5:$D$2004,'Status'!$F$6,'Estimates'!$E$5:$E$2004,'Status'!$E$7))))</x:f>
      </x:c>
      <x:c r="L36" s="14" t="str">
        <x:f>IF(OR(COUNTA($A36)=0,'Status'!$G$6=""),"",IF(COUNTIFS('Estimates'!$A$5:$A$2004,$A36,'Estimates'!$B$5:$B$2004,"PPS",'Estimates'!$D$5:$D$2004,'Status'!$G$6,'Estimates'!$E$5:$E$2004,'Status'!$E$7)=0,"",IF(COUNTIFS('Estimates'!$A$5:$A$2004,$A36,'Estimates'!$B$5:$B$2004,"PPS",'Estimates'!$D$5:$D$2004,'Status'!$G$6,'Estimates'!$E$5:$E$2004,'Status'!$E$7)&gt;1,"DUP",SUMIFS('Estimates'!$F$5:$F$2004,'Estimates'!$A$5:$A$2004,$A36,'Estimates'!$B$5:$B$2004,"PPS",'Estimates'!$D$5:$D$2004,'Status'!$G$6,'Estimates'!$E$5:$E$2004,'Status'!$E$7))))</x:f>
      </x:c>
      <x:c r="M36" s="14" t="str">
        <x:f>IF(COUNT(J36:L36)&lt;2,"",_xlfn.STDEV.S(J36:L36))</x:f>
      </x:c>
      <x:c r="N36" s="14" t="str">
        <x:f>IF(AND(ISNUMBER(K36),ISNUMBER(L36)),ABS(L36-K36),"")</x:f>
      </x:c>
      <x:c r="O36" s="15" t="str">
        <x:f>IF(AND(ISNUMBER(K36),ISNUMBER(L36)),IF(K36=0,"n.a.",ABS(L36-K36)/ABS(K36)),"")</x:f>
      </x:c>
      <x:c r="P36" s="2" t="str">
        <x:f>IF(COUNTA(A36)=0,"",IF(NOT(ISNUMBER('Status'!$B$6)),"Set tolerance",IF(COUNT(J36:L36)&lt;3,"Need 3 levels",IF(OR(J36=0,K36=0),"Use abs. Δ",IF(AND(ABS(K36-J36)/ABS(J36)&lt;='Status'!$B$6,O36&lt;='Status'!$B$6),"Yes","No")))))</x:f>
      </x:c>
      <x:c r="Q36" s="14" t="str">
        <x:f>IF(AND(ISNUMBER(E36),ISNUMBER(L36)),ABS(E36-L36),"")</x:f>
      </x:c>
      <x:c r="R36" s="2" t="str">
        <x:f>IF(COUNTA(A36)=0,"",IF(COUNT(C36:E36,J36:L36)&gt;0,1,0))</x:f>
      </x:c>
      <x:c r="S36" s="2" t="str">
        <x:f>IF(COUNTA(A36)=0,"",IF(COUNTIFS($A$6:$A$165,A36)&gt;1,"Duplicate target",""))</x:f>
      </x:c>
    </x:row>
    <x:row r="37">
      <x:c r="A37" s="6"/>
      <x:c r="B37" s="20"/>
      <x:c r="C37" s="14" t="str">
        <x:f>IF(OR(COUNTA($A37)=0,'Status'!$E$5=""),"",IF(COUNTIFS('Estimates'!$A$5:$A$2004,$A37,'Estimates'!$B$5:$B$2004,"MPS",'Estimates'!$C$5:$C$2004,'Status'!$E$5)=0,"",IF(COUNTIFS('Estimates'!$A$5:$A$2004,$A37,'Estimates'!$B$5:$B$2004,"MPS",'Estimates'!$C$5:$C$2004,'Status'!$E$5)&gt;1,"DUP",SUMIFS('Estimates'!$F$5:$F$2004,'Estimates'!$A$5:$A$2004,$A37,'Estimates'!$B$5:$B$2004,"MPS",'Estimates'!$C$5:$C$2004,'Status'!$E$5))))</x:f>
      </x:c>
      <x:c r="D37" s="14" t="str">
        <x:f>IF(OR(COUNTA($A37)=0,'Status'!$F$5=""),"",IF(COUNTIFS('Estimates'!$A$5:$A$2004,$A37,'Estimates'!$B$5:$B$2004,"MPS",'Estimates'!$C$5:$C$2004,'Status'!$F$5)=0,"",IF(COUNTIFS('Estimates'!$A$5:$A$2004,$A37,'Estimates'!$B$5:$B$2004,"MPS",'Estimates'!$C$5:$C$2004,'Status'!$F$5)&gt;1,"DUP",SUMIFS('Estimates'!$F$5:$F$2004,'Estimates'!$A$5:$A$2004,$A37,'Estimates'!$B$5:$B$2004,"MPS",'Estimates'!$C$5:$C$2004,'Status'!$F$5))))</x:f>
      </x:c>
      <x:c r="E37" s="14" t="str">
        <x:f>IF(OR(COUNTA($A37)=0,'Status'!$G$5=""),"",IF(COUNTIFS('Estimates'!$A$5:$A$2004,$A37,'Estimates'!$B$5:$B$2004,"MPS",'Estimates'!$C$5:$C$2004,'Status'!$G$5)=0,"",IF(COUNTIFS('Estimates'!$A$5:$A$2004,$A37,'Estimates'!$B$5:$B$2004,"MPS",'Estimates'!$C$5:$C$2004,'Status'!$G$5)&gt;1,"DUP",SUMIFS('Estimates'!$F$5:$F$2004,'Estimates'!$A$5:$A$2004,$A37,'Estimates'!$B$5:$B$2004,"MPS",'Estimates'!$C$5:$C$2004,'Status'!$G$5))))</x:f>
      </x:c>
      <x:c r="F37" s="14" t="str">
        <x:f>IF(COUNT(C37:E37)&lt;2,"",_xlfn.STDEV.S(C37:E37))</x:f>
      </x:c>
      <x:c r="G37" s="14" t="str">
        <x:f>IF(AND(ISNUMBER(D37),ISNUMBER(E37)),ABS(E37-D37),"")</x:f>
      </x:c>
      <x:c r="H37" s="15" t="str">
        <x:f>IF(AND(ISNUMBER(D37),ISNUMBER(E37)),IF(D37=0,"n.a.",ABS(E37-D37)/ABS(D37)),"")</x:f>
      </x:c>
      <x:c r="I37" s="2" t="str">
        <x:f>IF(COUNTA(A37)=0,"",IF(NOT(ISNUMBER('Status'!$B$6)),"Set tolerance",IF(COUNT(C37:E37)&lt;3,"Need 3 levels",IF(OR(C37=0,D37=0),"Use abs. Δ",IF(AND(ABS(D37-C37)/ABS(C37)&lt;='Status'!$B$6,H37&lt;='Status'!$B$6),"Yes","No")))))</x:f>
      </x:c>
      <x:c r="J37" s="14" t="str">
        <x:f>IF(OR(COUNTA($A37)=0,'Status'!$E$6=""),"",IF(COUNTIFS('Estimates'!$A$5:$A$2004,$A37,'Estimates'!$B$5:$B$2004,"PPS",'Estimates'!$D$5:$D$2004,'Status'!$E$6,'Estimates'!$E$5:$E$2004,'Status'!$E$7)=0,"",IF(COUNTIFS('Estimates'!$A$5:$A$2004,$A37,'Estimates'!$B$5:$B$2004,"PPS",'Estimates'!$D$5:$D$2004,'Status'!$E$6,'Estimates'!$E$5:$E$2004,'Status'!$E$7)&gt;1,"DUP",SUMIFS('Estimates'!$F$5:$F$2004,'Estimates'!$A$5:$A$2004,$A37,'Estimates'!$B$5:$B$2004,"PPS",'Estimates'!$D$5:$D$2004,'Status'!$E$6,'Estimates'!$E$5:$E$2004,'Status'!$E$7))))</x:f>
      </x:c>
      <x:c r="K37" s="14" t="str">
        <x:f>IF(OR(COUNTA($A37)=0,'Status'!$F$6=""),"",IF(COUNTIFS('Estimates'!$A$5:$A$2004,$A37,'Estimates'!$B$5:$B$2004,"PPS",'Estimates'!$D$5:$D$2004,'Status'!$F$6,'Estimates'!$E$5:$E$2004,'Status'!$E$7)=0,"",IF(COUNTIFS('Estimates'!$A$5:$A$2004,$A37,'Estimates'!$B$5:$B$2004,"PPS",'Estimates'!$D$5:$D$2004,'Status'!$F$6,'Estimates'!$E$5:$E$2004,'Status'!$E$7)&gt;1,"DUP",SUMIFS('Estimates'!$F$5:$F$2004,'Estimates'!$A$5:$A$2004,$A37,'Estimates'!$B$5:$B$2004,"PPS",'Estimates'!$D$5:$D$2004,'Status'!$F$6,'Estimates'!$E$5:$E$2004,'Status'!$E$7))))</x:f>
      </x:c>
      <x:c r="L37" s="14" t="str">
        <x:f>IF(OR(COUNTA($A37)=0,'Status'!$G$6=""),"",IF(COUNTIFS('Estimates'!$A$5:$A$2004,$A37,'Estimates'!$B$5:$B$2004,"PPS",'Estimates'!$D$5:$D$2004,'Status'!$G$6,'Estimates'!$E$5:$E$2004,'Status'!$E$7)=0,"",IF(COUNTIFS('Estimates'!$A$5:$A$2004,$A37,'Estimates'!$B$5:$B$2004,"PPS",'Estimates'!$D$5:$D$2004,'Status'!$G$6,'Estimates'!$E$5:$E$2004,'Status'!$E$7)&gt;1,"DUP",SUMIFS('Estimates'!$F$5:$F$2004,'Estimates'!$A$5:$A$2004,$A37,'Estimates'!$B$5:$B$2004,"PPS",'Estimates'!$D$5:$D$2004,'Status'!$G$6,'Estimates'!$E$5:$E$2004,'Status'!$E$7))))</x:f>
      </x:c>
      <x:c r="M37" s="14" t="str">
        <x:f>IF(COUNT(J37:L37)&lt;2,"",_xlfn.STDEV.S(J37:L37))</x:f>
      </x:c>
      <x:c r="N37" s="14" t="str">
        <x:f>IF(AND(ISNUMBER(K37),ISNUMBER(L37)),ABS(L37-K37),"")</x:f>
      </x:c>
      <x:c r="O37" s="15" t="str">
        <x:f>IF(AND(ISNUMBER(K37),ISNUMBER(L37)),IF(K37=0,"n.a.",ABS(L37-K37)/ABS(K37)),"")</x:f>
      </x:c>
      <x:c r="P37" s="2" t="str">
        <x:f>IF(COUNTA(A37)=0,"",IF(NOT(ISNUMBER('Status'!$B$6)),"Set tolerance",IF(COUNT(J37:L37)&lt;3,"Need 3 levels",IF(OR(J37=0,K37=0),"Use abs. Δ",IF(AND(ABS(K37-J37)/ABS(J37)&lt;='Status'!$B$6,O37&lt;='Status'!$B$6),"Yes","No")))))</x:f>
      </x:c>
      <x:c r="Q37" s="14" t="str">
        <x:f>IF(AND(ISNUMBER(E37),ISNUMBER(L37)),ABS(E37-L37),"")</x:f>
      </x:c>
      <x:c r="R37" s="2" t="str">
        <x:f>IF(COUNTA(A37)=0,"",IF(COUNT(C37:E37,J37:L37)&gt;0,1,0))</x:f>
      </x:c>
      <x:c r="S37" s="2" t="str">
        <x:f>IF(COUNTA(A37)=0,"",IF(COUNTIFS($A$6:$A$165,A37)&gt;1,"Duplicate target",""))</x:f>
      </x:c>
    </x:row>
    <x:row r="38">
      <x:c r="A38" s="6"/>
      <x:c r="B38" s="20"/>
      <x:c r="C38" s="14" t="str">
        <x:f>IF(OR(COUNTA($A38)=0,'Status'!$E$5=""),"",IF(COUNTIFS('Estimates'!$A$5:$A$2004,$A38,'Estimates'!$B$5:$B$2004,"MPS",'Estimates'!$C$5:$C$2004,'Status'!$E$5)=0,"",IF(COUNTIFS('Estimates'!$A$5:$A$2004,$A38,'Estimates'!$B$5:$B$2004,"MPS",'Estimates'!$C$5:$C$2004,'Status'!$E$5)&gt;1,"DUP",SUMIFS('Estimates'!$F$5:$F$2004,'Estimates'!$A$5:$A$2004,$A38,'Estimates'!$B$5:$B$2004,"MPS",'Estimates'!$C$5:$C$2004,'Status'!$E$5))))</x:f>
      </x:c>
      <x:c r="D38" s="14" t="str">
        <x:f>IF(OR(COUNTA($A38)=0,'Status'!$F$5=""),"",IF(COUNTIFS('Estimates'!$A$5:$A$2004,$A38,'Estimates'!$B$5:$B$2004,"MPS",'Estimates'!$C$5:$C$2004,'Status'!$F$5)=0,"",IF(COUNTIFS('Estimates'!$A$5:$A$2004,$A38,'Estimates'!$B$5:$B$2004,"MPS",'Estimates'!$C$5:$C$2004,'Status'!$F$5)&gt;1,"DUP",SUMIFS('Estimates'!$F$5:$F$2004,'Estimates'!$A$5:$A$2004,$A38,'Estimates'!$B$5:$B$2004,"MPS",'Estimates'!$C$5:$C$2004,'Status'!$F$5))))</x:f>
      </x:c>
      <x:c r="E38" s="14" t="str">
        <x:f>IF(OR(COUNTA($A38)=0,'Status'!$G$5=""),"",IF(COUNTIFS('Estimates'!$A$5:$A$2004,$A38,'Estimates'!$B$5:$B$2004,"MPS",'Estimates'!$C$5:$C$2004,'Status'!$G$5)=0,"",IF(COUNTIFS('Estimates'!$A$5:$A$2004,$A38,'Estimates'!$B$5:$B$2004,"MPS",'Estimates'!$C$5:$C$2004,'Status'!$G$5)&gt;1,"DUP",SUMIFS('Estimates'!$F$5:$F$2004,'Estimates'!$A$5:$A$2004,$A38,'Estimates'!$B$5:$B$2004,"MPS",'Estimates'!$C$5:$C$2004,'Status'!$G$5))))</x:f>
      </x:c>
      <x:c r="F38" s="14" t="str">
        <x:f>IF(COUNT(C38:E38)&lt;2,"",_xlfn.STDEV.S(C38:E38))</x:f>
      </x:c>
      <x:c r="G38" s="14" t="str">
        <x:f>IF(AND(ISNUMBER(D38),ISNUMBER(E38)),ABS(E38-D38),"")</x:f>
      </x:c>
      <x:c r="H38" s="15" t="str">
        <x:f>IF(AND(ISNUMBER(D38),ISNUMBER(E38)),IF(D38=0,"n.a.",ABS(E38-D38)/ABS(D38)),"")</x:f>
      </x:c>
      <x:c r="I38" s="2" t="str">
        <x:f>IF(COUNTA(A38)=0,"",IF(NOT(ISNUMBER('Status'!$B$6)),"Set tolerance",IF(COUNT(C38:E38)&lt;3,"Need 3 levels",IF(OR(C38=0,D38=0),"Use abs. Δ",IF(AND(ABS(D38-C38)/ABS(C38)&lt;='Status'!$B$6,H38&lt;='Status'!$B$6),"Yes","No")))))</x:f>
      </x:c>
      <x:c r="J38" s="14" t="str">
        <x:f>IF(OR(COUNTA($A38)=0,'Status'!$E$6=""),"",IF(COUNTIFS('Estimates'!$A$5:$A$2004,$A38,'Estimates'!$B$5:$B$2004,"PPS",'Estimates'!$D$5:$D$2004,'Status'!$E$6,'Estimates'!$E$5:$E$2004,'Status'!$E$7)=0,"",IF(COUNTIFS('Estimates'!$A$5:$A$2004,$A38,'Estimates'!$B$5:$B$2004,"PPS",'Estimates'!$D$5:$D$2004,'Status'!$E$6,'Estimates'!$E$5:$E$2004,'Status'!$E$7)&gt;1,"DUP",SUMIFS('Estimates'!$F$5:$F$2004,'Estimates'!$A$5:$A$2004,$A38,'Estimates'!$B$5:$B$2004,"PPS",'Estimates'!$D$5:$D$2004,'Status'!$E$6,'Estimates'!$E$5:$E$2004,'Status'!$E$7))))</x:f>
      </x:c>
      <x:c r="K38" s="14" t="str">
        <x:f>IF(OR(COUNTA($A38)=0,'Status'!$F$6=""),"",IF(COUNTIFS('Estimates'!$A$5:$A$2004,$A38,'Estimates'!$B$5:$B$2004,"PPS",'Estimates'!$D$5:$D$2004,'Status'!$F$6,'Estimates'!$E$5:$E$2004,'Status'!$E$7)=0,"",IF(COUNTIFS('Estimates'!$A$5:$A$2004,$A38,'Estimates'!$B$5:$B$2004,"PPS",'Estimates'!$D$5:$D$2004,'Status'!$F$6,'Estimates'!$E$5:$E$2004,'Status'!$E$7)&gt;1,"DUP",SUMIFS('Estimates'!$F$5:$F$2004,'Estimates'!$A$5:$A$2004,$A38,'Estimates'!$B$5:$B$2004,"PPS",'Estimates'!$D$5:$D$2004,'Status'!$F$6,'Estimates'!$E$5:$E$2004,'Status'!$E$7))))</x:f>
      </x:c>
      <x:c r="L38" s="14" t="str">
        <x:f>IF(OR(COUNTA($A38)=0,'Status'!$G$6=""),"",IF(COUNTIFS('Estimates'!$A$5:$A$2004,$A38,'Estimates'!$B$5:$B$2004,"PPS",'Estimates'!$D$5:$D$2004,'Status'!$G$6,'Estimates'!$E$5:$E$2004,'Status'!$E$7)=0,"",IF(COUNTIFS('Estimates'!$A$5:$A$2004,$A38,'Estimates'!$B$5:$B$2004,"PPS",'Estimates'!$D$5:$D$2004,'Status'!$G$6,'Estimates'!$E$5:$E$2004,'Status'!$E$7)&gt;1,"DUP",SUMIFS('Estimates'!$F$5:$F$2004,'Estimates'!$A$5:$A$2004,$A38,'Estimates'!$B$5:$B$2004,"PPS",'Estimates'!$D$5:$D$2004,'Status'!$G$6,'Estimates'!$E$5:$E$2004,'Status'!$E$7))))</x:f>
      </x:c>
      <x:c r="M38" s="14" t="str">
        <x:f>IF(COUNT(J38:L38)&lt;2,"",_xlfn.STDEV.S(J38:L38))</x:f>
      </x:c>
      <x:c r="N38" s="14" t="str">
        <x:f>IF(AND(ISNUMBER(K38),ISNUMBER(L38)),ABS(L38-K38),"")</x:f>
      </x:c>
      <x:c r="O38" s="15" t="str">
        <x:f>IF(AND(ISNUMBER(K38),ISNUMBER(L38)),IF(K38=0,"n.a.",ABS(L38-K38)/ABS(K38)),"")</x:f>
      </x:c>
      <x:c r="P38" s="2" t="str">
        <x:f>IF(COUNTA(A38)=0,"",IF(NOT(ISNUMBER('Status'!$B$6)),"Set tolerance",IF(COUNT(J38:L38)&lt;3,"Need 3 levels",IF(OR(J38=0,K38=0),"Use abs. Δ",IF(AND(ABS(K38-J38)/ABS(J38)&lt;='Status'!$B$6,O38&lt;='Status'!$B$6),"Yes","No")))))</x:f>
      </x:c>
      <x:c r="Q38" s="14" t="str">
        <x:f>IF(AND(ISNUMBER(E38),ISNUMBER(L38)),ABS(E38-L38),"")</x:f>
      </x:c>
      <x:c r="R38" s="2" t="str">
        <x:f>IF(COUNTA(A38)=0,"",IF(COUNT(C38:E38,J38:L38)&gt;0,1,0))</x:f>
      </x:c>
      <x:c r="S38" s="2" t="str">
        <x:f>IF(COUNTA(A38)=0,"",IF(COUNTIFS($A$6:$A$165,A38)&gt;1,"Duplicate target",""))</x:f>
      </x:c>
    </x:row>
    <x:row r="39">
      <x:c r="A39" s="6"/>
      <x:c r="B39" s="20"/>
      <x:c r="C39" s="14" t="str">
        <x:f>IF(OR(COUNTA($A39)=0,'Status'!$E$5=""),"",IF(COUNTIFS('Estimates'!$A$5:$A$2004,$A39,'Estimates'!$B$5:$B$2004,"MPS",'Estimates'!$C$5:$C$2004,'Status'!$E$5)=0,"",IF(COUNTIFS('Estimates'!$A$5:$A$2004,$A39,'Estimates'!$B$5:$B$2004,"MPS",'Estimates'!$C$5:$C$2004,'Status'!$E$5)&gt;1,"DUP",SUMIFS('Estimates'!$F$5:$F$2004,'Estimates'!$A$5:$A$2004,$A39,'Estimates'!$B$5:$B$2004,"MPS",'Estimates'!$C$5:$C$2004,'Status'!$E$5))))</x:f>
      </x:c>
      <x:c r="D39" s="14" t="str">
        <x:f>IF(OR(COUNTA($A39)=0,'Status'!$F$5=""),"",IF(COUNTIFS('Estimates'!$A$5:$A$2004,$A39,'Estimates'!$B$5:$B$2004,"MPS",'Estimates'!$C$5:$C$2004,'Status'!$F$5)=0,"",IF(COUNTIFS('Estimates'!$A$5:$A$2004,$A39,'Estimates'!$B$5:$B$2004,"MPS",'Estimates'!$C$5:$C$2004,'Status'!$F$5)&gt;1,"DUP",SUMIFS('Estimates'!$F$5:$F$2004,'Estimates'!$A$5:$A$2004,$A39,'Estimates'!$B$5:$B$2004,"MPS",'Estimates'!$C$5:$C$2004,'Status'!$F$5))))</x:f>
      </x:c>
      <x:c r="E39" s="14" t="str">
        <x:f>IF(OR(COUNTA($A39)=0,'Status'!$G$5=""),"",IF(COUNTIFS('Estimates'!$A$5:$A$2004,$A39,'Estimates'!$B$5:$B$2004,"MPS",'Estimates'!$C$5:$C$2004,'Status'!$G$5)=0,"",IF(COUNTIFS('Estimates'!$A$5:$A$2004,$A39,'Estimates'!$B$5:$B$2004,"MPS",'Estimates'!$C$5:$C$2004,'Status'!$G$5)&gt;1,"DUP",SUMIFS('Estimates'!$F$5:$F$2004,'Estimates'!$A$5:$A$2004,$A39,'Estimates'!$B$5:$B$2004,"MPS",'Estimates'!$C$5:$C$2004,'Status'!$G$5))))</x:f>
      </x:c>
      <x:c r="F39" s="14" t="str">
        <x:f>IF(COUNT(C39:E39)&lt;2,"",_xlfn.STDEV.S(C39:E39))</x:f>
      </x:c>
      <x:c r="G39" s="14" t="str">
        <x:f>IF(AND(ISNUMBER(D39),ISNUMBER(E39)),ABS(E39-D39),"")</x:f>
      </x:c>
      <x:c r="H39" s="15" t="str">
        <x:f>IF(AND(ISNUMBER(D39),ISNUMBER(E39)),IF(D39=0,"n.a.",ABS(E39-D39)/ABS(D39)),"")</x:f>
      </x:c>
      <x:c r="I39" s="2" t="str">
        <x:f>IF(COUNTA(A39)=0,"",IF(NOT(ISNUMBER('Status'!$B$6)),"Set tolerance",IF(COUNT(C39:E39)&lt;3,"Need 3 levels",IF(OR(C39=0,D39=0),"Use abs. Δ",IF(AND(ABS(D39-C39)/ABS(C39)&lt;='Status'!$B$6,H39&lt;='Status'!$B$6),"Yes","No")))))</x:f>
      </x:c>
      <x:c r="J39" s="14" t="str">
        <x:f>IF(OR(COUNTA($A39)=0,'Status'!$E$6=""),"",IF(COUNTIFS('Estimates'!$A$5:$A$2004,$A39,'Estimates'!$B$5:$B$2004,"PPS",'Estimates'!$D$5:$D$2004,'Status'!$E$6,'Estimates'!$E$5:$E$2004,'Status'!$E$7)=0,"",IF(COUNTIFS('Estimates'!$A$5:$A$2004,$A39,'Estimates'!$B$5:$B$2004,"PPS",'Estimates'!$D$5:$D$2004,'Status'!$E$6,'Estimates'!$E$5:$E$2004,'Status'!$E$7)&gt;1,"DUP",SUMIFS('Estimates'!$F$5:$F$2004,'Estimates'!$A$5:$A$2004,$A39,'Estimates'!$B$5:$B$2004,"PPS",'Estimates'!$D$5:$D$2004,'Status'!$E$6,'Estimates'!$E$5:$E$2004,'Status'!$E$7))))</x:f>
      </x:c>
      <x:c r="K39" s="14" t="str">
        <x:f>IF(OR(COUNTA($A39)=0,'Status'!$F$6=""),"",IF(COUNTIFS('Estimates'!$A$5:$A$2004,$A39,'Estimates'!$B$5:$B$2004,"PPS",'Estimates'!$D$5:$D$2004,'Status'!$F$6,'Estimates'!$E$5:$E$2004,'Status'!$E$7)=0,"",IF(COUNTIFS('Estimates'!$A$5:$A$2004,$A39,'Estimates'!$B$5:$B$2004,"PPS",'Estimates'!$D$5:$D$2004,'Status'!$F$6,'Estimates'!$E$5:$E$2004,'Status'!$E$7)&gt;1,"DUP",SUMIFS('Estimates'!$F$5:$F$2004,'Estimates'!$A$5:$A$2004,$A39,'Estimates'!$B$5:$B$2004,"PPS",'Estimates'!$D$5:$D$2004,'Status'!$F$6,'Estimates'!$E$5:$E$2004,'Status'!$E$7))))</x:f>
      </x:c>
      <x:c r="L39" s="14" t="str">
        <x:f>IF(OR(COUNTA($A39)=0,'Status'!$G$6=""),"",IF(COUNTIFS('Estimates'!$A$5:$A$2004,$A39,'Estimates'!$B$5:$B$2004,"PPS",'Estimates'!$D$5:$D$2004,'Status'!$G$6,'Estimates'!$E$5:$E$2004,'Status'!$E$7)=0,"",IF(COUNTIFS('Estimates'!$A$5:$A$2004,$A39,'Estimates'!$B$5:$B$2004,"PPS",'Estimates'!$D$5:$D$2004,'Status'!$G$6,'Estimates'!$E$5:$E$2004,'Status'!$E$7)&gt;1,"DUP",SUMIFS('Estimates'!$F$5:$F$2004,'Estimates'!$A$5:$A$2004,$A39,'Estimates'!$B$5:$B$2004,"PPS",'Estimates'!$D$5:$D$2004,'Status'!$G$6,'Estimates'!$E$5:$E$2004,'Status'!$E$7))))</x:f>
      </x:c>
      <x:c r="M39" s="14" t="str">
        <x:f>IF(COUNT(J39:L39)&lt;2,"",_xlfn.STDEV.S(J39:L39))</x:f>
      </x:c>
      <x:c r="N39" s="14" t="str">
        <x:f>IF(AND(ISNUMBER(K39),ISNUMBER(L39)),ABS(L39-K39),"")</x:f>
      </x:c>
      <x:c r="O39" s="15" t="str">
        <x:f>IF(AND(ISNUMBER(K39),ISNUMBER(L39)),IF(K39=0,"n.a.",ABS(L39-K39)/ABS(K39)),"")</x:f>
      </x:c>
      <x:c r="P39" s="2" t="str">
        <x:f>IF(COUNTA(A39)=0,"",IF(NOT(ISNUMBER('Status'!$B$6)),"Set tolerance",IF(COUNT(J39:L39)&lt;3,"Need 3 levels",IF(OR(J39=0,K39=0),"Use abs. Δ",IF(AND(ABS(K39-J39)/ABS(J39)&lt;='Status'!$B$6,O39&lt;='Status'!$B$6),"Yes","No")))))</x:f>
      </x:c>
      <x:c r="Q39" s="14" t="str">
        <x:f>IF(AND(ISNUMBER(E39),ISNUMBER(L39)),ABS(E39-L39),"")</x:f>
      </x:c>
      <x:c r="R39" s="2" t="str">
        <x:f>IF(COUNTA(A39)=0,"",IF(COUNT(C39:E39,J39:L39)&gt;0,1,0))</x:f>
      </x:c>
      <x:c r="S39" s="2" t="str">
        <x:f>IF(COUNTA(A39)=0,"",IF(COUNTIFS($A$6:$A$165,A39)&gt;1,"Duplicate target",""))</x:f>
      </x:c>
    </x:row>
    <x:row r="40">
      <x:c r="A40" s="6"/>
      <x:c r="B40" s="20"/>
      <x:c r="C40" s="14" t="str">
        <x:f>IF(OR(COUNTA($A40)=0,'Status'!$E$5=""),"",IF(COUNTIFS('Estimates'!$A$5:$A$2004,$A40,'Estimates'!$B$5:$B$2004,"MPS",'Estimates'!$C$5:$C$2004,'Status'!$E$5)=0,"",IF(COUNTIFS('Estimates'!$A$5:$A$2004,$A40,'Estimates'!$B$5:$B$2004,"MPS",'Estimates'!$C$5:$C$2004,'Status'!$E$5)&gt;1,"DUP",SUMIFS('Estimates'!$F$5:$F$2004,'Estimates'!$A$5:$A$2004,$A40,'Estimates'!$B$5:$B$2004,"MPS",'Estimates'!$C$5:$C$2004,'Status'!$E$5))))</x:f>
      </x:c>
      <x:c r="D40" s="14" t="str">
        <x:f>IF(OR(COUNTA($A40)=0,'Status'!$F$5=""),"",IF(COUNTIFS('Estimates'!$A$5:$A$2004,$A40,'Estimates'!$B$5:$B$2004,"MPS",'Estimates'!$C$5:$C$2004,'Status'!$F$5)=0,"",IF(COUNTIFS('Estimates'!$A$5:$A$2004,$A40,'Estimates'!$B$5:$B$2004,"MPS",'Estimates'!$C$5:$C$2004,'Status'!$F$5)&gt;1,"DUP",SUMIFS('Estimates'!$F$5:$F$2004,'Estimates'!$A$5:$A$2004,$A40,'Estimates'!$B$5:$B$2004,"MPS",'Estimates'!$C$5:$C$2004,'Status'!$F$5))))</x:f>
      </x:c>
      <x:c r="E40" s="14" t="str">
        <x:f>IF(OR(COUNTA($A40)=0,'Status'!$G$5=""),"",IF(COUNTIFS('Estimates'!$A$5:$A$2004,$A40,'Estimates'!$B$5:$B$2004,"MPS",'Estimates'!$C$5:$C$2004,'Status'!$G$5)=0,"",IF(COUNTIFS('Estimates'!$A$5:$A$2004,$A40,'Estimates'!$B$5:$B$2004,"MPS",'Estimates'!$C$5:$C$2004,'Status'!$G$5)&gt;1,"DUP",SUMIFS('Estimates'!$F$5:$F$2004,'Estimates'!$A$5:$A$2004,$A40,'Estimates'!$B$5:$B$2004,"MPS",'Estimates'!$C$5:$C$2004,'Status'!$G$5))))</x:f>
      </x:c>
      <x:c r="F40" s="14" t="str">
        <x:f>IF(COUNT(C40:E40)&lt;2,"",_xlfn.STDEV.S(C40:E40))</x:f>
      </x:c>
      <x:c r="G40" s="14" t="str">
        <x:f>IF(AND(ISNUMBER(D40),ISNUMBER(E40)),ABS(E40-D40),"")</x:f>
      </x:c>
      <x:c r="H40" s="15" t="str">
        <x:f>IF(AND(ISNUMBER(D40),ISNUMBER(E40)),IF(D40=0,"n.a.",ABS(E40-D40)/ABS(D40)),"")</x:f>
      </x:c>
      <x:c r="I40" s="2" t="str">
        <x:f>IF(COUNTA(A40)=0,"",IF(NOT(ISNUMBER('Status'!$B$6)),"Set tolerance",IF(COUNT(C40:E40)&lt;3,"Need 3 levels",IF(OR(C40=0,D40=0),"Use abs. Δ",IF(AND(ABS(D40-C40)/ABS(C40)&lt;='Status'!$B$6,H40&lt;='Status'!$B$6),"Yes","No")))))</x:f>
      </x:c>
      <x:c r="J40" s="14" t="str">
        <x:f>IF(OR(COUNTA($A40)=0,'Status'!$E$6=""),"",IF(COUNTIFS('Estimates'!$A$5:$A$2004,$A40,'Estimates'!$B$5:$B$2004,"PPS",'Estimates'!$D$5:$D$2004,'Status'!$E$6,'Estimates'!$E$5:$E$2004,'Status'!$E$7)=0,"",IF(COUNTIFS('Estimates'!$A$5:$A$2004,$A40,'Estimates'!$B$5:$B$2004,"PPS",'Estimates'!$D$5:$D$2004,'Status'!$E$6,'Estimates'!$E$5:$E$2004,'Status'!$E$7)&gt;1,"DUP",SUMIFS('Estimates'!$F$5:$F$2004,'Estimates'!$A$5:$A$2004,$A40,'Estimates'!$B$5:$B$2004,"PPS",'Estimates'!$D$5:$D$2004,'Status'!$E$6,'Estimates'!$E$5:$E$2004,'Status'!$E$7))))</x:f>
      </x:c>
      <x:c r="K40" s="14" t="str">
        <x:f>IF(OR(COUNTA($A40)=0,'Status'!$F$6=""),"",IF(COUNTIFS('Estimates'!$A$5:$A$2004,$A40,'Estimates'!$B$5:$B$2004,"PPS",'Estimates'!$D$5:$D$2004,'Status'!$F$6,'Estimates'!$E$5:$E$2004,'Status'!$E$7)=0,"",IF(COUNTIFS('Estimates'!$A$5:$A$2004,$A40,'Estimates'!$B$5:$B$2004,"PPS",'Estimates'!$D$5:$D$2004,'Status'!$F$6,'Estimates'!$E$5:$E$2004,'Status'!$E$7)&gt;1,"DUP",SUMIFS('Estimates'!$F$5:$F$2004,'Estimates'!$A$5:$A$2004,$A40,'Estimates'!$B$5:$B$2004,"PPS",'Estimates'!$D$5:$D$2004,'Status'!$F$6,'Estimates'!$E$5:$E$2004,'Status'!$E$7))))</x:f>
      </x:c>
      <x:c r="L40" s="14" t="str">
        <x:f>IF(OR(COUNTA($A40)=0,'Status'!$G$6=""),"",IF(COUNTIFS('Estimates'!$A$5:$A$2004,$A40,'Estimates'!$B$5:$B$2004,"PPS",'Estimates'!$D$5:$D$2004,'Status'!$G$6,'Estimates'!$E$5:$E$2004,'Status'!$E$7)=0,"",IF(COUNTIFS('Estimates'!$A$5:$A$2004,$A40,'Estimates'!$B$5:$B$2004,"PPS",'Estimates'!$D$5:$D$2004,'Status'!$G$6,'Estimates'!$E$5:$E$2004,'Status'!$E$7)&gt;1,"DUP",SUMIFS('Estimates'!$F$5:$F$2004,'Estimates'!$A$5:$A$2004,$A40,'Estimates'!$B$5:$B$2004,"PPS",'Estimates'!$D$5:$D$2004,'Status'!$G$6,'Estimates'!$E$5:$E$2004,'Status'!$E$7))))</x:f>
      </x:c>
      <x:c r="M40" s="14" t="str">
        <x:f>IF(COUNT(J40:L40)&lt;2,"",_xlfn.STDEV.S(J40:L40))</x:f>
      </x:c>
      <x:c r="N40" s="14" t="str">
        <x:f>IF(AND(ISNUMBER(K40),ISNUMBER(L40)),ABS(L40-K40),"")</x:f>
      </x:c>
      <x:c r="O40" s="15" t="str">
        <x:f>IF(AND(ISNUMBER(K40),ISNUMBER(L40)),IF(K40=0,"n.a.",ABS(L40-K40)/ABS(K40)),"")</x:f>
      </x:c>
      <x:c r="P40" s="2" t="str">
        <x:f>IF(COUNTA(A40)=0,"",IF(NOT(ISNUMBER('Status'!$B$6)),"Set tolerance",IF(COUNT(J40:L40)&lt;3,"Need 3 levels",IF(OR(J40=0,K40=0),"Use abs. Δ",IF(AND(ABS(K40-J40)/ABS(J40)&lt;='Status'!$B$6,O40&lt;='Status'!$B$6),"Yes","No")))))</x:f>
      </x:c>
      <x:c r="Q40" s="14" t="str">
        <x:f>IF(AND(ISNUMBER(E40),ISNUMBER(L40)),ABS(E40-L40),"")</x:f>
      </x:c>
      <x:c r="R40" s="2" t="str">
        <x:f>IF(COUNTA(A40)=0,"",IF(COUNT(C40:E40,J40:L40)&gt;0,1,0))</x:f>
      </x:c>
      <x:c r="S40" s="2" t="str">
        <x:f>IF(COUNTA(A40)=0,"",IF(COUNTIFS($A$6:$A$165,A40)&gt;1,"Duplicate target",""))</x:f>
      </x:c>
    </x:row>
    <x:row r="41">
      <x:c r="A41" s="6"/>
      <x:c r="B41" s="20"/>
      <x:c r="C41" s="14" t="str">
        <x:f>IF(OR(COUNTA($A41)=0,'Status'!$E$5=""),"",IF(COUNTIFS('Estimates'!$A$5:$A$2004,$A41,'Estimates'!$B$5:$B$2004,"MPS",'Estimates'!$C$5:$C$2004,'Status'!$E$5)=0,"",IF(COUNTIFS('Estimates'!$A$5:$A$2004,$A41,'Estimates'!$B$5:$B$2004,"MPS",'Estimates'!$C$5:$C$2004,'Status'!$E$5)&gt;1,"DUP",SUMIFS('Estimates'!$F$5:$F$2004,'Estimates'!$A$5:$A$2004,$A41,'Estimates'!$B$5:$B$2004,"MPS",'Estimates'!$C$5:$C$2004,'Status'!$E$5))))</x:f>
      </x:c>
      <x:c r="D41" s="14" t="str">
        <x:f>IF(OR(COUNTA($A41)=0,'Status'!$F$5=""),"",IF(COUNTIFS('Estimates'!$A$5:$A$2004,$A41,'Estimates'!$B$5:$B$2004,"MPS",'Estimates'!$C$5:$C$2004,'Status'!$F$5)=0,"",IF(COUNTIFS('Estimates'!$A$5:$A$2004,$A41,'Estimates'!$B$5:$B$2004,"MPS",'Estimates'!$C$5:$C$2004,'Status'!$F$5)&gt;1,"DUP",SUMIFS('Estimates'!$F$5:$F$2004,'Estimates'!$A$5:$A$2004,$A41,'Estimates'!$B$5:$B$2004,"MPS",'Estimates'!$C$5:$C$2004,'Status'!$F$5))))</x:f>
      </x:c>
      <x:c r="E41" s="14" t="str">
        <x:f>IF(OR(COUNTA($A41)=0,'Status'!$G$5=""),"",IF(COUNTIFS('Estimates'!$A$5:$A$2004,$A41,'Estimates'!$B$5:$B$2004,"MPS",'Estimates'!$C$5:$C$2004,'Status'!$G$5)=0,"",IF(COUNTIFS('Estimates'!$A$5:$A$2004,$A41,'Estimates'!$B$5:$B$2004,"MPS",'Estimates'!$C$5:$C$2004,'Status'!$G$5)&gt;1,"DUP",SUMIFS('Estimates'!$F$5:$F$2004,'Estimates'!$A$5:$A$2004,$A41,'Estimates'!$B$5:$B$2004,"MPS",'Estimates'!$C$5:$C$2004,'Status'!$G$5))))</x:f>
      </x:c>
      <x:c r="F41" s="14" t="str">
        <x:f>IF(COUNT(C41:E41)&lt;2,"",_xlfn.STDEV.S(C41:E41))</x:f>
      </x:c>
      <x:c r="G41" s="14" t="str">
        <x:f>IF(AND(ISNUMBER(D41),ISNUMBER(E41)),ABS(E41-D41),"")</x:f>
      </x:c>
      <x:c r="H41" s="15" t="str">
        <x:f>IF(AND(ISNUMBER(D41),ISNUMBER(E41)),IF(D41=0,"n.a.",ABS(E41-D41)/ABS(D41)),"")</x:f>
      </x:c>
      <x:c r="I41" s="2" t="str">
        <x:f>IF(COUNTA(A41)=0,"",IF(NOT(ISNUMBER('Status'!$B$6)),"Set tolerance",IF(COUNT(C41:E41)&lt;3,"Need 3 levels",IF(OR(C41=0,D41=0),"Use abs. Δ",IF(AND(ABS(D41-C41)/ABS(C41)&lt;='Status'!$B$6,H41&lt;='Status'!$B$6),"Yes","No")))))</x:f>
      </x:c>
      <x:c r="J41" s="14" t="str">
        <x:f>IF(OR(COUNTA($A41)=0,'Status'!$E$6=""),"",IF(COUNTIFS('Estimates'!$A$5:$A$2004,$A41,'Estimates'!$B$5:$B$2004,"PPS",'Estimates'!$D$5:$D$2004,'Status'!$E$6,'Estimates'!$E$5:$E$2004,'Status'!$E$7)=0,"",IF(COUNTIFS('Estimates'!$A$5:$A$2004,$A41,'Estimates'!$B$5:$B$2004,"PPS",'Estimates'!$D$5:$D$2004,'Status'!$E$6,'Estimates'!$E$5:$E$2004,'Status'!$E$7)&gt;1,"DUP",SUMIFS('Estimates'!$F$5:$F$2004,'Estimates'!$A$5:$A$2004,$A41,'Estimates'!$B$5:$B$2004,"PPS",'Estimates'!$D$5:$D$2004,'Status'!$E$6,'Estimates'!$E$5:$E$2004,'Status'!$E$7))))</x:f>
      </x:c>
      <x:c r="K41" s="14" t="str">
        <x:f>IF(OR(COUNTA($A41)=0,'Status'!$F$6=""),"",IF(COUNTIFS('Estimates'!$A$5:$A$2004,$A41,'Estimates'!$B$5:$B$2004,"PPS",'Estimates'!$D$5:$D$2004,'Status'!$F$6,'Estimates'!$E$5:$E$2004,'Status'!$E$7)=0,"",IF(COUNTIFS('Estimates'!$A$5:$A$2004,$A41,'Estimates'!$B$5:$B$2004,"PPS",'Estimates'!$D$5:$D$2004,'Status'!$F$6,'Estimates'!$E$5:$E$2004,'Status'!$E$7)&gt;1,"DUP",SUMIFS('Estimates'!$F$5:$F$2004,'Estimates'!$A$5:$A$2004,$A41,'Estimates'!$B$5:$B$2004,"PPS",'Estimates'!$D$5:$D$2004,'Status'!$F$6,'Estimates'!$E$5:$E$2004,'Status'!$E$7))))</x:f>
      </x:c>
      <x:c r="L41" s="14" t="str">
        <x:f>IF(OR(COUNTA($A41)=0,'Status'!$G$6=""),"",IF(COUNTIFS('Estimates'!$A$5:$A$2004,$A41,'Estimates'!$B$5:$B$2004,"PPS",'Estimates'!$D$5:$D$2004,'Status'!$G$6,'Estimates'!$E$5:$E$2004,'Status'!$E$7)=0,"",IF(COUNTIFS('Estimates'!$A$5:$A$2004,$A41,'Estimates'!$B$5:$B$2004,"PPS",'Estimates'!$D$5:$D$2004,'Status'!$G$6,'Estimates'!$E$5:$E$2004,'Status'!$E$7)&gt;1,"DUP",SUMIFS('Estimates'!$F$5:$F$2004,'Estimates'!$A$5:$A$2004,$A41,'Estimates'!$B$5:$B$2004,"PPS",'Estimates'!$D$5:$D$2004,'Status'!$G$6,'Estimates'!$E$5:$E$2004,'Status'!$E$7))))</x:f>
      </x:c>
      <x:c r="M41" s="14" t="str">
        <x:f>IF(COUNT(J41:L41)&lt;2,"",_xlfn.STDEV.S(J41:L41))</x:f>
      </x:c>
      <x:c r="N41" s="14" t="str">
        <x:f>IF(AND(ISNUMBER(K41),ISNUMBER(L41)),ABS(L41-K41),"")</x:f>
      </x:c>
      <x:c r="O41" s="15" t="str">
        <x:f>IF(AND(ISNUMBER(K41),ISNUMBER(L41)),IF(K41=0,"n.a.",ABS(L41-K41)/ABS(K41)),"")</x:f>
      </x:c>
      <x:c r="P41" s="2" t="str">
        <x:f>IF(COUNTA(A41)=0,"",IF(NOT(ISNUMBER('Status'!$B$6)),"Set tolerance",IF(COUNT(J41:L41)&lt;3,"Need 3 levels",IF(OR(J41=0,K41=0),"Use abs. Δ",IF(AND(ABS(K41-J41)/ABS(J41)&lt;='Status'!$B$6,O41&lt;='Status'!$B$6),"Yes","No")))))</x:f>
      </x:c>
      <x:c r="Q41" s="14" t="str">
        <x:f>IF(AND(ISNUMBER(E41),ISNUMBER(L41)),ABS(E41-L41),"")</x:f>
      </x:c>
      <x:c r="R41" s="2" t="str">
        <x:f>IF(COUNTA(A41)=0,"",IF(COUNT(C41:E41,J41:L41)&gt;0,1,0))</x:f>
      </x:c>
      <x:c r="S41" s="2" t="str">
        <x:f>IF(COUNTA(A41)=0,"",IF(COUNTIFS($A$6:$A$165,A41)&gt;1,"Duplicate target",""))</x:f>
      </x:c>
    </x:row>
    <x:row r="42">
      <x:c r="A42" s="6"/>
      <x:c r="B42" s="20"/>
      <x:c r="C42" s="14" t="str">
        <x:f>IF(OR(COUNTA($A42)=0,'Status'!$E$5=""),"",IF(COUNTIFS('Estimates'!$A$5:$A$2004,$A42,'Estimates'!$B$5:$B$2004,"MPS",'Estimates'!$C$5:$C$2004,'Status'!$E$5)=0,"",IF(COUNTIFS('Estimates'!$A$5:$A$2004,$A42,'Estimates'!$B$5:$B$2004,"MPS",'Estimates'!$C$5:$C$2004,'Status'!$E$5)&gt;1,"DUP",SUMIFS('Estimates'!$F$5:$F$2004,'Estimates'!$A$5:$A$2004,$A42,'Estimates'!$B$5:$B$2004,"MPS",'Estimates'!$C$5:$C$2004,'Status'!$E$5))))</x:f>
      </x:c>
      <x:c r="D42" s="14" t="str">
        <x:f>IF(OR(COUNTA($A42)=0,'Status'!$F$5=""),"",IF(COUNTIFS('Estimates'!$A$5:$A$2004,$A42,'Estimates'!$B$5:$B$2004,"MPS",'Estimates'!$C$5:$C$2004,'Status'!$F$5)=0,"",IF(COUNTIFS('Estimates'!$A$5:$A$2004,$A42,'Estimates'!$B$5:$B$2004,"MPS",'Estimates'!$C$5:$C$2004,'Status'!$F$5)&gt;1,"DUP",SUMIFS('Estimates'!$F$5:$F$2004,'Estimates'!$A$5:$A$2004,$A42,'Estimates'!$B$5:$B$2004,"MPS",'Estimates'!$C$5:$C$2004,'Status'!$F$5))))</x:f>
      </x:c>
      <x:c r="E42" s="14" t="str">
        <x:f>IF(OR(COUNTA($A42)=0,'Status'!$G$5=""),"",IF(COUNTIFS('Estimates'!$A$5:$A$2004,$A42,'Estimates'!$B$5:$B$2004,"MPS",'Estimates'!$C$5:$C$2004,'Status'!$G$5)=0,"",IF(COUNTIFS('Estimates'!$A$5:$A$2004,$A42,'Estimates'!$B$5:$B$2004,"MPS",'Estimates'!$C$5:$C$2004,'Status'!$G$5)&gt;1,"DUP",SUMIFS('Estimates'!$F$5:$F$2004,'Estimates'!$A$5:$A$2004,$A42,'Estimates'!$B$5:$B$2004,"MPS",'Estimates'!$C$5:$C$2004,'Status'!$G$5))))</x:f>
      </x:c>
      <x:c r="F42" s="14" t="str">
        <x:f>IF(COUNT(C42:E42)&lt;2,"",_xlfn.STDEV.S(C42:E42))</x:f>
      </x:c>
      <x:c r="G42" s="14" t="str">
        <x:f>IF(AND(ISNUMBER(D42),ISNUMBER(E42)),ABS(E42-D42),"")</x:f>
      </x:c>
      <x:c r="H42" s="15" t="str">
        <x:f>IF(AND(ISNUMBER(D42),ISNUMBER(E42)),IF(D42=0,"n.a.",ABS(E42-D42)/ABS(D42)),"")</x:f>
      </x:c>
      <x:c r="I42" s="2" t="str">
        <x:f>IF(COUNTA(A42)=0,"",IF(NOT(ISNUMBER('Status'!$B$6)),"Set tolerance",IF(COUNT(C42:E42)&lt;3,"Need 3 levels",IF(OR(C42=0,D42=0),"Use abs. Δ",IF(AND(ABS(D42-C42)/ABS(C42)&lt;='Status'!$B$6,H42&lt;='Status'!$B$6),"Yes","No")))))</x:f>
      </x:c>
      <x:c r="J42" s="14" t="str">
        <x:f>IF(OR(COUNTA($A42)=0,'Status'!$E$6=""),"",IF(COUNTIFS('Estimates'!$A$5:$A$2004,$A42,'Estimates'!$B$5:$B$2004,"PPS",'Estimates'!$D$5:$D$2004,'Status'!$E$6,'Estimates'!$E$5:$E$2004,'Status'!$E$7)=0,"",IF(COUNTIFS('Estimates'!$A$5:$A$2004,$A42,'Estimates'!$B$5:$B$2004,"PPS",'Estimates'!$D$5:$D$2004,'Status'!$E$6,'Estimates'!$E$5:$E$2004,'Status'!$E$7)&gt;1,"DUP",SUMIFS('Estimates'!$F$5:$F$2004,'Estimates'!$A$5:$A$2004,$A42,'Estimates'!$B$5:$B$2004,"PPS",'Estimates'!$D$5:$D$2004,'Status'!$E$6,'Estimates'!$E$5:$E$2004,'Status'!$E$7))))</x:f>
      </x:c>
      <x:c r="K42" s="14" t="str">
        <x:f>IF(OR(COUNTA($A42)=0,'Status'!$F$6=""),"",IF(COUNTIFS('Estimates'!$A$5:$A$2004,$A42,'Estimates'!$B$5:$B$2004,"PPS",'Estimates'!$D$5:$D$2004,'Status'!$F$6,'Estimates'!$E$5:$E$2004,'Status'!$E$7)=0,"",IF(COUNTIFS('Estimates'!$A$5:$A$2004,$A42,'Estimates'!$B$5:$B$2004,"PPS",'Estimates'!$D$5:$D$2004,'Status'!$F$6,'Estimates'!$E$5:$E$2004,'Status'!$E$7)&gt;1,"DUP",SUMIFS('Estimates'!$F$5:$F$2004,'Estimates'!$A$5:$A$2004,$A42,'Estimates'!$B$5:$B$2004,"PPS",'Estimates'!$D$5:$D$2004,'Status'!$F$6,'Estimates'!$E$5:$E$2004,'Status'!$E$7))))</x:f>
      </x:c>
      <x:c r="L42" s="14" t="str">
        <x:f>IF(OR(COUNTA($A42)=0,'Status'!$G$6=""),"",IF(COUNTIFS('Estimates'!$A$5:$A$2004,$A42,'Estimates'!$B$5:$B$2004,"PPS",'Estimates'!$D$5:$D$2004,'Status'!$G$6,'Estimates'!$E$5:$E$2004,'Status'!$E$7)=0,"",IF(COUNTIFS('Estimates'!$A$5:$A$2004,$A42,'Estimates'!$B$5:$B$2004,"PPS",'Estimates'!$D$5:$D$2004,'Status'!$G$6,'Estimates'!$E$5:$E$2004,'Status'!$E$7)&gt;1,"DUP",SUMIFS('Estimates'!$F$5:$F$2004,'Estimates'!$A$5:$A$2004,$A42,'Estimates'!$B$5:$B$2004,"PPS",'Estimates'!$D$5:$D$2004,'Status'!$G$6,'Estimates'!$E$5:$E$2004,'Status'!$E$7))))</x:f>
      </x:c>
      <x:c r="M42" s="14" t="str">
        <x:f>IF(COUNT(J42:L42)&lt;2,"",_xlfn.STDEV.S(J42:L42))</x:f>
      </x:c>
      <x:c r="N42" s="14" t="str">
        <x:f>IF(AND(ISNUMBER(K42),ISNUMBER(L42)),ABS(L42-K42),"")</x:f>
      </x:c>
      <x:c r="O42" s="15" t="str">
        <x:f>IF(AND(ISNUMBER(K42),ISNUMBER(L42)),IF(K42=0,"n.a.",ABS(L42-K42)/ABS(K42)),"")</x:f>
      </x:c>
      <x:c r="P42" s="2" t="str">
        <x:f>IF(COUNTA(A42)=0,"",IF(NOT(ISNUMBER('Status'!$B$6)),"Set tolerance",IF(COUNT(J42:L42)&lt;3,"Need 3 levels",IF(OR(J42=0,K42=0),"Use abs. Δ",IF(AND(ABS(K42-J42)/ABS(J42)&lt;='Status'!$B$6,O42&lt;='Status'!$B$6),"Yes","No")))))</x:f>
      </x:c>
      <x:c r="Q42" s="14" t="str">
        <x:f>IF(AND(ISNUMBER(E42),ISNUMBER(L42)),ABS(E42-L42),"")</x:f>
      </x:c>
      <x:c r="R42" s="2" t="str">
        <x:f>IF(COUNTA(A42)=0,"",IF(COUNT(C42:E42,J42:L42)&gt;0,1,0))</x:f>
      </x:c>
      <x:c r="S42" s="2" t="str">
        <x:f>IF(COUNTA(A42)=0,"",IF(COUNTIFS($A$6:$A$165,A42)&gt;1,"Duplicate target",""))</x:f>
      </x:c>
    </x:row>
    <x:row r="43">
      <x:c r="A43" s="6"/>
      <x:c r="B43" s="20"/>
      <x:c r="C43" s="14" t="str">
        <x:f>IF(OR(COUNTA($A43)=0,'Status'!$E$5=""),"",IF(COUNTIFS('Estimates'!$A$5:$A$2004,$A43,'Estimates'!$B$5:$B$2004,"MPS",'Estimates'!$C$5:$C$2004,'Status'!$E$5)=0,"",IF(COUNTIFS('Estimates'!$A$5:$A$2004,$A43,'Estimates'!$B$5:$B$2004,"MPS",'Estimates'!$C$5:$C$2004,'Status'!$E$5)&gt;1,"DUP",SUMIFS('Estimates'!$F$5:$F$2004,'Estimates'!$A$5:$A$2004,$A43,'Estimates'!$B$5:$B$2004,"MPS",'Estimates'!$C$5:$C$2004,'Status'!$E$5))))</x:f>
      </x:c>
      <x:c r="D43" s="14" t="str">
        <x:f>IF(OR(COUNTA($A43)=0,'Status'!$F$5=""),"",IF(COUNTIFS('Estimates'!$A$5:$A$2004,$A43,'Estimates'!$B$5:$B$2004,"MPS",'Estimates'!$C$5:$C$2004,'Status'!$F$5)=0,"",IF(COUNTIFS('Estimates'!$A$5:$A$2004,$A43,'Estimates'!$B$5:$B$2004,"MPS",'Estimates'!$C$5:$C$2004,'Status'!$F$5)&gt;1,"DUP",SUMIFS('Estimates'!$F$5:$F$2004,'Estimates'!$A$5:$A$2004,$A43,'Estimates'!$B$5:$B$2004,"MPS",'Estimates'!$C$5:$C$2004,'Status'!$F$5))))</x:f>
      </x:c>
      <x:c r="E43" s="14" t="str">
        <x:f>IF(OR(COUNTA($A43)=0,'Status'!$G$5=""),"",IF(COUNTIFS('Estimates'!$A$5:$A$2004,$A43,'Estimates'!$B$5:$B$2004,"MPS",'Estimates'!$C$5:$C$2004,'Status'!$G$5)=0,"",IF(COUNTIFS('Estimates'!$A$5:$A$2004,$A43,'Estimates'!$B$5:$B$2004,"MPS",'Estimates'!$C$5:$C$2004,'Status'!$G$5)&gt;1,"DUP",SUMIFS('Estimates'!$F$5:$F$2004,'Estimates'!$A$5:$A$2004,$A43,'Estimates'!$B$5:$B$2004,"MPS",'Estimates'!$C$5:$C$2004,'Status'!$G$5))))</x:f>
      </x:c>
      <x:c r="F43" s="14" t="str">
        <x:f>IF(COUNT(C43:E43)&lt;2,"",_xlfn.STDEV.S(C43:E43))</x:f>
      </x:c>
      <x:c r="G43" s="14" t="str">
        <x:f>IF(AND(ISNUMBER(D43),ISNUMBER(E43)),ABS(E43-D43),"")</x:f>
      </x:c>
      <x:c r="H43" s="15" t="str">
        <x:f>IF(AND(ISNUMBER(D43),ISNUMBER(E43)),IF(D43=0,"n.a.",ABS(E43-D43)/ABS(D43)),"")</x:f>
      </x:c>
      <x:c r="I43" s="2" t="str">
        <x:f>IF(COUNTA(A43)=0,"",IF(NOT(ISNUMBER('Status'!$B$6)),"Set tolerance",IF(COUNT(C43:E43)&lt;3,"Need 3 levels",IF(OR(C43=0,D43=0),"Use abs. Δ",IF(AND(ABS(D43-C43)/ABS(C43)&lt;='Status'!$B$6,H43&lt;='Status'!$B$6),"Yes","No")))))</x:f>
      </x:c>
      <x:c r="J43" s="14" t="str">
        <x:f>IF(OR(COUNTA($A43)=0,'Status'!$E$6=""),"",IF(COUNTIFS('Estimates'!$A$5:$A$2004,$A43,'Estimates'!$B$5:$B$2004,"PPS",'Estimates'!$D$5:$D$2004,'Status'!$E$6,'Estimates'!$E$5:$E$2004,'Status'!$E$7)=0,"",IF(COUNTIFS('Estimates'!$A$5:$A$2004,$A43,'Estimates'!$B$5:$B$2004,"PPS",'Estimates'!$D$5:$D$2004,'Status'!$E$6,'Estimates'!$E$5:$E$2004,'Status'!$E$7)&gt;1,"DUP",SUMIFS('Estimates'!$F$5:$F$2004,'Estimates'!$A$5:$A$2004,$A43,'Estimates'!$B$5:$B$2004,"PPS",'Estimates'!$D$5:$D$2004,'Status'!$E$6,'Estimates'!$E$5:$E$2004,'Status'!$E$7))))</x:f>
      </x:c>
      <x:c r="K43" s="14" t="str">
        <x:f>IF(OR(COUNTA($A43)=0,'Status'!$F$6=""),"",IF(COUNTIFS('Estimates'!$A$5:$A$2004,$A43,'Estimates'!$B$5:$B$2004,"PPS",'Estimates'!$D$5:$D$2004,'Status'!$F$6,'Estimates'!$E$5:$E$2004,'Status'!$E$7)=0,"",IF(COUNTIFS('Estimates'!$A$5:$A$2004,$A43,'Estimates'!$B$5:$B$2004,"PPS",'Estimates'!$D$5:$D$2004,'Status'!$F$6,'Estimates'!$E$5:$E$2004,'Status'!$E$7)&gt;1,"DUP",SUMIFS('Estimates'!$F$5:$F$2004,'Estimates'!$A$5:$A$2004,$A43,'Estimates'!$B$5:$B$2004,"PPS",'Estimates'!$D$5:$D$2004,'Status'!$F$6,'Estimates'!$E$5:$E$2004,'Status'!$E$7))))</x:f>
      </x:c>
      <x:c r="L43" s="14" t="str">
        <x:f>IF(OR(COUNTA($A43)=0,'Status'!$G$6=""),"",IF(COUNTIFS('Estimates'!$A$5:$A$2004,$A43,'Estimates'!$B$5:$B$2004,"PPS",'Estimates'!$D$5:$D$2004,'Status'!$G$6,'Estimates'!$E$5:$E$2004,'Status'!$E$7)=0,"",IF(COUNTIFS('Estimates'!$A$5:$A$2004,$A43,'Estimates'!$B$5:$B$2004,"PPS",'Estimates'!$D$5:$D$2004,'Status'!$G$6,'Estimates'!$E$5:$E$2004,'Status'!$E$7)&gt;1,"DUP",SUMIFS('Estimates'!$F$5:$F$2004,'Estimates'!$A$5:$A$2004,$A43,'Estimates'!$B$5:$B$2004,"PPS",'Estimates'!$D$5:$D$2004,'Status'!$G$6,'Estimates'!$E$5:$E$2004,'Status'!$E$7))))</x:f>
      </x:c>
      <x:c r="M43" s="14" t="str">
        <x:f>IF(COUNT(J43:L43)&lt;2,"",_xlfn.STDEV.S(J43:L43))</x:f>
      </x:c>
      <x:c r="N43" s="14" t="str">
        <x:f>IF(AND(ISNUMBER(K43),ISNUMBER(L43)),ABS(L43-K43),"")</x:f>
      </x:c>
      <x:c r="O43" s="15" t="str">
        <x:f>IF(AND(ISNUMBER(K43),ISNUMBER(L43)),IF(K43=0,"n.a.",ABS(L43-K43)/ABS(K43)),"")</x:f>
      </x:c>
      <x:c r="P43" s="2" t="str">
        <x:f>IF(COUNTA(A43)=0,"",IF(NOT(ISNUMBER('Status'!$B$6)),"Set tolerance",IF(COUNT(J43:L43)&lt;3,"Need 3 levels",IF(OR(J43=0,K43=0),"Use abs. Δ",IF(AND(ABS(K43-J43)/ABS(J43)&lt;='Status'!$B$6,O43&lt;='Status'!$B$6),"Yes","No")))))</x:f>
      </x:c>
      <x:c r="Q43" s="14" t="str">
        <x:f>IF(AND(ISNUMBER(E43),ISNUMBER(L43)),ABS(E43-L43),"")</x:f>
      </x:c>
      <x:c r="R43" s="2" t="str">
        <x:f>IF(COUNTA(A43)=0,"",IF(COUNT(C43:E43,J43:L43)&gt;0,1,0))</x:f>
      </x:c>
      <x:c r="S43" s="2" t="str">
        <x:f>IF(COUNTA(A43)=0,"",IF(COUNTIFS($A$6:$A$165,A43)&gt;1,"Duplicate target",""))</x:f>
      </x:c>
    </x:row>
    <x:row r="44">
      <x:c r="A44" s="6"/>
      <x:c r="B44" s="20"/>
      <x:c r="C44" s="14" t="str">
        <x:f>IF(OR(COUNTA($A44)=0,'Status'!$E$5=""),"",IF(COUNTIFS('Estimates'!$A$5:$A$2004,$A44,'Estimates'!$B$5:$B$2004,"MPS",'Estimates'!$C$5:$C$2004,'Status'!$E$5)=0,"",IF(COUNTIFS('Estimates'!$A$5:$A$2004,$A44,'Estimates'!$B$5:$B$2004,"MPS",'Estimates'!$C$5:$C$2004,'Status'!$E$5)&gt;1,"DUP",SUMIFS('Estimates'!$F$5:$F$2004,'Estimates'!$A$5:$A$2004,$A44,'Estimates'!$B$5:$B$2004,"MPS",'Estimates'!$C$5:$C$2004,'Status'!$E$5))))</x:f>
      </x:c>
      <x:c r="D44" s="14" t="str">
        <x:f>IF(OR(COUNTA($A44)=0,'Status'!$F$5=""),"",IF(COUNTIFS('Estimates'!$A$5:$A$2004,$A44,'Estimates'!$B$5:$B$2004,"MPS",'Estimates'!$C$5:$C$2004,'Status'!$F$5)=0,"",IF(COUNTIFS('Estimates'!$A$5:$A$2004,$A44,'Estimates'!$B$5:$B$2004,"MPS",'Estimates'!$C$5:$C$2004,'Status'!$F$5)&gt;1,"DUP",SUMIFS('Estimates'!$F$5:$F$2004,'Estimates'!$A$5:$A$2004,$A44,'Estimates'!$B$5:$B$2004,"MPS",'Estimates'!$C$5:$C$2004,'Status'!$F$5))))</x:f>
      </x:c>
      <x:c r="E44" s="14" t="str">
        <x:f>IF(OR(COUNTA($A44)=0,'Status'!$G$5=""),"",IF(COUNTIFS('Estimates'!$A$5:$A$2004,$A44,'Estimates'!$B$5:$B$2004,"MPS",'Estimates'!$C$5:$C$2004,'Status'!$G$5)=0,"",IF(COUNTIFS('Estimates'!$A$5:$A$2004,$A44,'Estimates'!$B$5:$B$2004,"MPS",'Estimates'!$C$5:$C$2004,'Status'!$G$5)&gt;1,"DUP",SUMIFS('Estimates'!$F$5:$F$2004,'Estimates'!$A$5:$A$2004,$A44,'Estimates'!$B$5:$B$2004,"MPS",'Estimates'!$C$5:$C$2004,'Status'!$G$5))))</x:f>
      </x:c>
      <x:c r="F44" s="14" t="str">
        <x:f>IF(COUNT(C44:E44)&lt;2,"",_xlfn.STDEV.S(C44:E44))</x:f>
      </x:c>
      <x:c r="G44" s="14" t="str">
        <x:f>IF(AND(ISNUMBER(D44),ISNUMBER(E44)),ABS(E44-D44),"")</x:f>
      </x:c>
      <x:c r="H44" s="15" t="str">
        <x:f>IF(AND(ISNUMBER(D44),ISNUMBER(E44)),IF(D44=0,"n.a.",ABS(E44-D44)/ABS(D44)),"")</x:f>
      </x:c>
      <x:c r="I44" s="2" t="str">
        <x:f>IF(COUNTA(A44)=0,"",IF(NOT(ISNUMBER('Status'!$B$6)),"Set tolerance",IF(COUNT(C44:E44)&lt;3,"Need 3 levels",IF(OR(C44=0,D44=0),"Use abs. Δ",IF(AND(ABS(D44-C44)/ABS(C44)&lt;='Status'!$B$6,H44&lt;='Status'!$B$6),"Yes","No")))))</x:f>
      </x:c>
      <x:c r="J44" s="14" t="str">
        <x:f>IF(OR(COUNTA($A44)=0,'Status'!$E$6=""),"",IF(COUNTIFS('Estimates'!$A$5:$A$2004,$A44,'Estimates'!$B$5:$B$2004,"PPS",'Estimates'!$D$5:$D$2004,'Status'!$E$6,'Estimates'!$E$5:$E$2004,'Status'!$E$7)=0,"",IF(COUNTIFS('Estimates'!$A$5:$A$2004,$A44,'Estimates'!$B$5:$B$2004,"PPS",'Estimates'!$D$5:$D$2004,'Status'!$E$6,'Estimates'!$E$5:$E$2004,'Status'!$E$7)&gt;1,"DUP",SUMIFS('Estimates'!$F$5:$F$2004,'Estimates'!$A$5:$A$2004,$A44,'Estimates'!$B$5:$B$2004,"PPS",'Estimates'!$D$5:$D$2004,'Status'!$E$6,'Estimates'!$E$5:$E$2004,'Status'!$E$7))))</x:f>
      </x:c>
      <x:c r="K44" s="14" t="str">
        <x:f>IF(OR(COUNTA($A44)=0,'Status'!$F$6=""),"",IF(COUNTIFS('Estimates'!$A$5:$A$2004,$A44,'Estimates'!$B$5:$B$2004,"PPS",'Estimates'!$D$5:$D$2004,'Status'!$F$6,'Estimates'!$E$5:$E$2004,'Status'!$E$7)=0,"",IF(COUNTIFS('Estimates'!$A$5:$A$2004,$A44,'Estimates'!$B$5:$B$2004,"PPS",'Estimates'!$D$5:$D$2004,'Status'!$F$6,'Estimates'!$E$5:$E$2004,'Status'!$E$7)&gt;1,"DUP",SUMIFS('Estimates'!$F$5:$F$2004,'Estimates'!$A$5:$A$2004,$A44,'Estimates'!$B$5:$B$2004,"PPS",'Estimates'!$D$5:$D$2004,'Status'!$F$6,'Estimates'!$E$5:$E$2004,'Status'!$E$7))))</x:f>
      </x:c>
      <x:c r="L44" s="14" t="str">
        <x:f>IF(OR(COUNTA($A44)=0,'Status'!$G$6=""),"",IF(COUNTIFS('Estimates'!$A$5:$A$2004,$A44,'Estimates'!$B$5:$B$2004,"PPS",'Estimates'!$D$5:$D$2004,'Status'!$G$6,'Estimates'!$E$5:$E$2004,'Status'!$E$7)=0,"",IF(COUNTIFS('Estimates'!$A$5:$A$2004,$A44,'Estimates'!$B$5:$B$2004,"PPS",'Estimates'!$D$5:$D$2004,'Status'!$G$6,'Estimates'!$E$5:$E$2004,'Status'!$E$7)&gt;1,"DUP",SUMIFS('Estimates'!$F$5:$F$2004,'Estimates'!$A$5:$A$2004,$A44,'Estimates'!$B$5:$B$2004,"PPS",'Estimates'!$D$5:$D$2004,'Status'!$G$6,'Estimates'!$E$5:$E$2004,'Status'!$E$7))))</x:f>
      </x:c>
      <x:c r="M44" s="14" t="str">
        <x:f>IF(COUNT(J44:L44)&lt;2,"",_xlfn.STDEV.S(J44:L44))</x:f>
      </x:c>
      <x:c r="N44" s="14" t="str">
        <x:f>IF(AND(ISNUMBER(K44),ISNUMBER(L44)),ABS(L44-K44),"")</x:f>
      </x:c>
      <x:c r="O44" s="15" t="str">
        <x:f>IF(AND(ISNUMBER(K44),ISNUMBER(L44)),IF(K44=0,"n.a.",ABS(L44-K44)/ABS(K44)),"")</x:f>
      </x:c>
      <x:c r="P44" s="2" t="str">
        <x:f>IF(COUNTA(A44)=0,"",IF(NOT(ISNUMBER('Status'!$B$6)),"Set tolerance",IF(COUNT(J44:L44)&lt;3,"Need 3 levels",IF(OR(J44=0,K44=0),"Use abs. Δ",IF(AND(ABS(K44-J44)/ABS(J44)&lt;='Status'!$B$6,O44&lt;='Status'!$B$6),"Yes","No")))))</x:f>
      </x:c>
      <x:c r="Q44" s="14" t="str">
        <x:f>IF(AND(ISNUMBER(E44),ISNUMBER(L44)),ABS(E44-L44),"")</x:f>
      </x:c>
      <x:c r="R44" s="2" t="str">
        <x:f>IF(COUNTA(A44)=0,"",IF(COUNT(C44:E44,J44:L44)&gt;0,1,0))</x:f>
      </x:c>
      <x:c r="S44" s="2" t="str">
        <x:f>IF(COUNTA(A44)=0,"",IF(COUNTIFS($A$6:$A$165,A44)&gt;1,"Duplicate target",""))</x:f>
      </x:c>
    </x:row>
    <x:row r="45">
      <x:c r="A45" s="6"/>
      <x:c r="B45" s="20"/>
      <x:c r="C45" s="14" t="str">
        <x:f>IF(OR(COUNTA($A45)=0,'Status'!$E$5=""),"",IF(COUNTIFS('Estimates'!$A$5:$A$2004,$A45,'Estimates'!$B$5:$B$2004,"MPS",'Estimates'!$C$5:$C$2004,'Status'!$E$5)=0,"",IF(COUNTIFS('Estimates'!$A$5:$A$2004,$A45,'Estimates'!$B$5:$B$2004,"MPS",'Estimates'!$C$5:$C$2004,'Status'!$E$5)&gt;1,"DUP",SUMIFS('Estimates'!$F$5:$F$2004,'Estimates'!$A$5:$A$2004,$A45,'Estimates'!$B$5:$B$2004,"MPS",'Estimates'!$C$5:$C$2004,'Status'!$E$5))))</x:f>
      </x:c>
      <x:c r="D45" s="14" t="str">
        <x:f>IF(OR(COUNTA($A45)=0,'Status'!$F$5=""),"",IF(COUNTIFS('Estimates'!$A$5:$A$2004,$A45,'Estimates'!$B$5:$B$2004,"MPS",'Estimates'!$C$5:$C$2004,'Status'!$F$5)=0,"",IF(COUNTIFS('Estimates'!$A$5:$A$2004,$A45,'Estimates'!$B$5:$B$2004,"MPS",'Estimates'!$C$5:$C$2004,'Status'!$F$5)&gt;1,"DUP",SUMIFS('Estimates'!$F$5:$F$2004,'Estimates'!$A$5:$A$2004,$A45,'Estimates'!$B$5:$B$2004,"MPS",'Estimates'!$C$5:$C$2004,'Status'!$F$5))))</x:f>
      </x:c>
      <x:c r="E45" s="14" t="str">
        <x:f>IF(OR(COUNTA($A45)=0,'Status'!$G$5=""),"",IF(COUNTIFS('Estimates'!$A$5:$A$2004,$A45,'Estimates'!$B$5:$B$2004,"MPS",'Estimates'!$C$5:$C$2004,'Status'!$G$5)=0,"",IF(COUNTIFS('Estimates'!$A$5:$A$2004,$A45,'Estimates'!$B$5:$B$2004,"MPS",'Estimates'!$C$5:$C$2004,'Status'!$G$5)&gt;1,"DUP",SUMIFS('Estimates'!$F$5:$F$2004,'Estimates'!$A$5:$A$2004,$A45,'Estimates'!$B$5:$B$2004,"MPS",'Estimates'!$C$5:$C$2004,'Status'!$G$5))))</x:f>
      </x:c>
      <x:c r="F45" s="14" t="str">
        <x:f>IF(COUNT(C45:E45)&lt;2,"",_xlfn.STDEV.S(C45:E45))</x:f>
      </x:c>
      <x:c r="G45" s="14" t="str">
        <x:f>IF(AND(ISNUMBER(D45),ISNUMBER(E45)),ABS(E45-D45),"")</x:f>
      </x:c>
      <x:c r="H45" s="15" t="str">
        <x:f>IF(AND(ISNUMBER(D45),ISNUMBER(E45)),IF(D45=0,"n.a.",ABS(E45-D45)/ABS(D45)),"")</x:f>
      </x:c>
      <x:c r="I45" s="2" t="str">
        <x:f>IF(COUNTA(A45)=0,"",IF(NOT(ISNUMBER('Status'!$B$6)),"Set tolerance",IF(COUNT(C45:E45)&lt;3,"Need 3 levels",IF(OR(C45=0,D45=0),"Use abs. Δ",IF(AND(ABS(D45-C45)/ABS(C45)&lt;='Status'!$B$6,H45&lt;='Status'!$B$6),"Yes","No")))))</x:f>
      </x:c>
      <x:c r="J45" s="14" t="str">
        <x:f>IF(OR(COUNTA($A45)=0,'Status'!$E$6=""),"",IF(COUNTIFS('Estimates'!$A$5:$A$2004,$A45,'Estimates'!$B$5:$B$2004,"PPS",'Estimates'!$D$5:$D$2004,'Status'!$E$6,'Estimates'!$E$5:$E$2004,'Status'!$E$7)=0,"",IF(COUNTIFS('Estimates'!$A$5:$A$2004,$A45,'Estimates'!$B$5:$B$2004,"PPS",'Estimates'!$D$5:$D$2004,'Status'!$E$6,'Estimates'!$E$5:$E$2004,'Status'!$E$7)&gt;1,"DUP",SUMIFS('Estimates'!$F$5:$F$2004,'Estimates'!$A$5:$A$2004,$A45,'Estimates'!$B$5:$B$2004,"PPS",'Estimates'!$D$5:$D$2004,'Status'!$E$6,'Estimates'!$E$5:$E$2004,'Status'!$E$7))))</x:f>
      </x:c>
      <x:c r="K45" s="14" t="str">
        <x:f>IF(OR(COUNTA($A45)=0,'Status'!$F$6=""),"",IF(COUNTIFS('Estimates'!$A$5:$A$2004,$A45,'Estimates'!$B$5:$B$2004,"PPS",'Estimates'!$D$5:$D$2004,'Status'!$F$6,'Estimates'!$E$5:$E$2004,'Status'!$E$7)=0,"",IF(COUNTIFS('Estimates'!$A$5:$A$2004,$A45,'Estimates'!$B$5:$B$2004,"PPS",'Estimates'!$D$5:$D$2004,'Status'!$F$6,'Estimates'!$E$5:$E$2004,'Status'!$E$7)&gt;1,"DUP",SUMIFS('Estimates'!$F$5:$F$2004,'Estimates'!$A$5:$A$2004,$A45,'Estimates'!$B$5:$B$2004,"PPS",'Estimates'!$D$5:$D$2004,'Status'!$F$6,'Estimates'!$E$5:$E$2004,'Status'!$E$7))))</x:f>
      </x:c>
      <x:c r="L45" s="14" t="str">
        <x:f>IF(OR(COUNTA($A45)=0,'Status'!$G$6=""),"",IF(COUNTIFS('Estimates'!$A$5:$A$2004,$A45,'Estimates'!$B$5:$B$2004,"PPS",'Estimates'!$D$5:$D$2004,'Status'!$G$6,'Estimates'!$E$5:$E$2004,'Status'!$E$7)=0,"",IF(COUNTIFS('Estimates'!$A$5:$A$2004,$A45,'Estimates'!$B$5:$B$2004,"PPS",'Estimates'!$D$5:$D$2004,'Status'!$G$6,'Estimates'!$E$5:$E$2004,'Status'!$E$7)&gt;1,"DUP",SUMIFS('Estimates'!$F$5:$F$2004,'Estimates'!$A$5:$A$2004,$A45,'Estimates'!$B$5:$B$2004,"PPS",'Estimates'!$D$5:$D$2004,'Status'!$G$6,'Estimates'!$E$5:$E$2004,'Status'!$E$7))))</x:f>
      </x:c>
      <x:c r="M45" s="14" t="str">
        <x:f>IF(COUNT(J45:L45)&lt;2,"",_xlfn.STDEV.S(J45:L45))</x:f>
      </x:c>
      <x:c r="N45" s="14" t="str">
        <x:f>IF(AND(ISNUMBER(K45),ISNUMBER(L45)),ABS(L45-K45),"")</x:f>
      </x:c>
      <x:c r="O45" s="15" t="str">
        <x:f>IF(AND(ISNUMBER(K45),ISNUMBER(L45)),IF(K45=0,"n.a.",ABS(L45-K45)/ABS(K45)),"")</x:f>
      </x:c>
      <x:c r="P45" s="2" t="str">
        <x:f>IF(COUNTA(A45)=0,"",IF(NOT(ISNUMBER('Status'!$B$6)),"Set tolerance",IF(COUNT(J45:L45)&lt;3,"Need 3 levels",IF(OR(J45=0,K45=0),"Use abs. Δ",IF(AND(ABS(K45-J45)/ABS(J45)&lt;='Status'!$B$6,O45&lt;='Status'!$B$6),"Yes","No")))))</x:f>
      </x:c>
      <x:c r="Q45" s="14" t="str">
        <x:f>IF(AND(ISNUMBER(E45),ISNUMBER(L45)),ABS(E45-L45),"")</x:f>
      </x:c>
      <x:c r="R45" s="2" t="str">
        <x:f>IF(COUNTA(A45)=0,"",IF(COUNT(C45:E45,J45:L45)&gt;0,1,0))</x:f>
      </x:c>
      <x:c r="S45" s="2" t="str">
        <x:f>IF(COUNTA(A45)=0,"",IF(COUNTIFS($A$6:$A$165,A45)&gt;1,"Duplicate target",""))</x:f>
      </x:c>
    </x:row>
    <x:row r="46">
      <x:c r="A46" s="6"/>
      <x:c r="B46" s="20"/>
      <x:c r="C46" s="14" t="str">
        <x:f>IF(OR(COUNTA($A46)=0,'Status'!$E$5=""),"",IF(COUNTIFS('Estimates'!$A$5:$A$2004,$A46,'Estimates'!$B$5:$B$2004,"MPS",'Estimates'!$C$5:$C$2004,'Status'!$E$5)=0,"",IF(COUNTIFS('Estimates'!$A$5:$A$2004,$A46,'Estimates'!$B$5:$B$2004,"MPS",'Estimates'!$C$5:$C$2004,'Status'!$E$5)&gt;1,"DUP",SUMIFS('Estimates'!$F$5:$F$2004,'Estimates'!$A$5:$A$2004,$A46,'Estimates'!$B$5:$B$2004,"MPS",'Estimates'!$C$5:$C$2004,'Status'!$E$5))))</x:f>
      </x:c>
      <x:c r="D46" s="14" t="str">
        <x:f>IF(OR(COUNTA($A46)=0,'Status'!$F$5=""),"",IF(COUNTIFS('Estimates'!$A$5:$A$2004,$A46,'Estimates'!$B$5:$B$2004,"MPS",'Estimates'!$C$5:$C$2004,'Status'!$F$5)=0,"",IF(COUNTIFS('Estimates'!$A$5:$A$2004,$A46,'Estimates'!$B$5:$B$2004,"MPS",'Estimates'!$C$5:$C$2004,'Status'!$F$5)&gt;1,"DUP",SUMIFS('Estimates'!$F$5:$F$2004,'Estimates'!$A$5:$A$2004,$A46,'Estimates'!$B$5:$B$2004,"MPS",'Estimates'!$C$5:$C$2004,'Status'!$F$5))))</x:f>
      </x:c>
      <x:c r="E46" s="14" t="str">
        <x:f>IF(OR(COUNTA($A46)=0,'Status'!$G$5=""),"",IF(COUNTIFS('Estimates'!$A$5:$A$2004,$A46,'Estimates'!$B$5:$B$2004,"MPS",'Estimates'!$C$5:$C$2004,'Status'!$G$5)=0,"",IF(COUNTIFS('Estimates'!$A$5:$A$2004,$A46,'Estimates'!$B$5:$B$2004,"MPS",'Estimates'!$C$5:$C$2004,'Status'!$G$5)&gt;1,"DUP",SUMIFS('Estimates'!$F$5:$F$2004,'Estimates'!$A$5:$A$2004,$A46,'Estimates'!$B$5:$B$2004,"MPS",'Estimates'!$C$5:$C$2004,'Status'!$G$5))))</x:f>
      </x:c>
      <x:c r="F46" s="14" t="str">
        <x:f>IF(COUNT(C46:E46)&lt;2,"",_xlfn.STDEV.S(C46:E46))</x:f>
      </x:c>
      <x:c r="G46" s="14" t="str">
        <x:f>IF(AND(ISNUMBER(D46),ISNUMBER(E46)),ABS(E46-D46),"")</x:f>
      </x:c>
      <x:c r="H46" s="15" t="str">
        <x:f>IF(AND(ISNUMBER(D46),ISNUMBER(E46)),IF(D46=0,"n.a.",ABS(E46-D46)/ABS(D46)),"")</x:f>
      </x:c>
      <x:c r="I46" s="2" t="str">
        <x:f>IF(COUNTA(A46)=0,"",IF(NOT(ISNUMBER('Status'!$B$6)),"Set tolerance",IF(COUNT(C46:E46)&lt;3,"Need 3 levels",IF(OR(C46=0,D46=0),"Use abs. Δ",IF(AND(ABS(D46-C46)/ABS(C46)&lt;='Status'!$B$6,H46&lt;='Status'!$B$6),"Yes","No")))))</x:f>
      </x:c>
      <x:c r="J46" s="14" t="str">
        <x:f>IF(OR(COUNTA($A46)=0,'Status'!$E$6=""),"",IF(COUNTIFS('Estimates'!$A$5:$A$2004,$A46,'Estimates'!$B$5:$B$2004,"PPS",'Estimates'!$D$5:$D$2004,'Status'!$E$6,'Estimates'!$E$5:$E$2004,'Status'!$E$7)=0,"",IF(COUNTIFS('Estimates'!$A$5:$A$2004,$A46,'Estimates'!$B$5:$B$2004,"PPS",'Estimates'!$D$5:$D$2004,'Status'!$E$6,'Estimates'!$E$5:$E$2004,'Status'!$E$7)&gt;1,"DUP",SUMIFS('Estimates'!$F$5:$F$2004,'Estimates'!$A$5:$A$2004,$A46,'Estimates'!$B$5:$B$2004,"PPS",'Estimates'!$D$5:$D$2004,'Status'!$E$6,'Estimates'!$E$5:$E$2004,'Status'!$E$7))))</x:f>
      </x:c>
      <x:c r="K46" s="14" t="str">
        <x:f>IF(OR(COUNTA($A46)=0,'Status'!$F$6=""),"",IF(COUNTIFS('Estimates'!$A$5:$A$2004,$A46,'Estimates'!$B$5:$B$2004,"PPS",'Estimates'!$D$5:$D$2004,'Status'!$F$6,'Estimates'!$E$5:$E$2004,'Status'!$E$7)=0,"",IF(COUNTIFS('Estimates'!$A$5:$A$2004,$A46,'Estimates'!$B$5:$B$2004,"PPS",'Estimates'!$D$5:$D$2004,'Status'!$F$6,'Estimates'!$E$5:$E$2004,'Status'!$E$7)&gt;1,"DUP",SUMIFS('Estimates'!$F$5:$F$2004,'Estimates'!$A$5:$A$2004,$A46,'Estimates'!$B$5:$B$2004,"PPS",'Estimates'!$D$5:$D$2004,'Status'!$F$6,'Estimates'!$E$5:$E$2004,'Status'!$E$7))))</x:f>
      </x:c>
      <x:c r="L46" s="14" t="str">
        <x:f>IF(OR(COUNTA($A46)=0,'Status'!$G$6=""),"",IF(COUNTIFS('Estimates'!$A$5:$A$2004,$A46,'Estimates'!$B$5:$B$2004,"PPS",'Estimates'!$D$5:$D$2004,'Status'!$G$6,'Estimates'!$E$5:$E$2004,'Status'!$E$7)=0,"",IF(COUNTIFS('Estimates'!$A$5:$A$2004,$A46,'Estimates'!$B$5:$B$2004,"PPS",'Estimates'!$D$5:$D$2004,'Status'!$G$6,'Estimates'!$E$5:$E$2004,'Status'!$E$7)&gt;1,"DUP",SUMIFS('Estimates'!$F$5:$F$2004,'Estimates'!$A$5:$A$2004,$A46,'Estimates'!$B$5:$B$2004,"PPS",'Estimates'!$D$5:$D$2004,'Status'!$G$6,'Estimates'!$E$5:$E$2004,'Status'!$E$7))))</x:f>
      </x:c>
      <x:c r="M46" s="14" t="str">
        <x:f>IF(COUNT(J46:L46)&lt;2,"",_xlfn.STDEV.S(J46:L46))</x:f>
      </x:c>
      <x:c r="N46" s="14" t="str">
        <x:f>IF(AND(ISNUMBER(K46),ISNUMBER(L46)),ABS(L46-K46),"")</x:f>
      </x:c>
      <x:c r="O46" s="15" t="str">
        <x:f>IF(AND(ISNUMBER(K46),ISNUMBER(L46)),IF(K46=0,"n.a.",ABS(L46-K46)/ABS(K46)),"")</x:f>
      </x:c>
      <x:c r="P46" s="2" t="str">
        <x:f>IF(COUNTA(A46)=0,"",IF(NOT(ISNUMBER('Status'!$B$6)),"Set tolerance",IF(COUNT(J46:L46)&lt;3,"Need 3 levels",IF(OR(J46=0,K46=0),"Use abs. Δ",IF(AND(ABS(K46-J46)/ABS(J46)&lt;='Status'!$B$6,O46&lt;='Status'!$B$6),"Yes","No")))))</x:f>
      </x:c>
      <x:c r="Q46" s="14" t="str">
        <x:f>IF(AND(ISNUMBER(E46),ISNUMBER(L46)),ABS(E46-L46),"")</x:f>
      </x:c>
      <x:c r="R46" s="2" t="str">
        <x:f>IF(COUNTA(A46)=0,"",IF(COUNT(C46:E46,J46:L46)&gt;0,1,0))</x:f>
      </x:c>
      <x:c r="S46" s="2" t="str">
        <x:f>IF(COUNTA(A46)=0,"",IF(COUNTIFS($A$6:$A$165,A46)&gt;1,"Duplicate target",""))</x:f>
      </x:c>
    </x:row>
    <x:row r="47">
      <x:c r="A47" s="6"/>
      <x:c r="B47" s="20"/>
      <x:c r="C47" s="14" t="str">
        <x:f>IF(OR(COUNTA($A47)=0,'Status'!$E$5=""),"",IF(COUNTIFS('Estimates'!$A$5:$A$2004,$A47,'Estimates'!$B$5:$B$2004,"MPS",'Estimates'!$C$5:$C$2004,'Status'!$E$5)=0,"",IF(COUNTIFS('Estimates'!$A$5:$A$2004,$A47,'Estimates'!$B$5:$B$2004,"MPS",'Estimates'!$C$5:$C$2004,'Status'!$E$5)&gt;1,"DUP",SUMIFS('Estimates'!$F$5:$F$2004,'Estimates'!$A$5:$A$2004,$A47,'Estimates'!$B$5:$B$2004,"MPS",'Estimates'!$C$5:$C$2004,'Status'!$E$5))))</x:f>
      </x:c>
      <x:c r="D47" s="14" t="str">
        <x:f>IF(OR(COUNTA($A47)=0,'Status'!$F$5=""),"",IF(COUNTIFS('Estimates'!$A$5:$A$2004,$A47,'Estimates'!$B$5:$B$2004,"MPS",'Estimates'!$C$5:$C$2004,'Status'!$F$5)=0,"",IF(COUNTIFS('Estimates'!$A$5:$A$2004,$A47,'Estimates'!$B$5:$B$2004,"MPS",'Estimates'!$C$5:$C$2004,'Status'!$F$5)&gt;1,"DUP",SUMIFS('Estimates'!$F$5:$F$2004,'Estimates'!$A$5:$A$2004,$A47,'Estimates'!$B$5:$B$2004,"MPS",'Estimates'!$C$5:$C$2004,'Status'!$F$5))))</x:f>
      </x:c>
      <x:c r="E47" s="14" t="str">
        <x:f>IF(OR(COUNTA($A47)=0,'Status'!$G$5=""),"",IF(COUNTIFS('Estimates'!$A$5:$A$2004,$A47,'Estimates'!$B$5:$B$2004,"MPS",'Estimates'!$C$5:$C$2004,'Status'!$G$5)=0,"",IF(COUNTIFS('Estimates'!$A$5:$A$2004,$A47,'Estimates'!$B$5:$B$2004,"MPS",'Estimates'!$C$5:$C$2004,'Status'!$G$5)&gt;1,"DUP",SUMIFS('Estimates'!$F$5:$F$2004,'Estimates'!$A$5:$A$2004,$A47,'Estimates'!$B$5:$B$2004,"MPS",'Estimates'!$C$5:$C$2004,'Status'!$G$5))))</x:f>
      </x:c>
      <x:c r="F47" s="14" t="str">
        <x:f>IF(COUNT(C47:E47)&lt;2,"",_xlfn.STDEV.S(C47:E47))</x:f>
      </x:c>
      <x:c r="G47" s="14" t="str">
        <x:f>IF(AND(ISNUMBER(D47),ISNUMBER(E47)),ABS(E47-D47),"")</x:f>
      </x:c>
      <x:c r="H47" s="15" t="str">
        <x:f>IF(AND(ISNUMBER(D47),ISNUMBER(E47)),IF(D47=0,"n.a.",ABS(E47-D47)/ABS(D47)),"")</x:f>
      </x:c>
      <x:c r="I47" s="2" t="str">
        <x:f>IF(COUNTA(A47)=0,"",IF(NOT(ISNUMBER('Status'!$B$6)),"Set tolerance",IF(COUNT(C47:E47)&lt;3,"Need 3 levels",IF(OR(C47=0,D47=0),"Use abs. Δ",IF(AND(ABS(D47-C47)/ABS(C47)&lt;='Status'!$B$6,H47&lt;='Status'!$B$6),"Yes","No")))))</x:f>
      </x:c>
      <x:c r="J47" s="14" t="str">
        <x:f>IF(OR(COUNTA($A47)=0,'Status'!$E$6=""),"",IF(COUNTIFS('Estimates'!$A$5:$A$2004,$A47,'Estimates'!$B$5:$B$2004,"PPS",'Estimates'!$D$5:$D$2004,'Status'!$E$6,'Estimates'!$E$5:$E$2004,'Status'!$E$7)=0,"",IF(COUNTIFS('Estimates'!$A$5:$A$2004,$A47,'Estimates'!$B$5:$B$2004,"PPS",'Estimates'!$D$5:$D$2004,'Status'!$E$6,'Estimates'!$E$5:$E$2004,'Status'!$E$7)&gt;1,"DUP",SUMIFS('Estimates'!$F$5:$F$2004,'Estimates'!$A$5:$A$2004,$A47,'Estimates'!$B$5:$B$2004,"PPS",'Estimates'!$D$5:$D$2004,'Status'!$E$6,'Estimates'!$E$5:$E$2004,'Status'!$E$7))))</x:f>
      </x:c>
      <x:c r="K47" s="14" t="str">
        <x:f>IF(OR(COUNTA($A47)=0,'Status'!$F$6=""),"",IF(COUNTIFS('Estimates'!$A$5:$A$2004,$A47,'Estimates'!$B$5:$B$2004,"PPS",'Estimates'!$D$5:$D$2004,'Status'!$F$6,'Estimates'!$E$5:$E$2004,'Status'!$E$7)=0,"",IF(COUNTIFS('Estimates'!$A$5:$A$2004,$A47,'Estimates'!$B$5:$B$2004,"PPS",'Estimates'!$D$5:$D$2004,'Status'!$F$6,'Estimates'!$E$5:$E$2004,'Status'!$E$7)&gt;1,"DUP",SUMIFS('Estimates'!$F$5:$F$2004,'Estimates'!$A$5:$A$2004,$A47,'Estimates'!$B$5:$B$2004,"PPS",'Estimates'!$D$5:$D$2004,'Status'!$F$6,'Estimates'!$E$5:$E$2004,'Status'!$E$7))))</x:f>
      </x:c>
      <x:c r="L47" s="14" t="str">
        <x:f>IF(OR(COUNTA($A47)=0,'Status'!$G$6=""),"",IF(COUNTIFS('Estimates'!$A$5:$A$2004,$A47,'Estimates'!$B$5:$B$2004,"PPS",'Estimates'!$D$5:$D$2004,'Status'!$G$6,'Estimates'!$E$5:$E$2004,'Status'!$E$7)=0,"",IF(COUNTIFS('Estimates'!$A$5:$A$2004,$A47,'Estimates'!$B$5:$B$2004,"PPS",'Estimates'!$D$5:$D$2004,'Status'!$G$6,'Estimates'!$E$5:$E$2004,'Status'!$E$7)&gt;1,"DUP",SUMIFS('Estimates'!$F$5:$F$2004,'Estimates'!$A$5:$A$2004,$A47,'Estimates'!$B$5:$B$2004,"PPS",'Estimates'!$D$5:$D$2004,'Status'!$G$6,'Estimates'!$E$5:$E$2004,'Status'!$E$7))))</x:f>
      </x:c>
      <x:c r="M47" s="14" t="str">
        <x:f>IF(COUNT(J47:L47)&lt;2,"",_xlfn.STDEV.S(J47:L47))</x:f>
      </x:c>
      <x:c r="N47" s="14" t="str">
        <x:f>IF(AND(ISNUMBER(K47),ISNUMBER(L47)),ABS(L47-K47),"")</x:f>
      </x:c>
      <x:c r="O47" s="15" t="str">
        <x:f>IF(AND(ISNUMBER(K47),ISNUMBER(L47)),IF(K47=0,"n.a.",ABS(L47-K47)/ABS(K47)),"")</x:f>
      </x:c>
      <x:c r="P47" s="2" t="str">
        <x:f>IF(COUNTA(A47)=0,"",IF(NOT(ISNUMBER('Status'!$B$6)),"Set tolerance",IF(COUNT(J47:L47)&lt;3,"Need 3 levels",IF(OR(J47=0,K47=0),"Use abs. Δ",IF(AND(ABS(K47-J47)/ABS(J47)&lt;='Status'!$B$6,O47&lt;='Status'!$B$6),"Yes","No")))))</x:f>
      </x:c>
      <x:c r="Q47" s="14" t="str">
        <x:f>IF(AND(ISNUMBER(E47),ISNUMBER(L47)),ABS(E47-L47),"")</x:f>
      </x:c>
      <x:c r="R47" s="2" t="str">
        <x:f>IF(COUNTA(A47)=0,"",IF(COUNT(C47:E47,J47:L47)&gt;0,1,0))</x:f>
      </x:c>
      <x:c r="S47" s="2" t="str">
        <x:f>IF(COUNTA(A47)=0,"",IF(COUNTIFS($A$6:$A$165,A47)&gt;1,"Duplicate target",""))</x:f>
      </x:c>
    </x:row>
    <x:row r="48">
      <x:c r="A48" s="6"/>
      <x:c r="B48" s="20"/>
      <x:c r="C48" s="14" t="str">
        <x:f>IF(OR(COUNTA($A48)=0,'Status'!$E$5=""),"",IF(COUNTIFS('Estimates'!$A$5:$A$2004,$A48,'Estimates'!$B$5:$B$2004,"MPS",'Estimates'!$C$5:$C$2004,'Status'!$E$5)=0,"",IF(COUNTIFS('Estimates'!$A$5:$A$2004,$A48,'Estimates'!$B$5:$B$2004,"MPS",'Estimates'!$C$5:$C$2004,'Status'!$E$5)&gt;1,"DUP",SUMIFS('Estimates'!$F$5:$F$2004,'Estimates'!$A$5:$A$2004,$A48,'Estimates'!$B$5:$B$2004,"MPS",'Estimates'!$C$5:$C$2004,'Status'!$E$5))))</x:f>
      </x:c>
      <x:c r="D48" s="14" t="str">
        <x:f>IF(OR(COUNTA($A48)=0,'Status'!$F$5=""),"",IF(COUNTIFS('Estimates'!$A$5:$A$2004,$A48,'Estimates'!$B$5:$B$2004,"MPS",'Estimates'!$C$5:$C$2004,'Status'!$F$5)=0,"",IF(COUNTIFS('Estimates'!$A$5:$A$2004,$A48,'Estimates'!$B$5:$B$2004,"MPS",'Estimates'!$C$5:$C$2004,'Status'!$F$5)&gt;1,"DUP",SUMIFS('Estimates'!$F$5:$F$2004,'Estimates'!$A$5:$A$2004,$A48,'Estimates'!$B$5:$B$2004,"MPS",'Estimates'!$C$5:$C$2004,'Status'!$F$5))))</x:f>
      </x:c>
      <x:c r="E48" s="14" t="str">
        <x:f>IF(OR(COUNTA($A48)=0,'Status'!$G$5=""),"",IF(COUNTIFS('Estimates'!$A$5:$A$2004,$A48,'Estimates'!$B$5:$B$2004,"MPS",'Estimates'!$C$5:$C$2004,'Status'!$G$5)=0,"",IF(COUNTIFS('Estimates'!$A$5:$A$2004,$A48,'Estimates'!$B$5:$B$2004,"MPS",'Estimates'!$C$5:$C$2004,'Status'!$G$5)&gt;1,"DUP",SUMIFS('Estimates'!$F$5:$F$2004,'Estimates'!$A$5:$A$2004,$A48,'Estimates'!$B$5:$B$2004,"MPS",'Estimates'!$C$5:$C$2004,'Status'!$G$5))))</x:f>
      </x:c>
      <x:c r="F48" s="14" t="str">
        <x:f>IF(COUNT(C48:E48)&lt;2,"",_xlfn.STDEV.S(C48:E48))</x:f>
      </x:c>
      <x:c r="G48" s="14" t="str">
        <x:f>IF(AND(ISNUMBER(D48),ISNUMBER(E48)),ABS(E48-D48),"")</x:f>
      </x:c>
      <x:c r="H48" s="15" t="str">
        <x:f>IF(AND(ISNUMBER(D48),ISNUMBER(E48)),IF(D48=0,"n.a.",ABS(E48-D48)/ABS(D48)),"")</x:f>
      </x:c>
      <x:c r="I48" s="2" t="str">
        <x:f>IF(COUNTA(A48)=0,"",IF(NOT(ISNUMBER('Status'!$B$6)),"Set tolerance",IF(COUNT(C48:E48)&lt;3,"Need 3 levels",IF(OR(C48=0,D48=0),"Use abs. Δ",IF(AND(ABS(D48-C48)/ABS(C48)&lt;='Status'!$B$6,H48&lt;='Status'!$B$6),"Yes","No")))))</x:f>
      </x:c>
      <x:c r="J48" s="14" t="str">
        <x:f>IF(OR(COUNTA($A48)=0,'Status'!$E$6=""),"",IF(COUNTIFS('Estimates'!$A$5:$A$2004,$A48,'Estimates'!$B$5:$B$2004,"PPS",'Estimates'!$D$5:$D$2004,'Status'!$E$6,'Estimates'!$E$5:$E$2004,'Status'!$E$7)=0,"",IF(COUNTIFS('Estimates'!$A$5:$A$2004,$A48,'Estimates'!$B$5:$B$2004,"PPS",'Estimates'!$D$5:$D$2004,'Status'!$E$6,'Estimates'!$E$5:$E$2004,'Status'!$E$7)&gt;1,"DUP",SUMIFS('Estimates'!$F$5:$F$2004,'Estimates'!$A$5:$A$2004,$A48,'Estimates'!$B$5:$B$2004,"PPS",'Estimates'!$D$5:$D$2004,'Status'!$E$6,'Estimates'!$E$5:$E$2004,'Status'!$E$7))))</x:f>
      </x:c>
      <x:c r="K48" s="14" t="str">
        <x:f>IF(OR(COUNTA($A48)=0,'Status'!$F$6=""),"",IF(COUNTIFS('Estimates'!$A$5:$A$2004,$A48,'Estimates'!$B$5:$B$2004,"PPS",'Estimates'!$D$5:$D$2004,'Status'!$F$6,'Estimates'!$E$5:$E$2004,'Status'!$E$7)=0,"",IF(COUNTIFS('Estimates'!$A$5:$A$2004,$A48,'Estimates'!$B$5:$B$2004,"PPS",'Estimates'!$D$5:$D$2004,'Status'!$F$6,'Estimates'!$E$5:$E$2004,'Status'!$E$7)&gt;1,"DUP",SUMIFS('Estimates'!$F$5:$F$2004,'Estimates'!$A$5:$A$2004,$A48,'Estimates'!$B$5:$B$2004,"PPS",'Estimates'!$D$5:$D$2004,'Status'!$F$6,'Estimates'!$E$5:$E$2004,'Status'!$E$7))))</x:f>
      </x:c>
      <x:c r="L48" s="14" t="str">
        <x:f>IF(OR(COUNTA($A48)=0,'Status'!$G$6=""),"",IF(COUNTIFS('Estimates'!$A$5:$A$2004,$A48,'Estimates'!$B$5:$B$2004,"PPS",'Estimates'!$D$5:$D$2004,'Status'!$G$6,'Estimates'!$E$5:$E$2004,'Status'!$E$7)=0,"",IF(COUNTIFS('Estimates'!$A$5:$A$2004,$A48,'Estimates'!$B$5:$B$2004,"PPS",'Estimates'!$D$5:$D$2004,'Status'!$G$6,'Estimates'!$E$5:$E$2004,'Status'!$E$7)&gt;1,"DUP",SUMIFS('Estimates'!$F$5:$F$2004,'Estimates'!$A$5:$A$2004,$A48,'Estimates'!$B$5:$B$2004,"PPS",'Estimates'!$D$5:$D$2004,'Status'!$G$6,'Estimates'!$E$5:$E$2004,'Status'!$E$7))))</x:f>
      </x:c>
      <x:c r="M48" s="14" t="str">
        <x:f>IF(COUNT(J48:L48)&lt;2,"",_xlfn.STDEV.S(J48:L48))</x:f>
      </x:c>
      <x:c r="N48" s="14" t="str">
        <x:f>IF(AND(ISNUMBER(K48),ISNUMBER(L48)),ABS(L48-K48),"")</x:f>
      </x:c>
      <x:c r="O48" s="15" t="str">
        <x:f>IF(AND(ISNUMBER(K48),ISNUMBER(L48)),IF(K48=0,"n.a.",ABS(L48-K48)/ABS(K48)),"")</x:f>
      </x:c>
      <x:c r="P48" s="2" t="str">
        <x:f>IF(COUNTA(A48)=0,"",IF(NOT(ISNUMBER('Status'!$B$6)),"Set tolerance",IF(COUNT(J48:L48)&lt;3,"Need 3 levels",IF(OR(J48=0,K48=0),"Use abs. Δ",IF(AND(ABS(K48-J48)/ABS(J48)&lt;='Status'!$B$6,O48&lt;='Status'!$B$6),"Yes","No")))))</x:f>
      </x:c>
      <x:c r="Q48" s="14" t="str">
        <x:f>IF(AND(ISNUMBER(E48),ISNUMBER(L48)),ABS(E48-L48),"")</x:f>
      </x:c>
      <x:c r="R48" s="2" t="str">
        <x:f>IF(COUNTA(A48)=0,"",IF(COUNT(C48:E48,J48:L48)&gt;0,1,0))</x:f>
      </x:c>
      <x:c r="S48" s="2" t="str">
        <x:f>IF(COUNTA(A48)=0,"",IF(COUNTIFS($A$6:$A$165,A48)&gt;1,"Duplicate target",""))</x:f>
      </x:c>
    </x:row>
    <x:row r="49">
      <x:c r="A49" s="6"/>
      <x:c r="B49" s="20"/>
      <x:c r="C49" s="14" t="str">
        <x:f>IF(OR(COUNTA($A49)=0,'Status'!$E$5=""),"",IF(COUNTIFS('Estimates'!$A$5:$A$2004,$A49,'Estimates'!$B$5:$B$2004,"MPS",'Estimates'!$C$5:$C$2004,'Status'!$E$5)=0,"",IF(COUNTIFS('Estimates'!$A$5:$A$2004,$A49,'Estimates'!$B$5:$B$2004,"MPS",'Estimates'!$C$5:$C$2004,'Status'!$E$5)&gt;1,"DUP",SUMIFS('Estimates'!$F$5:$F$2004,'Estimates'!$A$5:$A$2004,$A49,'Estimates'!$B$5:$B$2004,"MPS",'Estimates'!$C$5:$C$2004,'Status'!$E$5))))</x:f>
      </x:c>
      <x:c r="D49" s="14" t="str">
        <x:f>IF(OR(COUNTA($A49)=0,'Status'!$F$5=""),"",IF(COUNTIFS('Estimates'!$A$5:$A$2004,$A49,'Estimates'!$B$5:$B$2004,"MPS",'Estimates'!$C$5:$C$2004,'Status'!$F$5)=0,"",IF(COUNTIFS('Estimates'!$A$5:$A$2004,$A49,'Estimates'!$B$5:$B$2004,"MPS",'Estimates'!$C$5:$C$2004,'Status'!$F$5)&gt;1,"DUP",SUMIFS('Estimates'!$F$5:$F$2004,'Estimates'!$A$5:$A$2004,$A49,'Estimates'!$B$5:$B$2004,"MPS",'Estimates'!$C$5:$C$2004,'Status'!$F$5))))</x:f>
      </x:c>
      <x:c r="E49" s="14" t="str">
        <x:f>IF(OR(COUNTA($A49)=0,'Status'!$G$5=""),"",IF(COUNTIFS('Estimates'!$A$5:$A$2004,$A49,'Estimates'!$B$5:$B$2004,"MPS",'Estimates'!$C$5:$C$2004,'Status'!$G$5)=0,"",IF(COUNTIFS('Estimates'!$A$5:$A$2004,$A49,'Estimates'!$B$5:$B$2004,"MPS",'Estimates'!$C$5:$C$2004,'Status'!$G$5)&gt;1,"DUP",SUMIFS('Estimates'!$F$5:$F$2004,'Estimates'!$A$5:$A$2004,$A49,'Estimates'!$B$5:$B$2004,"MPS",'Estimates'!$C$5:$C$2004,'Status'!$G$5))))</x:f>
      </x:c>
      <x:c r="F49" s="14" t="str">
        <x:f>IF(COUNT(C49:E49)&lt;2,"",_xlfn.STDEV.S(C49:E49))</x:f>
      </x:c>
      <x:c r="G49" s="14" t="str">
        <x:f>IF(AND(ISNUMBER(D49),ISNUMBER(E49)),ABS(E49-D49),"")</x:f>
      </x:c>
      <x:c r="H49" s="15" t="str">
        <x:f>IF(AND(ISNUMBER(D49),ISNUMBER(E49)),IF(D49=0,"n.a.",ABS(E49-D49)/ABS(D49)),"")</x:f>
      </x:c>
      <x:c r="I49" s="2" t="str">
        <x:f>IF(COUNTA(A49)=0,"",IF(NOT(ISNUMBER('Status'!$B$6)),"Set tolerance",IF(COUNT(C49:E49)&lt;3,"Need 3 levels",IF(OR(C49=0,D49=0),"Use abs. Δ",IF(AND(ABS(D49-C49)/ABS(C49)&lt;='Status'!$B$6,H49&lt;='Status'!$B$6),"Yes","No")))))</x:f>
      </x:c>
      <x:c r="J49" s="14" t="str">
        <x:f>IF(OR(COUNTA($A49)=0,'Status'!$E$6=""),"",IF(COUNTIFS('Estimates'!$A$5:$A$2004,$A49,'Estimates'!$B$5:$B$2004,"PPS",'Estimates'!$D$5:$D$2004,'Status'!$E$6,'Estimates'!$E$5:$E$2004,'Status'!$E$7)=0,"",IF(COUNTIFS('Estimates'!$A$5:$A$2004,$A49,'Estimates'!$B$5:$B$2004,"PPS",'Estimates'!$D$5:$D$2004,'Status'!$E$6,'Estimates'!$E$5:$E$2004,'Status'!$E$7)&gt;1,"DUP",SUMIFS('Estimates'!$F$5:$F$2004,'Estimates'!$A$5:$A$2004,$A49,'Estimates'!$B$5:$B$2004,"PPS",'Estimates'!$D$5:$D$2004,'Status'!$E$6,'Estimates'!$E$5:$E$2004,'Status'!$E$7))))</x:f>
      </x:c>
      <x:c r="K49" s="14" t="str">
        <x:f>IF(OR(COUNTA($A49)=0,'Status'!$F$6=""),"",IF(COUNTIFS('Estimates'!$A$5:$A$2004,$A49,'Estimates'!$B$5:$B$2004,"PPS",'Estimates'!$D$5:$D$2004,'Status'!$F$6,'Estimates'!$E$5:$E$2004,'Status'!$E$7)=0,"",IF(COUNTIFS('Estimates'!$A$5:$A$2004,$A49,'Estimates'!$B$5:$B$2004,"PPS",'Estimates'!$D$5:$D$2004,'Status'!$F$6,'Estimates'!$E$5:$E$2004,'Status'!$E$7)&gt;1,"DUP",SUMIFS('Estimates'!$F$5:$F$2004,'Estimates'!$A$5:$A$2004,$A49,'Estimates'!$B$5:$B$2004,"PPS",'Estimates'!$D$5:$D$2004,'Status'!$F$6,'Estimates'!$E$5:$E$2004,'Status'!$E$7))))</x:f>
      </x:c>
      <x:c r="L49" s="14" t="str">
        <x:f>IF(OR(COUNTA($A49)=0,'Status'!$G$6=""),"",IF(COUNTIFS('Estimates'!$A$5:$A$2004,$A49,'Estimates'!$B$5:$B$2004,"PPS",'Estimates'!$D$5:$D$2004,'Status'!$G$6,'Estimates'!$E$5:$E$2004,'Status'!$E$7)=0,"",IF(COUNTIFS('Estimates'!$A$5:$A$2004,$A49,'Estimates'!$B$5:$B$2004,"PPS",'Estimates'!$D$5:$D$2004,'Status'!$G$6,'Estimates'!$E$5:$E$2004,'Status'!$E$7)&gt;1,"DUP",SUMIFS('Estimates'!$F$5:$F$2004,'Estimates'!$A$5:$A$2004,$A49,'Estimates'!$B$5:$B$2004,"PPS",'Estimates'!$D$5:$D$2004,'Status'!$G$6,'Estimates'!$E$5:$E$2004,'Status'!$E$7))))</x:f>
      </x:c>
      <x:c r="M49" s="14" t="str">
        <x:f>IF(COUNT(J49:L49)&lt;2,"",_xlfn.STDEV.S(J49:L49))</x:f>
      </x:c>
      <x:c r="N49" s="14" t="str">
        <x:f>IF(AND(ISNUMBER(K49),ISNUMBER(L49)),ABS(L49-K49),"")</x:f>
      </x:c>
      <x:c r="O49" s="15" t="str">
        <x:f>IF(AND(ISNUMBER(K49),ISNUMBER(L49)),IF(K49=0,"n.a.",ABS(L49-K49)/ABS(K49)),"")</x:f>
      </x:c>
      <x:c r="P49" s="2" t="str">
        <x:f>IF(COUNTA(A49)=0,"",IF(NOT(ISNUMBER('Status'!$B$6)),"Set tolerance",IF(COUNT(J49:L49)&lt;3,"Need 3 levels",IF(OR(J49=0,K49=0),"Use abs. Δ",IF(AND(ABS(K49-J49)/ABS(J49)&lt;='Status'!$B$6,O49&lt;='Status'!$B$6),"Yes","No")))))</x:f>
      </x:c>
      <x:c r="Q49" s="14" t="str">
        <x:f>IF(AND(ISNUMBER(E49),ISNUMBER(L49)),ABS(E49-L49),"")</x:f>
      </x:c>
      <x:c r="R49" s="2" t="str">
        <x:f>IF(COUNTA(A49)=0,"",IF(COUNT(C49:E49,J49:L49)&gt;0,1,0))</x:f>
      </x:c>
      <x:c r="S49" s="2" t="str">
        <x:f>IF(COUNTA(A49)=0,"",IF(COUNTIFS($A$6:$A$165,A49)&gt;1,"Duplicate target",""))</x:f>
      </x:c>
    </x:row>
    <x:row r="50">
      <x:c r="A50" s="6"/>
      <x:c r="B50" s="20"/>
      <x:c r="C50" s="14" t="str">
        <x:f>IF(OR(COUNTA($A50)=0,'Status'!$E$5=""),"",IF(COUNTIFS('Estimates'!$A$5:$A$2004,$A50,'Estimates'!$B$5:$B$2004,"MPS",'Estimates'!$C$5:$C$2004,'Status'!$E$5)=0,"",IF(COUNTIFS('Estimates'!$A$5:$A$2004,$A50,'Estimates'!$B$5:$B$2004,"MPS",'Estimates'!$C$5:$C$2004,'Status'!$E$5)&gt;1,"DUP",SUMIFS('Estimates'!$F$5:$F$2004,'Estimates'!$A$5:$A$2004,$A50,'Estimates'!$B$5:$B$2004,"MPS",'Estimates'!$C$5:$C$2004,'Status'!$E$5))))</x:f>
      </x:c>
      <x:c r="D50" s="14" t="str">
        <x:f>IF(OR(COUNTA($A50)=0,'Status'!$F$5=""),"",IF(COUNTIFS('Estimates'!$A$5:$A$2004,$A50,'Estimates'!$B$5:$B$2004,"MPS",'Estimates'!$C$5:$C$2004,'Status'!$F$5)=0,"",IF(COUNTIFS('Estimates'!$A$5:$A$2004,$A50,'Estimates'!$B$5:$B$2004,"MPS",'Estimates'!$C$5:$C$2004,'Status'!$F$5)&gt;1,"DUP",SUMIFS('Estimates'!$F$5:$F$2004,'Estimates'!$A$5:$A$2004,$A50,'Estimates'!$B$5:$B$2004,"MPS",'Estimates'!$C$5:$C$2004,'Status'!$F$5))))</x:f>
      </x:c>
      <x:c r="E50" s="14" t="str">
        <x:f>IF(OR(COUNTA($A50)=0,'Status'!$G$5=""),"",IF(COUNTIFS('Estimates'!$A$5:$A$2004,$A50,'Estimates'!$B$5:$B$2004,"MPS",'Estimates'!$C$5:$C$2004,'Status'!$G$5)=0,"",IF(COUNTIFS('Estimates'!$A$5:$A$2004,$A50,'Estimates'!$B$5:$B$2004,"MPS",'Estimates'!$C$5:$C$2004,'Status'!$G$5)&gt;1,"DUP",SUMIFS('Estimates'!$F$5:$F$2004,'Estimates'!$A$5:$A$2004,$A50,'Estimates'!$B$5:$B$2004,"MPS",'Estimates'!$C$5:$C$2004,'Status'!$G$5))))</x:f>
      </x:c>
      <x:c r="F50" s="14" t="str">
        <x:f>IF(COUNT(C50:E50)&lt;2,"",_xlfn.STDEV.S(C50:E50))</x:f>
      </x:c>
      <x:c r="G50" s="14" t="str">
        <x:f>IF(AND(ISNUMBER(D50),ISNUMBER(E50)),ABS(E50-D50),"")</x:f>
      </x:c>
      <x:c r="H50" s="15" t="str">
        <x:f>IF(AND(ISNUMBER(D50),ISNUMBER(E50)),IF(D50=0,"n.a.",ABS(E50-D50)/ABS(D50)),"")</x:f>
      </x:c>
      <x:c r="I50" s="2" t="str">
        <x:f>IF(COUNTA(A50)=0,"",IF(NOT(ISNUMBER('Status'!$B$6)),"Set tolerance",IF(COUNT(C50:E50)&lt;3,"Need 3 levels",IF(OR(C50=0,D50=0),"Use abs. Δ",IF(AND(ABS(D50-C50)/ABS(C50)&lt;='Status'!$B$6,H50&lt;='Status'!$B$6),"Yes","No")))))</x:f>
      </x:c>
      <x:c r="J50" s="14" t="str">
        <x:f>IF(OR(COUNTA($A50)=0,'Status'!$E$6=""),"",IF(COUNTIFS('Estimates'!$A$5:$A$2004,$A50,'Estimates'!$B$5:$B$2004,"PPS",'Estimates'!$D$5:$D$2004,'Status'!$E$6,'Estimates'!$E$5:$E$2004,'Status'!$E$7)=0,"",IF(COUNTIFS('Estimates'!$A$5:$A$2004,$A50,'Estimates'!$B$5:$B$2004,"PPS",'Estimates'!$D$5:$D$2004,'Status'!$E$6,'Estimates'!$E$5:$E$2004,'Status'!$E$7)&gt;1,"DUP",SUMIFS('Estimates'!$F$5:$F$2004,'Estimates'!$A$5:$A$2004,$A50,'Estimates'!$B$5:$B$2004,"PPS",'Estimates'!$D$5:$D$2004,'Status'!$E$6,'Estimates'!$E$5:$E$2004,'Status'!$E$7))))</x:f>
      </x:c>
      <x:c r="K50" s="14" t="str">
        <x:f>IF(OR(COUNTA($A50)=0,'Status'!$F$6=""),"",IF(COUNTIFS('Estimates'!$A$5:$A$2004,$A50,'Estimates'!$B$5:$B$2004,"PPS",'Estimates'!$D$5:$D$2004,'Status'!$F$6,'Estimates'!$E$5:$E$2004,'Status'!$E$7)=0,"",IF(COUNTIFS('Estimates'!$A$5:$A$2004,$A50,'Estimates'!$B$5:$B$2004,"PPS",'Estimates'!$D$5:$D$2004,'Status'!$F$6,'Estimates'!$E$5:$E$2004,'Status'!$E$7)&gt;1,"DUP",SUMIFS('Estimates'!$F$5:$F$2004,'Estimates'!$A$5:$A$2004,$A50,'Estimates'!$B$5:$B$2004,"PPS",'Estimates'!$D$5:$D$2004,'Status'!$F$6,'Estimates'!$E$5:$E$2004,'Status'!$E$7))))</x:f>
      </x:c>
      <x:c r="L50" s="14" t="str">
        <x:f>IF(OR(COUNTA($A50)=0,'Status'!$G$6=""),"",IF(COUNTIFS('Estimates'!$A$5:$A$2004,$A50,'Estimates'!$B$5:$B$2004,"PPS",'Estimates'!$D$5:$D$2004,'Status'!$G$6,'Estimates'!$E$5:$E$2004,'Status'!$E$7)=0,"",IF(COUNTIFS('Estimates'!$A$5:$A$2004,$A50,'Estimates'!$B$5:$B$2004,"PPS",'Estimates'!$D$5:$D$2004,'Status'!$G$6,'Estimates'!$E$5:$E$2004,'Status'!$E$7)&gt;1,"DUP",SUMIFS('Estimates'!$F$5:$F$2004,'Estimates'!$A$5:$A$2004,$A50,'Estimates'!$B$5:$B$2004,"PPS",'Estimates'!$D$5:$D$2004,'Status'!$G$6,'Estimates'!$E$5:$E$2004,'Status'!$E$7))))</x:f>
      </x:c>
      <x:c r="M50" s="14" t="str">
        <x:f>IF(COUNT(J50:L50)&lt;2,"",_xlfn.STDEV.S(J50:L50))</x:f>
      </x:c>
      <x:c r="N50" s="14" t="str">
        <x:f>IF(AND(ISNUMBER(K50),ISNUMBER(L50)),ABS(L50-K50),"")</x:f>
      </x:c>
      <x:c r="O50" s="15" t="str">
        <x:f>IF(AND(ISNUMBER(K50),ISNUMBER(L50)),IF(K50=0,"n.a.",ABS(L50-K50)/ABS(K50)),"")</x:f>
      </x:c>
      <x:c r="P50" s="2" t="str">
        <x:f>IF(COUNTA(A50)=0,"",IF(NOT(ISNUMBER('Status'!$B$6)),"Set tolerance",IF(COUNT(J50:L50)&lt;3,"Need 3 levels",IF(OR(J50=0,K50=0),"Use abs. Δ",IF(AND(ABS(K50-J50)/ABS(J50)&lt;='Status'!$B$6,O50&lt;='Status'!$B$6),"Yes","No")))))</x:f>
      </x:c>
      <x:c r="Q50" s="14" t="str">
        <x:f>IF(AND(ISNUMBER(E50),ISNUMBER(L50)),ABS(E50-L50),"")</x:f>
      </x:c>
      <x:c r="R50" s="2" t="str">
        <x:f>IF(COUNTA(A50)=0,"",IF(COUNT(C50:E50,J50:L50)&gt;0,1,0))</x:f>
      </x:c>
      <x:c r="S50" s="2" t="str">
        <x:f>IF(COUNTA(A50)=0,"",IF(COUNTIFS($A$6:$A$165,A50)&gt;1,"Duplicate target",""))</x:f>
      </x:c>
    </x:row>
    <x:row r="51">
      <x:c r="A51" s="6"/>
      <x:c r="B51" s="20"/>
      <x:c r="C51" s="14" t="str">
        <x:f>IF(OR(COUNTA($A51)=0,'Status'!$E$5=""),"",IF(COUNTIFS('Estimates'!$A$5:$A$2004,$A51,'Estimates'!$B$5:$B$2004,"MPS",'Estimates'!$C$5:$C$2004,'Status'!$E$5)=0,"",IF(COUNTIFS('Estimates'!$A$5:$A$2004,$A51,'Estimates'!$B$5:$B$2004,"MPS",'Estimates'!$C$5:$C$2004,'Status'!$E$5)&gt;1,"DUP",SUMIFS('Estimates'!$F$5:$F$2004,'Estimates'!$A$5:$A$2004,$A51,'Estimates'!$B$5:$B$2004,"MPS",'Estimates'!$C$5:$C$2004,'Status'!$E$5))))</x:f>
      </x:c>
      <x:c r="D51" s="14" t="str">
        <x:f>IF(OR(COUNTA($A51)=0,'Status'!$F$5=""),"",IF(COUNTIFS('Estimates'!$A$5:$A$2004,$A51,'Estimates'!$B$5:$B$2004,"MPS",'Estimates'!$C$5:$C$2004,'Status'!$F$5)=0,"",IF(COUNTIFS('Estimates'!$A$5:$A$2004,$A51,'Estimates'!$B$5:$B$2004,"MPS",'Estimates'!$C$5:$C$2004,'Status'!$F$5)&gt;1,"DUP",SUMIFS('Estimates'!$F$5:$F$2004,'Estimates'!$A$5:$A$2004,$A51,'Estimates'!$B$5:$B$2004,"MPS",'Estimates'!$C$5:$C$2004,'Status'!$F$5))))</x:f>
      </x:c>
      <x:c r="E51" s="14" t="str">
        <x:f>IF(OR(COUNTA($A51)=0,'Status'!$G$5=""),"",IF(COUNTIFS('Estimates'!$A$5:$A$2004,$A51,'Estimates'!$B$5:$B$2004,"MPS",'Estimates'!$C$5:$C$2004,'Status'!$G$5)=0,"",IF(COUNTIFS('Estimates'!$A$5:$A$2004,$A51,'Estimates'!$B$5:$B$2004,"MPS",'Estimates'!$C$5:$C$2004,'Status'!$G$5)&gt;1,"DUP",SUMIFS('Estimates'!$F$5:$F$2004,'Estimates'!$A$5:$A$2004,$A51,'Estimates'!$B$5:$B$2004,"MPS",'Estimates'!$C$5:$C$2004,'Status'!$G$5))))</x:f>
      </x:c>
      <x:c r="F51" s="14" t="str">
        <x:f>IF(COUNT(C51:E51)&lt;2,"",_xlfn.STDEV.S(C51:E51))</x:f>
      </x:c>
      <x:c r="G51" s="14" t="str">
        <x:f>IF(AND(ISNUMBER(D51),ISNUMBER(E51)),ABS(E51-D51),"")</x:f>
      </x:c>
      <x:c r="H51" s="15" t="str">
        <x:f>IF(AND(ISNUMBER(D51),ISNUMBER(E51)),IF(D51=0,"n.a.",ABS(E51-D51)/ABS(D51)),"")</x:f>
      </x:c>
      <x:c r="I51" s="2" t="str">
        <x:f>IF(COUNTA(A51)=0,"",IF(NOT(ISNUMBER('Status'!$B$6)),"Set tolerance",IF(COUNT(C51:E51)&lt;3,"Need 3 levels",IF(OR(C51=0,D51=0),"Use abs. Δ",IF(AND(ABS(D51-C51)/ABS(C51)&lt;='Status'!$B$6,H51&lt;='Status'!$B$6),"Yes","No")))))</x:f>
      </x:c>
      <x:c r="J51" s="14" t="str">
        <x:f>IF(OR(COUNTA($A51)=0,'Status'!$E$6=""),"",IF(COUNTIFS('Estimates'!$A$5:$A$2004,$A51,'Estimates'!$B$5:$B$2004,"PPS",'Estimates'!$D$5:$D$2004,'Status'!$E$6,'Estimates'!$E$5:$E$2004,'Status'!$E$7)=0,"",IF(COUNTIFS('Estimates'!$A$5:$A$2004,$A51,'Estimates'!$B$5:$B$2004,"PPS",'Estimates'!$D$5:$D$2004,'Status'!$E$6,'Estimates'!$E$5:$E$2004,'Status'!$E$7)&gt;1,"DUP",SUMIFS('Estimates'!$F$5:$F$2004,'Estimates'!$A$5:$A$2004,$A51,'Estimates'!$B$5:$B$2004,"PPS",'Estimates'!$D$5:$D$2004,'Status'!$E$6,'Estimates'!$E$5:$E$2004,'Status'!$E$7))))</x:f>
      </x:c>
      <x:c r="K51" s="14" t="str">
        <x:f>IF(OR(COUNTA($A51)=0,'Status'!$F$6=""),"",IF(COUNTIFS('Estimates'!$A$5:$A$2004,$A51,'Estimates'!$B$5:$B$2004,"PPS",'Estimates'!$D$5:$D$2004,'Status'!$F$6,'Estimates'!$E$5:$E$2004,'Status'!$E$7)=0,"",IF(COUNTIFS('Estimates'!$A$5:$A$2004,$A51,'Estimates'!$B$5:$B$2004,"PPS",'Estimates'!$D$5:$D$2004,'Status'!$F$6,'Estimates'!$E$5:$E$2004,'Status'!$E$7)&gt;1,"DUP",SUMIFS('Estimates'!$F$5:$F$2004,'Estimates'!$A$5:$A$2004,$A51,'Estimates'!$B$5:$B$2004,"PPS",'Estimates'!$D$5:$D$2004,'Status'!$F$6,'Estimates'!$E$5:$E$2004,'Status'!$E$7))))</x:f>
      </x:c>
      <x:c r="L51" s="14" t="str">
        <x:f>IF(OR(COUNTA($A51)=0,'Status'!$G$6=""),"",IF(COUNTIFS('Estimates'!$A$5:$A$2004,$A51,'Estimates'!$B$5:$B$2004,"PPS",'Estimates'!$D$5:$D$2004,'Status'!$G$6,'Estimates'!$E$5:$E$2004,'Status'!$E$7)=0,"",IF(COUNTIFS('Estimates'!$A$5:$A$2004,$A51,'Estimates'!$B$5:$B$2004,"PPS",'Estimates'!$D$5:$D$2004,'Status'!$G$6,'Estimates'!$E$5:$E$2004,'Status'!$E$7)&gt;1,"DUP",SUMIFS('Estimates'!$F$5:$F$2004,'Estimates'!$A$5:$A$2004,$A51,'Estimates'!$B$5:$B$2004,"PPS",'Estimates'!$D$5:$D$2004,'Status'!$G$6,'Estimates'!$E$5:$E$2004,'Status'!$E$7))))</x:f>
      </x:c>
      <x:c r="M51" s="14" t="str">
        <x:f>IF(COUNT(J51:L51)&lt;2,"",_xlfn.STDEV.S(J51:L51))</x:f>
      </x:c>
      <x:c r="N51" s="14" t="str">
        <x:f>IF(AND(ISNUMBER(K51),ISNUMBER(L51)),ABS(L51-K51),"")</x:f>
      </x:c>
      <x:c r="O51" s="15" t="str">
        <x:f>IF(AND(ISNUMBER(K51),ISNUMBER(L51)),IF(K51=0,"n.a.",ABS(L51-K51)/ABS(K51)),"")</x:f>
      </x:c>
      <x:c r="P51" s="2" t="str">
        <x:f>IF(COUNTA(A51)=0,"",IF(NOT(ISNUMBER('Status'!$B$6)),"Set tolerance",IF(COUNT(J51:L51)&lt;3,"Need 3 levels",IF(OR(J51=0,K51=0),"Use abs. Δ",IF(AND(ABS(K51-J51)/ABS(J51)&lt;='Status'!$B$6,O51&lt;='Status'!$B$6),"Yes","No")))))</x:f>
      </x:c>
      <x:c r="Q51" s="14" t="str">
        <x:f>IF(AND(ISNUMBER(E51),ISNUMBER(L51)),ABS(E51-L51),"")</x:f>
      </x:c>
      <x:c r="R51" s="2" t="str">
        <x:f>IF(COUNTA(A51)=0,"",IF(COUNT(C51:E51,J51:L51)&gt;0,1,0))</x:f>
      </x:c>
      <x:c r="S51" s="2" t="str">
        <x:f>IF(COUNTA(A51)=0,"",IF(COUNTIFS($A$6:$A$165,A51)&gt;1,"Duplicate target",""))</x:f>
      </x:c>
    </x:row>
    <x:row r="52">
      <x:c r="A52" s="6"/>
      <x:c r="B52" s="20"/>
      <x:c r="C52" s="14" t="str">
        <x:f>IF(OR(COUNTA($A52)=0,'Status'!$E$5=""),"",IF(COUNTIFS('Estimates'!$A$5:$A$2004,$A52,'Estimates'!$B$5:$B$2004,"MPS",'Estimates'!$C$5:$C$2004,'Status'!$E$5)=0,"",IF(COUNTIFS('Estimates'!$A$5:$A$2004,$A52,'Estimates'!$B$5:$B$2004,"MPS",'Estimates'!$C$5:$C$2004,'Status'!$E$5)&gt;1,"DUP",SUMIFS('Estimates'!$F$5:$F$2004,'Estimates'!$A$5:$A$2004,$A52,'Estimates'!$B$5:$B$2004,"MPS",'Estimates'!$C$5:$C$2004,'Status'!$E$5))))</x:f>
      </x:c>
      <x:c r="D52" s="14" t="str">
        <x:f>IF(OR(COUNTA($A52)=0,'Status'!$F$5=""),"",IF(COUNTIFS('Estimates'!$A$5:$A$2004,$A52,'Estimates'!$B$5:$B$2004,"MPS",'Estimates'!$C$5:$C$2004,'Status'!$F$5)=0,"",IF(COUNTIFS('Estimates'!$A$5:$A$2004,$A52,'Estimates'!$B$5:$B$2004,"MPS",'Estimates'!$C$5:$C$2004,'Status'!$F$5)&gt;1,"DUP",SUMIFS('Estimates'!$F$5:$F$2004,'Estimates'!$A$5:$A$2004,$A52,'Estimates'!$B$5:$B$2004,"MPS",'Estimates'!$C$5:$C$2004,'Status'!$F$5))))</x:f>
      </x:c>
      <x:c r="E52" s="14" t="str">
        <x:f>IF(OR(COUNTA($A52)=0,'Status'!$G$5=""),"",IF(COUNTIFS('Estimates'!$A$5:$A$2004,$A52,'Estimates'!$B$5:$B$2004,"MPS",'Estimates'!$C$5:$C$2004,'Status'!$G$5)=0,"",IF(COUNTIFS('Estimates'!$A$5:$A$2004,$A52,'Estimates'!$B$5:$B$2004,"MPS",'Estimates'!$C$5:$C$2004,'Status'!$G$5)&gt;1,"DUP",SUMIFS('Estimates'!$F$5:$F$2004,'Estimates'!$A$5:$A$2004,$A52,'Estimates'!$B$5:$B$2004,"MPS",'Estimates'!$C$5:$C$2004,'Status'!$G$5))))</x:f>
      </x:c>
      <x:c r="F52" s="14" t="str">
        <x:f>IF(COUNT(C52:E52)&lt;2,"",_xlfn.STDEV.S(C52:E52))</x:f>
      </x:c>
      <x:c r="G52" s="14" t="str">
        <x:f>IF(AND(ISNUMBER(D52),ISNUMBER(E52)),ABS(E52-D52),"")</x:f>
      </x:c>
      <x:c r="H52" s="15" t="str">
        <x:f>IF(AND(ISNUMBER(D52),ISNUMBER(E52)),IF(D52=0,"n.a.",ABS(E52-D52)/ABS(D52)),"")</x:f>
      </x:c>
      <x:c r="I52" s="2" t="str">
        <x:f>IF(COUNTA(A52)=0,"",IF(NOT(ISNUMBER('Status'!$B$6)),"Set tolerance",IF(COUNT(C52:E52)&lt;3,"Need 3 levels",IF(OR(C52=0,D52=0),"Use abs. Δ",IF(AND(ABS(D52-C52)/ABS(C52)&lt;='Status'!$B$6,H52&lt;='Status'!$B$6),"Yes","No")))))</x:f>
      </x:c>
      <x:c r="J52" s="14" t="str">
        <x:f>IF(OR(COUNTA($A52)=0,'Status'!$E$6=""),"",IF(COUNTIFS('Estimates'!$A$5:$A$2004,$A52,'Estimates'!$B$5:$B$2004,"PPS",'Estimates'!$D$5:$D$2004,'Status'!$E$6,'Estimates'!$E$5:$E$2004,'Status'!$E$7)=0,"",IF(COUNTIFS('Estimates'!$A$5:$A$2004,$A52,'Estimates'!$B$5:$B$2004,"PPS",'Estimates'!$D$5:$D$2004,'Status'!$E$6,'Estimates'!$E$5:$E$2004,'Status'!$E$7)&gt;1,"DUP",SUMIFS('Estimates'!$F$5:$F$2004,'Estimates'!$A$5:$A$2004,$A52,'Estimates'!$B$5:$B$2004,"PPS",'Estimates'!$D$5:$D$2004,'Status'!$E$6,'Estimates'!$E$5:$E$2004,'Status'!$E$7))))</x:f>
      </x:c>
      <x:c r="K52" s="14" t="str">
        <x:f>IF(OR(COUNTA($A52)=0,'Status'!$F$6=""),"",IF(COUNTIFS('Estimates'!$A$5:$A$2004,$A52,'Estimates'!$B$5:$B$2004,"PPS",'Estimates'!$D$5:$D$2004,'Status'!$F$6,'Estimates'!$E$5:$E$2004,'Status'!$E$7)=0,"",IF(COUNTIFS('Estimates'!$A$5:$A$2004,$A52,'Estimates'!$B$5:$B$2004,"PPS",'Estimates'!$D$5:$D$2004,'Status'!$F$6,'Estimates'!$E$5:$E$2004,'Status'!$E$7)&gt;1,"DUP",SUMIFS('Estimates'!$F$5:$F$2004,'Estimates'!$A$5:$A$2004,$A52,'Estimates'!$B$5:$B$2004,"PPS",'Estimates'!$D$5:$D$2004,'Status'!$F$6,'Estimates'!$E$5:$E$2004,'Status'!$E$7))))</x:f>
      </x:c>
      <x:c r="L52" s="14" t="str">
        <x:f>IF(OR(COUNTA($A52)=0,'Status'!$G$6=""),"",IF(COUNTIFS('Estimates'!$A$5:$A$2004,$A52,'Estimates'!$B$5:$B$2004,"PPS",'Estimates'!$D$5:$D$2004,'Status'!$G$6,'Estimates'!$E$5:$E$2004,'Status'!$E$7)=0,"",IF(COUNTIFS('Estimates'!$A$5:$A$2004,$A52,'Estimates'!$B$5:$B$2004,"PPS",'Estimates'!$D$5:$D$2004,'Status'!$G$6,'Estimates'!$E$5:$E$2004,'Status'!$E$7)&gt;1,"DUP",SUMIFS('Estimates'!$F$5:$F$2004,'Estimates'!$A$5:$A$2004,$A52,'Estimates'!$B$5:$B$2004,"PPS",'Estimates'!$D$5:$D$2004,'Status'!$G$6,'Estimates'!$E$5:$E$2004,'Status'!$E$7))))</x:f>
      </x:c>
      <x:c r="M52" s="14" t="str">
        <x:f>IF(COUNT(J52:L52)&lt;2,"",_xlfn.STDEV.S(J52:L52))</x:f>
      </x:c>
      <x:c r="N52" s="14" t="str">
        <x:f>IF(AND(ISNUMBER(K52),ISNUMBER(L52)),ABS(L52-K52),"")</x:f>
      </x:c>
      <x:c r="O52" s="15" t="str">
        <x:f>IF(AND(ISNUMBER(K52),ISNUMBER(L52)),IF(K52=0,"n.a.",ABS(L52-K52)/ABS(K52)),"")</x:f>
      </x:c>
      <x:c r="P52" s="2" t="str">
        <x:f>IF(COUNTA(A52)=0,"",IF(NOT(ISNUMBER('Status'!$B$6)),"Set tolerance",IF(COUNT(J52:L52)&lt;3,"Need 3 levels",IF(OR(J52=0,K52=0),"Use abs. Δ",IF(AND(ABS(K52-J52)/ABS(J52)&lt;='Status'!$B$6,O52&lt;='Status'!$B$6),"Yes","No")))))</x:f>
      </x:c>
      <x:c r="Q52" s="14" t="str">
        <x:f>IF(AND(ISNUMBER(E52),ISNUMBER(L52)),ABS(E52-L52),"")</x:f>
      </x:c>
      <x:c r="R52" s="2" t="str">
        <x:f>IF(COUNTA(A52)=0,"",IF(COUNT(C52:E52,J52:L52)&gt;0,1,0))</x:f>
      </x:c>
      <x:c r="S52" s="2" t="str">
        <x:f>IF(COUNTA(A52)=0,"",IF(COUNTIFS($A$6:$A$165,A52)&gt;1,"Duplicate target",""))</x:f>
      </x:c>
    </x:row>
    <x:row r="53">
      <x:c r="A53" s="6"/>
      <x:c r="B53" s="20"/>
      <x:c r="C53" s="14" t="str">
        <x:f>IF(OR(COUNTA($A53)=0,'Status'!$E$5=""),"",IF(COUNTIFS('Estimates'!$A$5:$A$2004,$A53,'Estimates'!$B$5:$B$2004,"MPS",'Estimates'!$C$5:$C$2004,'Status'!$E$5)=0,"",IF(COUNTIFS('Estimates'!$A$5:$A$2004,$A53,'Estimates'!$B$5:$B$2004,"MPS",'Estimates'!$C$5:$C$2004,'Status'!$E$5)&gt;1,"DUP",SUMIFS('Estimates'!$F$5:$F$2004,'Estimates'!$A$5:$A$2004,$A53,'Estimates'!$B$5:$B$2004,"MPS",'Estimates'!$C$5:$C$2004,'Status'!$E$5))))</x:f>
      </x:c>
      <x:c r="D53" s="14" t="str">
        <x:f>IF(OR(COUNTA($A53)=0,'Status'!$F$5=""),"",IF(COUNTIFS('Estimates'!$A$5:$A$2004,$A53,'Estimates'!$B$5:$B$2004,"MPS",'Estimates'!$C$5:$C$2004,'Status'!$F$5)=0,"",IF(COUNTIFS('Estimates'!$A$5:$A$2004,$A53,'Estimates'!$B$5:$B$2004,"MPS",'Estimates'!$C$5:$C$2004,'Status'!$F$5)&gt;1,"DUP",SUMIFS('Estimates'!$F$5:$F$2004,'Estimates'!$A$5:$A$2004,$A53,'Estimates'!$B$5:$B$2004,"MPS",'Estimates'!$C$5:$C$2004,'Status'!$F$5))))</x:f>
      </x:c>
      <x:c r="E53" s="14" t="str">
        <x:f>IF(OR(COUNTA($A53)=0,'Status'!$G$5=""),"",IF(COUNTIFS('Estimates'!$A$5:$A$2004,$A53,'Estimates'!$B$5:$B$2004,"MPS",'Estimates'!$C$5:$C$2004,'Status'!$G$5)=0,"",IF(COUNTIFS('Estimates'!$A$5:$A$2004,$A53,'Estimates'!$B$5:$B$2004,"MPS",'Estimates'!$C$5:$C$2004,'Status'!$G$5)&gt;1,"DUP",SUMIFS('Estimates'!$F$5:$F$2004,'Estimates'!$A$5:$A$2004,$A53,'Estimates'!$B$5:$B$2004,"MPS",'Estimates'!$C$5:$C$2004,'Status'!$G$5))))</x:f>
      </x:c>
      <x:c r="F53" s="14" t="str">
        <x:f>IF(COUNT(C53:E53)&lt;2,"",_xlfn.STDEV.S(C53:E53))</x:f>
      </x:c>
      <x:c r="G53" s="14" t="str">
        <x:f>IF(AND(ISNUMBER(D53),ISNUMBER(E53)),ABS(E53-D53),"")</x:f>
      </x:c>
      <x:c r="H53" s="15" t="str">
        <x:f>IF(AND(ISNUMBER(D53),ISNUMBER(E53)),IF(D53=0,"n.a.",ABS(E53-D53)/ABS(D53)),"")</x:f>
      </x:c>
      <x:c r="I53" s="2" t="str">
        <x:f>IF(COUNTA(A53)=0,"",IF(NOT(ISNUMBER('Status'!$B$6)),"Set tolerance",IF(COUNT(C53:E53)&lt;3,"Need 3 levels",IF(OR(C53=0,D53=0),"Use abs. Δ",IF(AND(ABS(D53-C53)/ABS(C53)&lt;='Status'!$B$6,H53&lt;='Status'!$B$6),"Yes","No")))))</x:f>
      </x:c>
      <x:c r="J53" s="14" t="str">
        <x:f>IF(OR(COUNTA($A53)=0,'Status'!$E$6=""),"",IF(COUNTIFS('Estimates'!$A$5:$A$2004,$A53,'Estimates'!$B$5:$B$2004,"PPS",'Estimates'!$D$5:$D$2004,'Status'!$E$6,'Estimates'!$E$5:$E$2004,'Status'!$E$7)=0,"",IF(COUNTIFS('Estimates'!$A$5:$A$2004,$A53,'Estimates'!$B$5:$B$2004,"PPS",'Estimates'!$D$5:$D$2004,'Status'!$E$6,'Estimates'!$E$5:$E$2004,'Status'!$E$7)&gt;1,"DUP",SUMIFS('Estimates'!$F$5:$F$2004,'Estimates'!$A$5:$A$2004,$A53,'Estimates'!$B$5:$B$2004,"PPS",'Estimates'!$D$5:$D$2004,'Status'!$E$6,'Estimates'!$E$5:$E$2004,'Status'!$E$7))))</x:f>
      </x:c>
      <x:c r="K53" s="14" t="str">
        <x:f>IF(OR(COUNTA($A53)=0,'Status'!$F$6=""),"",IF(COUNTIFS('Estimates'!$A$5:$A$2004,$A53,'Estimates'!$B$5:$B$2004,"PPS",'Estimates'!$D$5:$D$2004,'Status'!$F$6,'Estimates'!$E$5:$E$2004,'Status'!$E$7)=0,"",IF(COUNTIFS('Estimates'!$A$5:$A$2004,$A53,'Estimates'!$B$5:$B$2004,"PPS",'Estimates'!$D$5:$D$2004,'Status'!$F$6,'Estimates'!$E$5:$E$2004,'Status'!$E$7)&gt;1,"DUP",SUMIFS('Estimates'!$F$5:$F$2004,'Estimates'!$A$5:$A$2004,$A53,'Estimates'!$B$5:$B$2004,"PPS",'Estimates'!$D$5:$D$2004,'Status'!$F$6,'Estimates'!$E$5:$E$2004,'Status'!$E$7))))</x:f>
      </x:c>
      <x:c r="L53" s="14" t="str">
        <x:f>IF(OR(COUNTA($A53)=0,'Status'!$G$6=""),"",IF(COUNTIFS('Estimates'!$A$5:$A$2004,$A53,'Estimates'!$B$5:$B$2004,"PPS",'Estimates'!$D$5:$D$2004,'Status'!$G$6,'Estimates'!$E$5:$E$2004,'Status'!$E$7)=0,"",IF(COUNTIFS('Estimates'!$A$5:$A$2004,$A53,'Estimates'!$B$5:$B$2004,"PPS",'Estimates'!$D$5:$D$2004,'Status'!$G$6,'Estimates'!$E$5:$E$2004,'Status'!$E$7)&gt;1,"DUP",SUMIFS('Estimates'!$F$5:$F$2004,'Estimates'!$A$5:$A$2004,$A53,'Estimates'!$B$5:$B$2004,"PPS",'Estimates'!$D$5:$D$2004,'Status'!$G$6,'Estimates'!$E$5:$E$2004,'Status'!$E$7))))</x:f>
      </x:c>
      <x:c r="M53" s="14" t="str">
        <x:f>IF(COUNT(J53:L53)&lt;2,"",_xlfn.STDEV.S(J53:L53))</x:f>
      </x:c>
      <x:c r="N53" s="14" t="str">
        <x:f>IF(AND(ISNUMBER(K53),ISNUMBER(L53)),ABS(L53-K53),"")</x:f>
      </x:c>
      <x:c r="O53" s="15" t="str">
        <x:f>IF(AND(ISNUMBER(K53),ISNUMBER(L53)),IF(K53=0,"n.a.",ABS(L53-K53)/ABS(K53)),"")</x:f>
      </x:c>
      <x:c r="P53" s="2" t="str">
        <x:f>IF(COUNTA(A53)=0,"",IF(NOT(ISNUMBER('Status'!$B$6)),"Set tolerance",IF(COUNT(J53:L53)&lt;3,"Need 3 levels",IF(OR(J53=0,K53=0),"Use abs. Δ",IF(AND(ABS(K53-J53)/ABS(J53)&lt;='Status'!$B$6,O53&lt;='Status'!$B$6),"Yes","No")))))</x:f>
      </x:c>
      <x:c r="Q53" s="14" t="str">
        <x:f>IF(AND(ISNUMBER(E53),ISNUMBER(L53)),ABS(E53-L53),"")</x:f>
      </x:c>
      <x:c r="R53" s="2" t="str">
        <x:f>IF(COUNTA(A53)=0,"",IF(COUNT(C53:E53,J53:L53)&gt;0,1,0))</x:f>
      </x:c>
      <x:c r="S53" s="2" t="str">
        <x:f>IF(COUNTA(A53)=0,"",IF(COUNTIFS($A$6:$A$165,A53)&gt;1,"Duplicate target",""))</x:f>
      </x:c>
    </x:row>
    <x:row r="54">
      <x:c r="A54" s="6"/>
      <x:c r="B54" s="20"/>
      <x:c r="C54" s="14" t="str">
        <x:f>IF(OR(COUNTA($A54)=0,'Status'!$E$5=""),"",IF(COUNTIFS('Estimates'!$A$5:$A$2004,$A54,'Estimates'!$B$5:$B$2004,"MPS",'Estimates'!$C$5:$C$2004,'Status'!$E$5)=0,"",IF(COUNTIFS('Estimates'!$A$5:$A$2004,$A54,'Estimates'!$B$5:$B$2004,"MPS",'Estimates'!$C$5:$C$2004,'Status'!$E$5)&gt;1,"DUP",SUMIFS('Estimates'!$F$5:$F$2004,'Estimates'!$A$5:$A$2004,$A54,'Estimates'!$B$5:$B$2004,"MPS",'Estimates'!$C$5:$C$2004,'Status'!$E$5))))</x:f>
      </x:c>
      <x:c r="D54" s="14" t="str">
        <x:f>IF(OR(COUNTA($A54)=0,'Status'!$F$5=""),"",IF(COUNTIFS('Estimates'!$A$5:$A$2004,$A54,'Estimates'!$B$5:$B$2004,"MPS",'Estimates'!$C$5:$C$2004,'Status'!$F$5)=0,"",IF(COUNTIFS('Estimates'!$A$5:$A$2004,$A54,'Estimates'!$B$5:$B$2004,"MPS",'Estimates'!$C$5:$C$2004,'Status'!$F$5)&gt;1,"DUP",SUMIFS('Estimates'!$F$5:$F$2004,'Estimates'!$A$5:$A$2004,$A54,'Estimates'!$B$5:$B$2004,"MPS",'Estimates'!$C$5:$C$2004,'Status'!$F$5))))</x:f>
      </x:c>
      <x:c r="E54" s="14" t="str">
        <x:f>IF(OR(COUNTA($A54)=0,'Status'!$G$5=""),"",IF(COUNTIFS('Estimates'!$A$5:$A$2004,$A54,'Estimates'!$B$5:$B$2004,"MPS",'Estimates'!$C$5:$C$2004,'Status'!$G$5)=0,"",IF(COUNTIFS('Estimates'!$A$5:$A$2004,$A54,'Estimates'!$B$5:$B$2004,"MPS",'Estimates'!$C$5:$C$2004,'Status'!$G$5)&gt;1,"DUP",SUMIFS('Estimates'!$F$5:$F$2004,'Estimates'!$A$5:$A$2004,$A54,'Estimates'!$B$5:$B$2004,"MPS",'Estimates'!$C$5:$C$2004,'Status'!$G$5))))</x:f>
      </x:c>
      <x:c r="F54" s="14" t="str">
        <x:f>IF(COUNT(C54:E54)&lt;2,"",_xlfn.STDEV.S(C54:E54))</x:f>
      </x:c>
      <x:c r="G54" s="14" t="str">
        <x:f>IF(AND(ISNUMBER(D54),ISNUMBER(E54)),ABS(E54-D54),"")</x:f>
      </x:c>
      <x:c r="H54" s="15" t="str">
        <x:f>IF(AND(ISNUMBER(D54),ISNUMBER(E54)),IF(D54=0,"n.a.",ABS(E54-D54)/ABS(D54)),"")</x:f>
      </x:c>
      <x:c r="I54" s="2" t="str">
        <x:f>IF(COUNTA(A54)=0,"",IF(NOT(ISNUMBER('Status'!$B$6)),"Set tolerance",IF(COUNT(C54:E54)&lt;3,"Need 3 levels",IF(OR(C54=0,D54=0),"Use abs. Δ",IF(AND(ABS(D54-C54)/ABS(C54)&lt;='Status'!$B$6,H54&lt;='Status'!$B$6),"Yes","No")))))</x:f>
      </x:c>
      <x:c r="J54" s="14" t="str">
        <x:f>IF(OR(COUNTA($A54)=0,'Status'!$E$6=""),"",IF(COUNTIFS('Estimates'!$A$5:$A$2004,$A54,'Estimates'!$B$5:$B$2004,"PPS",'Estimates'!$D$5:$D$2004,'Status'!$E$6,'Estimates'!$E$5:$E$2004,'Status'!$E$7)=0,"",IF(COUNTIFS('Estimates'!$A$5:$A$2004,$A54,'Estimates'!$B$5:$B$2004,"PPS",'Estimates'!$D$5:$D$2004,'Status'!$E$6,'Estimates'!$E$5:$E$2004,'Status'!$E$7)&gt;1,"DUP",SUMIFS('Estimates'!$F$5:$F$2004,'Estimates'!$A$5:$A$2004,$A54,'Estimates'!$B$5:$B$2004,"PPS",'Estimates'!$D$5:$D$2004,'Status'!$E$6,'Estimates'!$E$5:$E$2004,'Status'!$E$7))))</x:f>
      </x:c>
      <x:c r="K54" s="14" t="str">
        <x:f>IF(OR(COUNTA($A54)=0,'Status'!$F$6=""),"",IF(COUNTIFS('Estimates'!$A$5:$A$2004,$A54,'Estimates'!$B$5:$B$2004,"PPS",'Estimates'!$D$5:$D$2004,'Status'!$F$6,'Estimates'!$E$5:$E$2004,'Status'!$E$7)=0,"",IF(COUNTIFS('Estimates'!$A$5:$A$2004,$A54,'Estimates'!$B$5:$B$2004,"PPS",'Estimates'!$D$5:$D$2004,'Status'!$F$6,'Estimates'!$E$5:$E$2004,'Status'!$E$7)&gt;1,"DUP",SUMIFS('Estimates'!$F$5:$F$2004,'Estimates'!$A$5:$A$2004,$A54,'Estimates'!$B$5:$B$2004,"PPS",'Estimates'!$D$5:$D$2004,'Status'!$F$6,'Estimates'!$E$5:$E$2004,'Status'!$E$7))))</x:f>
      </x:c>
      <x:c r="L54" s="14" t="str">
        <x:f>IF(OR(COUNTA($A54)=0,'Status'!$G$6=""),"",IF(COUNTIFS('Estimates'!$A$5:$A$2004,$A54,'Estimates'!$B$5:$B$2004,"PPS",'Estimates'!$D$5:$D$2004,'Status'!$G$6,'Estimates'!$E$5:$E$2004,'Status'!$E$7)=0,"",IF(COUNTIFS('Estimates'!$A$5:$A$2004,$A54,'Estimates'!$B$5:$B$2004,"PPS",'Estimates'!$D$5:$D$2004,'Status'!$G$6,'Estimates'!$E$5:$E$2004,'Status'!$E$7)&gt;1,"DUP",SUMIFS('Estimates'!$F$5:$F$2004,'Estimates'!$A$5:$A$2004,$A54,'Estimates'!$B$5:$B$2004,"PPS",'Estimates'!$D$5:$D$2004,'Status'!$G$6,'Estimates'!$E$5:$E$2004,'Status'!$E$7))))</x:f>
      </x:c>
      <x:c r="M54" s="14" t="str">
        <x:f>IF(COUNT(J54:L54)&lt;2,"",_xlfn.STDEV.S(J54:L54))</x:f>
      </x:c>
      <x:c r="N54" s="14" t="str">
        <x:f>IF(AND(ISNUMBER(K54),ISNUMBER(L54)),ABS(L54-K54),"")</x:f>
      </x:c>
      <x:c r="O54" s="15" t="str">
        <x:f>IF(AND(ISNUMBER(K54),ISNUMBER(L54)),IF(K54=0,"n.a.",ABS(L54-K54)/ABS(K54)),"")</x:f>
      </x:c>
      <x:c r="P54" s="2" t="str">
        <x:f>IF(COUNTA(A54)=0,"",IF(NOT(ISNUMBER('Status'!$B$6)),"Set tolerance",IF(COUNT(J54:L54)&lt;3,"Need 3 levels",IF(OR(J54=0,K54=0),"Use abs. Δ",IF(AND(ABS(K54-J54)/ABS(J54)&lt;='Status'!$B$6,O54&lt;='Status'!$B$6),"Yes","No")))))</x:f>
      </x:c>
      <x:c r="Q54" s="14" t="str">
        <x:f>IF(AND(ISNUMBER(E54),ISNUMBER(L54)),ABS(E54-L54),"")</x:f>
      </x:c>
      <x:c r="R54" s="2" t="str">
        <x:f>IF(COUNTA(A54)=0,"",IF(COUNT(C54:E54,J54:L54)&gt;0,1,0))</x:f>
      </x:c>
      <x:c r="S54" s="2" t="str">
        <x:f>IF(COUNTA(A54)=0,"",IF(COUNTIFS($A$6:$A$165,A54)&gt;1,"Duplicate target",""))</x:f>
      </x:c>
    </x:row>
    <x:row r="55">
      <x:c r="A55" s="6"/>
      <x:c r="B55" s="20"/>
      <x:c r="C55" s="14" t="str">
        <x:f>IF(OR(COUNTA($A55)=0,'Status'!$E$5=""),"",IF(COUNTIFS('Estimates'!$A$5:$A$2004,$A55,'Estimates'!$B$5:$B$2004,"MPS",'Estimates'!$C$5:$C$2004,'Status'!$E$5)=0,"",IF(COUNTIFS('Estimates'!$A$5:$A$2004,$A55,'Estimates'!$B$5:$B$2004,"MPS",'Estimates'!$C$5:$C$2004,'Status'!$E$5)&gt;1,"DUP",SUMIFS('Estimates'!$F$5:$F$2004,'Estimates'!$A$5:$A$2004,$A55,'Estimates'!$B$5:$B$2004,"MPS",'Estimates'!$C$5:$C$2004,'Status'!$E$5))))</x:f>
      </x:c>
      <x:c r="D55" s="14" t="str">
        <x:f>IF(OR(COUNTA($A55)=0,'Status'!$F$5=""),"",IF(COUNTIFS('Estimates'!$A$5:$A$2004,$A55,'Estimates'!$B$5:$B$2004,"MPS",'Estimates'!$C$5:$C$2004,'Status'!$F$5)=0,"",IF(COUNTIFS('Estimates'!$A$5:$A$2004,$A55,'Estimates'!$B$5:$B$2004,"MPS",'Estimates'!$C$5:$C$2004,'Status'!$F$5)&gt;1,"DUP",SUMIFS('Estimates'!$F$5:$F$2004,'Estimates'!$A$5:$A$2004,$A55,'Estimates'!$B$5:$B$2004,"MPS",'Estimates'!$C$5:$C$2004,'Status'!$F$5))))</x:f>
      </x:c>
      <x:c r="E55" s="14" t="str">
        <x:f>IF(OR(COUNTA($A55)=0,'Status'!$G$5=""),"",IF(COUNTIFS('Estimates'!$A$5:$A$2004,$A55,'Estimates'!$B$5:$B$2004,"MPS",'Estimates'!$C$5:$C$2004,'Status'!$G$5)=0,"",IF(COUNTIFS('Estimates'!$A$5:$A$2004,$A55,'Estimates'!$B$5:$B$2004,"MPS",'Estimates'!$C$5:$C$2004,'Status'!$G$5)&gt;1,"DUP",SUMIFS('Estimates'!$F$5:$F$2004,'Estimates'!$A$5:$A$2004,$A55,'Estimates'!$B$5:$B$2004,"MPS",'Estimates'!$C$5:$C$2004,'Status'!$G$5))))</x:f>
      </x:c>
      <x:c r="F55" s="14" t="str">
        <x:f>IF(COUNT(C55:E55)&lt;2,"",_xlfn.STDEV.S(C55:E55))</x:f>
      </x:c>
      <x:c r="G55" s="14" t="str">
        <x:f>IF(AND(ISNUMBER(D55),ISNUMBER(E55)),ABS(E55-D55),"")</x:f>
      </x:c>
      <x:c r="H55" s="15" t="str">
        <x:f>IF(AND(ISNUMBER(D55),ISNUMBER(E55)),IF(D55=0,"n.a.",ABS(E55-D55)/ABS(D55)),"")</x:f>
      </x:c>
      <x:c r="I55" s="2" t="str">
        <x:f>IF(COUNTA(A55)=0,"",IF(NOT(ISNUMBER('Status'!$B$6)),"Set tolerance",IF(COUNT(C55:E55)&lt;3,"Need 3 levels",IF(OR(C55=0,D55=0),"Use abs. Δ",IF(AND(ABS(D55-C55)/ABS(C55)&lt;='Status'!$B$6,H55&lt;='Status'!$B$6),"Yes","No")))))</x:f>
      </x:c>
      <x:c r="J55" s="14" t="str">
        <x:f>IF(OR(COUNTA($A55)=0,'Status'!$E$6=""),"",IF(COUNTIFS('Estimates'!$A$5:$A$2004,$A55,'Estimates'!$B$5:$B$2004,"PPS",'Estimates'!$D$5:$D$2004,'Status'!$E$6,'Estimates'!$E$5:$E$2004,'Status'!$E$7)=0,"",IF(COUNTIFS('Estimates'!$A$5:$A$2004,$A55,'Estimates'!$B$5:$B$2004,"PPS",'Estimates'!$D$5:$D$2004,'Status'!$E$6,'Estimates'!$E$5:$E$2004,'Status'!$E$7)&gt;1,"DUP",SUMIFS('Estimates'!$F$5:$F$2004,'Estimates'!$A$5:$A$2004,$A55,'Estimates'!$B$5:$B$2004,"PPS",'Estimates'!$D$5:$D$2004,'Status'!$E$6,'Estimates'!$E$5:$E$2004,'Status'!$E$7))))</x:f>
      </x:c>
      <x:c r="K55" s="14" t="str">
        <x:f>IF(OR(COUNTA($A55)=0,'Status'!$F$6=""),"",IF(COUNTIFS('Estimates'!$A$5:$A$2004,$A55,'Estimates'!$B$5:$B$2004,"PPS",'Estimates'!$D$5:$D$2004,'Status'!$F$6,'Estimates'!$E$5:$E$2004,'Status'!$E$7)=0,"",IF(COUNTIFS('Estimates'!$A$5:$A$2004,$A55,'Estimates'!$B$5:$B$2004,"PPS",'Estimates'!$D$5:$D$2004,'Status'!$F$6,'Estimates'!$E$5:$E$2004,'Status'!$E$7)&gt;1,"DUP",SUMIFS('Estimates'!$F$5:$F$2004,'Estimates'!$A$5:$A$2004,$A55,'Estimates'!$B$5:$B$2004,"PPS",'Estimates'!$D$5:$D$2004,'Status'!$F$6,'Estimates'!$E$5:$E$2004,'Status'!$E$7))))</x:f>
      </x:c>
      <x:c r="L55" s="14" t="str">
        <x:f>IF(OR(COUNTA($A55)=0,'Status'!$G$6=""),"",IF(COUNTIFS('Estimates'!$A$5:$A$2004,$A55,'Estimates'!$B$5:$B$2004,"PPS",'Estimates'!$D$5:$D$2004,'Status'!$G$6,'Estimates'!$E$5:$E$2004,'Status'!$E$7)=0,"",IF(COUNTIFS('Estimates'!$A$5:$A$2004,$A55,'Estimates'!$B$5:$B$2004,"PPS",'Estimates'!$D$5:$D$2004,'Status'!$G$6,'Estimates'!$E$5:$E$2004,'Status'!$E$7)&gt;1,"DUP",SUMIFS('Estimates'!$F$5:$F$2004,'Estimates'!$A$5:$A$2004,$A55,'Estimates'!$B$5:$B$2004,"PPS",'Estimates'!$D$5:$D$2004,'Status'!$G$6,'Estimates'!$E$5:$E$2004,'Status'!$E$7))))</x:f>
      </x:c>
      <x:c r="M55" s="14" t="str">
        <x:f>IF(COUNT(J55:L55)&lt;2,"",_xlfn.STDEV.S(J55:L55))</x:f>
      </x:c>
      <x:c r="N55" s="14" t="str">
        <x:f>IF(AND(ISNUMBER(K55),ISNUMBER(L55)),ABS(L55-K55),"")</x:f>
      </x:c>
      <x:c r="O55" s="15" t="str">
        <x:f>IF(AND(ISNUMBER(K55),ISNUMBER(L55)),IF(K55=0,"n.a.",ABS(L55-K55)/ABS(K55)),"")</x:f>
      </x:c>
      <x:c r="P55" s="2" t="str">
        <x:f>IF(COUNTA(A55)=0,"",IF(NOT(ISNUMBER('Status'!$B$6)),"Set tolerance",IF(COUNT(J55:L55)&lt;3,"Need 3 levels",IF(OR(J55=0,K55=0),"Use abs. Δ",IF(AND(ABS(K55-J55)/ABS(J55)&lt;='Status'!$B$6,O55&lt;='Status'!$B$6),"Yes","No")))))</x:f>
      </x:c>
      <x:c r="Q55" s="14" t="str">
        <x:f>IF(AND(ISNUMBER(E55),ISNUMBER(L55)),ABS(E55-L55),"")</x:f>
      </x:c>
      <x:c r="R55" s="2" t="str">
        <x:f>IF(COUNTA(A55)=0,"",IF(COUNT(C55:E55,J55:L55)&gt;0,1,0))</x:f>
      </x:c>
      <x:c r="S55" s="2" t="str">
        <x:f>IF(COUNTA(A55)=0,"",IF(COUNTIFS($A$6:$A$165,A55)&gt;1,"Duplicate target",""))</x:f>
      </x:c>
    </x:row>
    <x:row r="56">
      <x:c r="A56" s="6"/>
      <x:c r="B56" s="20"/>
      <x:c r="C56" s="14" t="str">
        <x:f>IF(OR(COUNTA($A56)=0,'Status'!$E$5=""),"",IF(COUNTIFS('Estimates'!$A$5:$A$2004,$A56,'Estimates'!$B$5:$B$2004,"MPS",'Estimates'!$C$5:$C$2004,'Status'!$E$5)=0,"",IF(COUNTIFS('Estimates'!$A$5:$A$2004,$A56,'Estimates'!$B$5:$B$2004,"MPS",'Estimates'!$C$5:$C$2004,'Status'!$E$5)&gt;1,"DUP",SUMIFS('Estimates'!$F$5:$F$2004,'Estimates'!$A$5:$A$2004,$A56,'Estimates'!$B$5:$B$2004,"MPS",'Estimates'!$C$5:$C$2004,'Status'!$E$5))))</x:f>
      </x:c>
      <x:c r="D56" s="14" t="str">
        <x:f>IF(OR(COUNTA($A56)=0,'Status'!$F$5=""),"",IF(COUNTIFS('Estimates'!$A$5:$A$2004,$A56,'Estimates'!$B$5:$B$2004,"MPS",'Estimates'!$C$5:$C$2004,'Status'!$F$5)=0,"",IF(COUNTIFS('Estimates'!$A$5:$A$2004,$A56,'Estimates'!$B$5:$B$2004,"MPS",'Estimates'!$C$5:$C$2004,'Status'!$F$5)&gt;1,"DUP",SUMIFS('Estimates'!$F$5:$F$2004,'Estimates'!$A$5:$A$2004,$A56,'Estimates'!$B$5:$B$2004,"MPS",'Estimates'!$C$5:$C$2004,'Status'!$F$5))))</x:f>
      </x:c>
      <x:c r="E56" s="14" t="str">
        <x:f>IF(OR(COUNTA($A56)=0,'Status'!$G$5=""),"",IF(COUNTIFS('Estimates'!$A$5:$A$2004,$A56,'Estimates'!$B$5:$B$2004,"MPS",'Estimates'!$C$5:$C$2004,'Status'!$G$5)=0,"",IF(COUNTIFS('Estimates'!$A$5:$A$2004,$A56,'Estimates'!$B$5:$B$2004,"MPS",'Estimates'!$C$5:$C$2004,'Status'!$G$5)&gt;1,"DUP",SUMIFS('Estimates'!$F$5:$F$2004,'Estimates'!$A$5:$A$2004,$A56,'Estimates'!$B$5:$B$2004,"MPS",'Estimates'!$C$5:$C$2004,'Status'!$G$5))))</x:f>
      </x:c>
      <x:c r="F56" s="14" t="str">
        <x:f>IF(COUNT(C56:E56)&lt;2,"",_xlfn.STDEV.S(C56:E56))</x:f>
      </x:c>
      <x:c r="G56" s="14" t="str">
        <x:f>IF(AND(ISNUMBER(D56),ISNUMBER(E56)),ABS(E56-D56),"")</x:f>
      </x:c>
      <x:c r="H56" s="15" t="str">
        <x:f>IF(AND(ISNUMBER(D56),ISNUMBER(E56)),IF(D56=0,"n.a.",ABS(E56-D56)/ABS(D56)),"")</x:f>
      </x:c>
      <x:c r="I56" s="2" t="str">
        <x:f>IF(COUNTA(A56)=0,"",IF(NOT(ISNUMBER('Status'!$B$6)),"Set tolerance",IF(COUNT(C56:E56)&lt;3,"Need 3 levels",IF(OR(C56=0,D56=0),"Use abs. Δ",IF(AND(ABS(D56-C56)/ABS(C56)&lt;='Status'!$B$6,H56&lt;='Status'!$B$6),"Yes","No")))))</x:f>
      </x:c>
      <x:c r="J56" s="14" t="str">
        <x:f>IF(OR(COUNTA($A56)=0,'Status'!$E$6=""),"",IF(COUNTIFS('Estimates'!$A$5:$A$2004,$A56,'Estimates'!$B$5:$B$2004,"PPS",'Estimates'!$D$5:$D$2004,'Status'!$E$6,'Estimates'!$E$5:$E$2004,'Status'!$E$7)=0,"",IF(COUNTIFS('Estimates'!$A$5:$A$2004,$A56,'Estimates'!$B$5:$B$2004,"PPS",'Estimates'!$D$5:$D$2004,'Status'!$E$6,'Estimates'!$E$5:$E$2004,'Status'!$E$7)&gt;1,"DUP",SUMIFS('Estimates'!$F$5:$F$2004,'Estimates'!$A$5:$A$2004,$A56,'Estimates'!$B$5:$B$2004,"PPS",'Estimates'!$D$5:$D$2004,'Status'!$E$6,'Estimates'!$E$5:$E$2004,'Status'!$E$7))))</x:f>
      </x:c>
      <x:c r="K56" s="14" t="str">
        <x:f>IF(OR(COUNTA($A56)=0,'Status'!$F$6=""),"",IF(COUNTIFS('Estimates'!$A$5:$A$2004,$A56,'Estimates'!$B$5:$B$2004,"PPS",'Estimates'!$D$5:$D$2004,'Status'!$F$6,'Estimates'!$E$5:$E$2004,'Status'!$E$7)=0,"",IF(COUNTIFS('Estimates'!$A$5:$A$2004,$A56,'Estimates'!$B$5:$B$2004,"PPS",'Estimates'!$D$5:$D$2004,'Status'!$F$6,'Estimates'!$E$5:$E$2004,'Status'!$E$7)&gt;1,"DUP",SUMIFS('Estimates'!$F$5:$F$2004,'Estimates'!$A$5:$A$2004,$A56,'Estimates'!$B$5:$B$2004,"PPS",'Estimates'!$D$5:$D$2004,'Status'!$F$6,'Estimates'!$E$5:$E$2004,'Status'!$E$7))))</x:f>
      </x:c>
      <x:c r="L56" s="14" t="str">
        <x:f>IF(OR(COUNTA($A56)=0,'Status'!$G$6=""),"",IF(COUNTIFS('Estimates'!$A$5:$A$2004,$A56,'Estimates'!$B$5:$B$2004,"PPS",'Estimates'!$D$5:$D$2004,'Status'!$G$6,'Estimates'!$E$5:$E$2004,'Status'!$E$7)=0,"",IF(COUNTIFS('Estimates'!$A$5:$A$2004,$A56,'Estimates'!$B$5:$B$2004,"PPS",'Estimates'!$D$5:$D$2004,'Status'!$G$6,'Estimates'!$E$5:$E$2004,'Status'!$E$7)&gt;1,"DUP",SUMIFS('Estimates'!$F$5:$F$2004,'Estimates'!$A$5:$A$2004,$A56,'Estimates'!$B$5:$B$2004,"PPS",'Estimates'!$D$5:$D$2004,'Status'!$G$6,'Estimates'!$E$5:$E$2004,'Status'!$E$7))))</x:f>
      </x:c>
      <x:c r="M56" s="14" t="str">
        <x:f>IF(COUNT(J56:L56)&lt;2,"",_xlfn.STDEV.S(J56:L56))</x:f>
      </x:c>
      <x:c r="N56" s="14" t="str">
        <x:f>IF(AND(ISNUMBER(K56),ISNUMBER(L56)),ABS(L56-K56),"")</x:f>
      </x:c>
      <x:c r="O56" s="15" t="str">
        <x:f>IF(AND(ISNUMBER(K56),ISNUMBER(L56)),IF(K56=0,"n.a.",ABS(L56-K56)/ABS(K56)),"")</x:f>
      </x:c>
      <x:c r="P56" s="2" t="str">
        <x:f>IF(COUNTA(A56)=0,"",IF(NOT(ISNUMBER('Status'!$B$6)),"Set tolerance",IF(COUNT(J56:L56)&lt;3,"Need 3 levels",IF(OR(J56=0,K56=0),"Use abs. Δ",IF(AND(ABS(K56-J56)/ABS(J56)&lt;='Status'!$B$6,O56&lt;='Status'!$B$6),"Yes","No")))))</x:f>
      </x:c>
      <x:c r="Q56" s="14" t="str">
        <x:f>IF(AND(ISNUMBER(E56),ISNUMBER(L56)),ABS(E56-L56),"")</x:f>
      </x:c>
      <x:c r="R56" s="2" t="str">
        <x:f>IF(COUNTA(A56)=0,"",IF(COUNT(C56:E56,J56:L56)&gt;0,1,0))</x:f>
      </x:c>
      <x:c r="S56" s="2" t="str">
        <x:f>IF(COUNTA(A56)=0,"",IF(COUNTIFS($A$6:$A$165,A56)&gt;1,"Duplicate target",""))</x:f>
      </x:c>
    </x:row>
    <x:row r="57">
      <x:c r="A57" s="6"/>
      <x:c r="B57" s="20"/>
      <x:c r="C57" s="14" t="str">
        <x:f>IF(OR(COUNTA($A57)=0,'Status'!$E$5=""),"",IF(COUNTIFS('Estimates'!$A$5:$A$2004,$A57,'Estimates'!$B$5:$B$2004,"MPS",'Estimates'!$C$5:$C$2004,'Status'!$E$5)=0,"",IF(COUNTIFS('Estimates'!$A$5:$A$2004,$A57,'Estimates'!$B$5:$B$2004,"MPS",'Estimates'!$C$5:$C$2004,'Status'!$E$5)&gt;1,"DUP",SUMIFS('Estimates'!$F$5:$F$2004,'Estimates'!$A$5:$A$2004,$A57,'Estimates'!$B$5:$B$2004,"MPS",'Estimates'!$C$5:$C$2004,'Status'!$E$5))))</x:f>
      </x:c>
      <x:c r="D57" s="14" t="str">
        <x:f>IF(OR(COUNTA($A57)=0,'Status'!$F$5=""),"",IF(COUNTIFS('Estimates'!$A$5:$A$2004,$A57,'Estimates'!$B$5:$B$2004,"MPS",'Estimates'!$C$5:$C$2004,'Status'!$F$5)=0,"",IF(COUNTIFS('Estimates'!$A$5:$A$2004,$A57,'Estimates'!$B$5:$B$2004,"MPS",'Estimates'!$C$5:$C$2004,'Status'!$F$5)&gt;1,"DUP",SUMIFS('Estimates'!$F$5:$F$2004,'Estimates'!$A$5:$A$2004,$A57,'Estimates'!$B$5:$B$2004,"MPS",'Estimates'!$C$5:$C$2004,'Status'!$F$5))))</x:f>
      </x:c>
      <x:c r="E57" s="14" t="str">
        <x:f>IF(OR(COUNTA($A57)=0,'Status'!$G$5=""),"",IF(COUNTIFS('Estimates'!$A$5:$A$2004,$A57,'Estimates'!$B$5:$B$2004,"MPS",'Estimates'!$C$5:$C$2004,'Status'!$G$5)=0,"",IF(COUNTIFS('Estimates'!$A$5:$A$2004,$A57,'Estimates'!$B$5:$B$2004,"MPS",'Estimates'!$C$5:$C$2004,'Status'!$G$5)&gt;1,"DUP",SUMIFS('Estimates'!$F$5:$F$2004,'Estimates'!$A$5:$A$2004,$A57,'Estimates'!$B$5:$B$2004,"MPS",'Estimates'!$C$5:$C$2004,'Status'!$G$5))))</x:f>
      </x:c>
      <x:c r="F57" s="14" t="str">
        <x:f>IF(COUNT(C57:E57)&lt;2,"",_xlfn.STDEV.S(C57:E57))</x:f>
      </x:c>
      <x:c r="G57" s="14" t="str">
        <x:f>IF(AND(ISNUMBER(D57),ISNUMBER(E57)),ABS(E57-D57),"")</x:f>
      </x:c>
      <x:c r="H57" s="15" t="str">
        <x:f>IF(AND(ISNUMBER(D57),ISNUMBER(E57)),IF(D57=0,"n.a.",ABS(E57-D57)/ABS(D57)),"")</x:f>
      </x:c>
      <x:c r="I57" s="2" t="str">
        <x:f>IF(COUNTA(A57)=0,"",IF(NOT(ISNUMBER('Status'!$B$6)),"Set tolerance",IF(COUNT(C57:E57)&lt;3,"Need 3 levels",IF(OR(C57=0,D57=0),"Use abs. Δ",IF(AND(ABS(D57-C57)/ABS(C57)&lt;='Status'!$B$6,H57&lt;='Status'!$B$6),"Yes","No")))))</x:f>
      </x:c>
      <x:c r="J57" s="14" t="str">
        <x:f>IF(OR(COUNTA($A57)=0,'Status'!$E$6=""),"",IF(COUNTIFS('Estimates'!$A$5:$A$2004,$A57,'Estimates'!$B$5:$B$2004,"PPS",'Estimates'!$D$5:$D$2004,'Status'!$E$6,'Estimates'!$E$5:$E$2004,'Status'!$E$7)=0,"",IF(COUNTIFS('Estimates'!$A$5:$A$2004,$A57,'Estimates'!$B$5:$B$2004,"PPS",'Estimates'!$D$5:$D$2004,'Status'!$E$6,'Estimates'!$E$5:$E$2004,'Status'!$E$7)&gt;1,"DUP",SUMIFS('Estimates'!$F$5:$F$2004,'Estimates'!$A$5:$A$2004,$A57,'Estimates'!$B$5:$B$2004,"PPS",'Estimates'!$D$5:$D$2004,'Status'!$E$6,'Estimates'!$E$5:$E$2004,'Status'!$E$7))))</x:f>
      </x:c>
      <x:c r="K57" s="14" t="str">
        <x:f>IF(OR(COUNTA($A57)=0,'Status'!$F$6=""),"",IF(COUNTIFS('Estimates'!$A$5:$A$2004,$A57,'Estimates'!$B$5:$B$2004,"PPS",'Estimates'!$D$5:$D$2004,'Status'!$F$6,'Estimates'!$E$5:$E$2004,'Status'!$E$7)=0,"",IF(COUNTIFS('Estimates'!$A$5:$A$2004,$A57,'Estimates'!$B$5:$B$2004,"PPS",'Estimates'!$D$5:$D$2004,'Status'!$F$6,'Estimates'!$E$5:$E$2004,'Status'!$E$7)&gt;1,"DUP",SUMIFS('Estimates'!$F$5:$F$2004,'Estimates'!$A$5:$A$2004,$A57,'Estimates'!$B$5:$B$2004,"PPS",'Estimates'!$D$5:$D$2004,'Status'!$F$6,'Estimates'!$E$5:$E$2004,'Status'!$E$7))))</x:f>
      </x:c>
      <x:c r="L57" s="14" t="str">
        <x:f>IF(OR(COUNTA($A57)=0,'Status'!$G$6=""),"",IF(COUNTIFS('Estimates'!$A$5:$A$2004,$A57,'Estimates'!$B$5:$B$2004,"PPS",'Estimates'!$D$5:$D$2004,'Status'!$G$6,'Estimates'!$E$5:$E$2004,'Status'!$E$7)=0,"",IF(COUNTIFS('Estimates'!$A$5:$A$2004,$A57,'Estimates'!$B$5:$B$2004,"PPS",'Estimates'!$D$5:$D$2004,'Status'!$G$6,'Estimates'!$E$5:$E$2004,'Status'!$E$7)&gt;1,"DUP",SUMIFS('Estimates'!$F$5:$F$2004,'Estimates'!$A$5:$A$2004,$A57,'Estimates'!$B$5:$B$2004,"PPS",'Estimates'!$D$5:$D$2004,'Status'!$G$6,'Estimates'!$E$5:$E$2004,'Status'!$E$7))))</x:f>
      </x:c>
      <x:c r="M57" s="14" t="str">
        <x:f>IF(COUNT(J57:L57)&lt;2,"",_xlfn.STDEV.S(J57:L57))</x:f>
      </x:c>
      <x:c r="N57" s="14" t="str">
        <x:f>IF(AND(ISNUMBER(K57),ISNUMBER(L57)),ABS(L57-K57),"")</x:f>
      </x:c>
      <x:c r="O57" s="15" t="str">
        <x:f>IF(AND(ISNUMBER(K57),ISNUMBER(L57)),IF(K57=0,"n.a.",ABS(L57-K57)/ABS(K57)),"")</x:f>
      </x:c>
      <x:c r="P57" s="2" t="str">
        <x:f>IF(COUNTA(A57)=0,"",IF(NOT(ISNUMBER('Status'!$B$6)),"Set tolerance",IF(COUNT(J57:L57)&lt;3,"Need 3 levels",IF(OR(J57=0,K57=0),"Use abs. Δ",IF(AND(ABS(K57-J57)/ABS(J57)&lt;='Status'!$B$6,O57&lt;='Status'!$B$6),"Yes","No")))))</x:f>
      </x:c>
      <x:c r="Q57" s="14" t="str">
        <x:f>IF(AND(ISNUMBER(E57),ISNUMBER(L57)),ABS(E57-L57),"")</x:f>
      </x:c>
      <x:c r="R57" s="2" t="str">
        <x:f>IF(COUNTA(A57)=0,"",IF(COUNT(C57:E57,J57:L57)&gt;0,1,0))</x:f>
      </x:c>
      <x:c r="S57" s="2" t="str">
        <x:f>IF(COUNTA(A57)=0,"",IF(COUNTIFS($A$6:$A$165,A57)&gt;1,"Duplicate target",""))</x:f>
      </x:c>
    </x:row>
    <x:row r="58">
      <x:c r="A58" s="6"/>
      <x:c r="B58" s="20"/>
      <x:c r="C58" s="14" t="str">
        <x:f>IF(OR(COUNTA($A58)=0,'Status'!$E$5=""),"",IF(COUNTIFS('Estimates'!$A$5:$A$2004,$A58,'Estimates'!$B$5:$B$2004,"MPS",'Estimates'!$C$5:$C$2004,'Status'!$E$5)=0,"",IF(COUNTIFS('Estimates'!$A$5:$A$2004,$A58,'Estimates'!$B$5:$B$2004,"MPS",'Estimates'!$C$5:$C$2004,'Status'!$E$5)&gt;1,"DUP",SUMIFS('Estimates'!$F$5:$F$2004,'Estimates'!$A$5:$A$2004,$A58,'Estimates'!$B$5:$B$2004,"MPS",'Estimates'!$C$5:$C$2004,'Status'!$E$5))))</x:f>
      </x:c>
      <x:c r="D58" s="14" t="str">
        <x:f>IF(OR(COUNTA($A58)=0,'Status'!$F$5=""),"",IF(COUNTIFS('Estimates'!$A$5:$A$2004,$A58,'Estimates'!$B$5:$B$2004,"MPS",'Estimates'!$C$5:$C$2004,'Status'!$F$5)=0,"",IF(COUNTIFS('Estimates'!$A$5:$A$2004,$A58,'Estimates'!$B$5:$B$2004,"MPS",'Estimates'!$C$5:$C$2004,'Status'!$F$5)&gt;1,"DUP",SUMIFS('Estimates'!$F$5:$F$2004,'Estimates'!$A$5:$A$2004,$A58,'Estimates'!$B$5:$B$2004,"MPS",'Estimates'!$C$5:$C$2004,'Status'!$F$5))))</x:f>
      </x:c>
      <x:c r="E58" s="14" t="str">
        <x:f>IF(OR(COUNTA($A58)=0,'Status'!$G$5=""),"",IF(COUNTIFS('Estimates'!$A$5:$A$2004,$A58,'Estimates'!$B$5:$B$2004,"MPS",'Estimates'!$C$5:$C$2004,'Status'!$G$5)=0,"",IF(COUNTIFS('Estimates'!$A$5:$A$2004,$A58,'Estimates'!$B$5:$B$2004,"MPS",'Estimates'!$C$5:$C$2004,'Status'!$G$5)&gt;1,"DUP",SUMIFS('Estimates'!$F$5:$F$2004,'Estimates'!$A$5:$A$2004,$A58,'Estimates'!$B$5:$B$2004,"MPS",'Estimates'!$C$5:$C$2004,'Status'!$G$5))))</x:f>
      </x:c>
      <x:c r="F58" s="14" t="str">
        <x:f>IF(COUNT(C58:E58)&lt;2,"",_xlfn.STDEV.S(C58:E58))</x:f>
      </x:c>
      <x:c r="G58" s="14" t="str">
        <x:f>IF(AND(ISNUMBER(D58),ISNUMBER(E58)),ABS(E58-D58),"")</x:f>
      </x:c>
      <x:c r="H58" s="15" t="str">
        <x:f>IF(AND(ISNUMBER(D58),ISNUMBER(E58)),IF(D58=0,"n.a.",ABS(E58-D58)/ABS(D58)),"")</x:f>
      </x:c>
      <x:c r="I58" s="2" t="str">
        <x:f>IF(COUNTA(A58)=0,"",IF(NOT(ISNUMBER('Status'!$B$6)),"Set tolerance",IF(COUNT(C58:E58)&lt;3,"Need 3 levels",IF(OR(C58=0,D58=0),"Use abs. Δ",IF(AND(ABS(D58-C58)/ABS(C58)&lt;='Status'!$B$6,H58&lt;='Status'!$B$6),"Yes","No")))))</x:f>
      </x:c>
      <x:c r="J58" s="14" t="str">
        <x:f>IF(OR(COUNTA($A58)=0,'Status'!$E$6=""),"",IF(COUNTIFS('Estimates'!$A$5:$A$2004,$A58,'Estimates'!$B$5:$B$2004,"PPS",'Estimates'!$D$5:$D$2004,'Status'!$E$6,'Estimates'!$E$5:$E$2004,'Status'!$E$7)=0,"",IF(COUNTIFS('Estimates'!$A$5:$A$2004,$A58,'Estimates'!$B$5:$B$2004,"PPS",'Estimates'!$D$5:$D$2004,'Status'!$E$6,'Estimates'!$E$5:$E$2004,'Status'!$E$7)&gt;1,"DUP",SUMIFS('Estimates'!$F$5:$F$2004,'Estimates'!$A$5:$A$2004,$A58,'Estimates'!$B$5:$B$2004,"PPS",'Estimates'!$D$5:$D$2004,'Status'!$E$6,'Estimates'!$E$5:$E$2004,'Status'!$E$7))))</x:f>
      </x:c>
      <x:c r="K58" s="14" t="str">
        <x:f>IF(OR(COUNTA($A58)=0,'Status'!$F$6=""),"",IF(COUNTIFS('Estimates'!$A$5:$A$2004,$A58,'Estimates'!$B$5:$B$2004,"PPS",'Estimates'!$D$5:$D$2004,'Status'!$F$6,'Estimates'!$E$5:$E$2004,'Status'!$E$7)=0,"",IF(COUNTIFS('Estimates'!$A$5:$A$2004,$A58,'Estimates'!$B$5:$B$2004,"PPS",'Estimates'!$D$5:$D$2004,'Status'!$F$6,'Estimates'!$E$5:$E$2004,'Status'!$E$7)&gt;1,"DUP",SUMIFS('Estimates'!$F$5:$F$2004,'Estimates'!$A$5:$A$2004,$A58,'Estimates'!$B$5:$B$2004,"PPS",'Estimates'!$D$5:$D$2004,'Status'!$F$6,'Estimates'!$E$5:$E$2004,'Status'!$E$7))))</x:f>
      </x:c>
      <x:c r="L58" s="14" t="str">
        <x:f>IF(OR(COUNTA($A58)=0,'Status'!$G$6=""),"",IF(COUNTIFS('Estimates'!$A$5:$A$2004,$A58,'Estimates'!$B$5:$B$2004,"PPS",'Estimates'!$D$5:$D$2004,'Status'!$G$6,'Estimates'!$E$5:$E$2004,'Status'!$E$7)=0,"",IF(COUNTIFS('Estimates'!$A$5:$A$2004,$A58,'Estimates'!$B$5:$B$2004,"PPS",'Estimates'!$D$5:$D$2004,'Status'!$G$6,'Estimates'!$E$5:$E$2004,'Status'!$E$7)&gt;1,"DUP",SUMIFS('Estimates'!$F$5:$F$2004,'Estimates'!$A$5:$A$2004,$A58,'Estimates'!$B$5:$B$2004,"PPS",'Estimates'!$D$5:$D$2004,'Status'!$G$6,'Estimates'!$E$5:$E$2004,'Status'!$E$7))))</x:f>
      </x:c>
      <x:c r="M58" s="14" t="str">
        <x:f>IF(COUNT(J58:L58)&lt;2,"",_xlfn.STDEV.S(J58:L58))</x:f>
      </x:c>
      <x:c r="N58" s="14" t="str">
        <x:f>IF(AND(ISNUMBER(K58),ISNUMBER(L58)),ABS(L58-K58),"")</x:f>
      </x:c>
      <x:c r="O58" s="15" t="str">
        <x:f>IF(AND(ISNUMBER(K58),ISNUMBER(L58)),IF(K58=0,"n.a.",ABS(L58-K58)/ABS(K58)),"")</x:f>
      </x:c>
      <x:c r="P58" s="2" t="str">
        <x:f>IF(COUNTA(A58)=0,"",IF(NOT(ISNUMBER('Status'!$B$6)),"Set tolerance",IF(COUNT(J58:L58)&lt;3,"Need 3 levels",IF(OR(J58=0,K58=0),"Use abs. Δ",IF(AND(ABS(K58-J58)/ABS(J58)&lt;='Status'!$B$6,O58&lt;='Status'!$B$6),"Yes","No")))))</x:f>
      </x:c>
      <x:c r="Q58" s="14" t="str">
        <x:f>IF(AND(ISNUMBER(E58),ISNUMBER(L58)),ABS(E58-L58),"")</x:f>
      </x:c>
      <x:c r="R58" s="2" t="str">
        <x:f>IF(COUNTA(A58)=0,"",IF(COUNT(C58:E58,J58:L58)&gt;0,1,0))</x:f>
      </x:c>
      <x:c r="S58" s="2" t="str">
        <x:f>IF(COUNTA(A58)=0,"",IF(COUNTIFS($A$6:$A$165,A58)&gt;1,"Duplicate target",""))</x:f>
      </x:c>
    </x:row>
    <x:row r="59">
      <x:c r="A59" s="6"/>
      <x:c r="B59" s="20"/>
      <x:c r="C59" s="14" t="str">
        <x:f>IF(OR(COUNTA($A59)=0,'Status'!$E$5=""),"",IF(COUNTIFS('Estimates'!$A$5:$A$2004,$A59,'Estimates'!$B$5:$B$2004,"MPS",'Estimates'!$C$5:$C$2004,'Status'!$E$5)=0,"",IF(COUNTIFS('Estimates'!$A$5:$A$2004,$A59,'Estimates'!$B$5:$B$2004,"MPS",'Estimates'!$C$5:$C$2004,'Status'!$E$5)&gt;1,"DUP",SUMIFS('Estimates'!$F$5:$F$2004,'Estimates'!$A$5:$A$2004,$A59,'Estimates'!$B$5:$B$2004,"MPS",'Estimates'!$C$5:$C$2004,'Status'!$E$5))))</x:f>
      </x:c>
      <x:c r="D59" s="14" t="str">
        <x:f>IF(OR(COUNTA($A59)=0,'Status'!$F$5=""),"",IF(COUNTIFS('Estimates'!$A$5:$A$2004,$A59,'Estimates'!$B$5:$B$2004,"MPS",'Estimates'!$C$5:$C$2004,'Status'!$F$5)=0,"",IF(COUNTIFS('Estimates'!$A$5:$A$2004,$A59,'Estimates'!$B$5:$B$2004,"MPS",'Estimates'!$C$5:$C$2004,'Status'!$F$5)&gt;1,"DUP",SUMIFS('Estimates'!$F$5:$F$2004,'Estimates'!$A$5:$A$2004,$A59,'Estimates'!$B$5:$B$2004,"MPS",'Estimates'!$C$5:$C$2004,'Status'!$F$5))))</x:f>
      </x:c>
      <x:c r="E59" s="14" t="str">
        <x:f>IF(OR(COUNTA($A59)=0,'Status'!$G$5=""),"",IF(COUNTIFS('Estimates'!$A$5:$A$2004,$A59,'Estimates'!$B$5:$B$2004,"MPS",'Estimates'!$C$5:$C$2004,'Status'!$G$5)=0,"",IF(COUNTIFS('Estimates'!$A$5:$A$2004,$A59,'Estimates'!$B$5:$B$2004,"MPS",'Estimates'!$C$5:$C$2004,'Status'!$G$5)&gt;1,"DUP",SUMIFS('Estimates'!$F$5:$F$2004,'Estimates'!$A$5:$A$2004,$A59,'Estimates'!$B$5:$B$2004,"MPS",'Estimates'!$C$5:$C$2004,'Status'!$G$5))))</x:f>
      </x:c>
      <x:c r="F59" s="14" t="str">
        <x:f>IF(COUNT(C59:E59)&lt;2,"",_xlfn.STDEV.S(C59:E59))</x:f>
      </x:c>
      <x:c r="G59" s="14" t="str">
        <x:f>IF(AND(ISNUMBER(D59),ISNUMBER(E59)),ABS(E59-D59),"")</x:f>
      </x:c>
      <x:c r="H59" s="15" t="str">
        <x:f>IF(AND(ISNUMBER(D59),ISNUMBER(E59)),IF(D59=0,"n.a.",ABS(E59-D59)/ABS(D59)),"")</x:f>
      </x:c>
      <x:c r="I59" s="2" t="str">
        <x:f>IF(COUNTA(A59)=0,"",IF(NOT(ISNUMBER('Status'!$B$6)),"Set tolerance",IF(COUNT(C59:E59)&lt;3,"Need 3 levels",IF(OR(C59=0,D59=0),"Use abs. Δ",IF(AND(ABS(D59-C59)/ABS(C59)&lt;='Status'!$B$6,H59&lt;='Status'!$B$6),"Yes","No")))))</x:f>
      </x:c>
      <x:c r="J59" s="14" t="str">
        <x:f>IF(OR(COUNTA($A59)=0,'Status'!$E$6=""),"",IF(COUNTIFS('Estimates'!$A$5:$A$2004,$A59,'Estimates'!$B$5:$B$2004,"PPS",'Estimates'!$D$5:$D$2004,'Status'!$E$6,'Estimates'!$E$5:$E$2004,'Status'!$E$7)=0,"",IF(COUNTIFS('Estimates'!$A$5:$A$2004,$A59,'Estimates'!$B$5:$B$2004,"PPS",'Estimates'!$D$5:$D$2004,'Status'!$E$6,'Estimates'!$E$5:$E$2004,'Status'!$E$7)&gt;1,"DUP",SUMIFS('Estimates'!$F$5:$F$2004,'Estimates'!$A$5:$A$2004,$A59,'Estimates'!$B$5:$B$2004,"PPS",'Estimates'!$D$5:$D$2004,'Status'!$E$6,'Estimates'!$E$5:$E$2004,'Status'!$E$7))))</x:f>
      </x:c>
      <x:c r="K59" s="14" t="str">
        <x:f>IF(OR(COUNTA($A59)=0,'Status'!$F$6=""),"",IF(COUNTIFS('Estimates'!$A$5:$A$2004,$A59,'Estimates'!$B$5:$B$2004,"PPS",'Estimates'!$D$5:$D$2004,'Status'!$F$6,'Estimates'!$E$5:$E$2004,'Status'!$E$7)=0,"",IF(COUNTIFS('Estimates'!$A$5:$A$2004,$A59,'Estimates'!$B$5:$B$2004,"PPS",'Estimates'!$D$5:$D$2004,'Status'!$F$6,'Estimates'!$E$5:$E$2004,'Status'!$E$7)&gt;1,"DUP",SUMIFS('Estimates'!$F$5:$F$2004,'Estimates'!$A$5:$A$2004,$A59,'Estimates'!$B$5:$B$2004,"PPS",'Estimates'!$D$5:$D$2004,'Status'!$F$6,'Estimates'!$E$5:$E$2004,'Status'!$E$7))))</x:f>
      </x:c>
      <x:c r="L59" s="14" t="str">
        <x:f>IF(OR(COUNTA($A59)=0,'Status'!$G$6=""),"",IF(COUNTIFS('Estimates'!$A$5:$A$2004,$A59,'Estimates'!$B$5:$B$2004,"PPS",'Estimates'!$D$5:$D$2004,'Status'!$G$6,'Estimates'!$E$5:$E$2004,'Status'!$E$7)=0,"",IF(COUNTIFS('Estimates'!$A$5:$A$2004,$A59,'Estimates'!$B$5:$B$2004,"PPS",'Estimates'!$D$5:$D$2004,'Status'!$G$6,'Estimates'!$E$5:$E$2004,'Status'!$E$7)&gt;1,"DUP",SUMIFS('Estimates'!$F$5:$F$2004,'Estimates'!$A$5:$A$2004,$A59,'Estimates'!$B$5:$B$2004,"PPS",'Estimates'!$D$5:$D$2004,'Status'!$G$6,'Estimates'!$E$5:$E$2004,'Status'!$E$7))))</x:f>
      </x:c>
      <x:c r="M59" s="14" t="str">
        <x:f>IF(COUNT(J59:L59)&lt;2,"",_xlfn.STDEV.S(J59:L59))</x:f>
      </x:c>
      <x:c r="N59" s="14" t="str">
        <x:f>IF(AND(ISNUMBER(K59),ISNUMBER(L59)),ABS(L59-K59),"")</x:f>
      </x:c>
      <x:c r="O59" s="15" t="str">
        <x:f>IF(AND(ISNUMBER(K59),ISNUMBER(L59)),IF(K59=0,"n.a.",ABS(L59-K59)/ABS(K59)),"")</x:f>
      </x:c>
      <x:c r="P59" s="2" t="str">
        <x:f>IF(COUNTA(A59)=0,"",IF(NOT(ISNUMBER('Status'!$B$6)),"Set tolerance",IF(COUNT(J59:L59)&lt;3,"Need 3 levels",IF(OR(J59=0,K59=0),"Use abs. Δ",IF(AND(ABS(K59-J59)/ABS(J59)&lt;='Status'!$B$6,O59&lt;='Status'!$B$6),"Yes","No")))))</x:f>
      </x:c>
      <x:c r="Q59" s="14" t="str">
        <x:f>IF(AND(ISNUMBER(E59),ISNUMBER(L59)),ABS(E59-L59),"")</x:f>
      </x:c>
      <x:c r="R59" s="2" t="str">
        <x:f>IF(COUNTA(A59)=0,"",IF(COUNT(C59:E59,J59:L59)&gt;0,1,0))</x:f>
      </x:c>
      <x:c r="S59" s="2" t="str">
        <x:f>IF(COUNTA(A59)=0,"",IF(COUNTIFS($A$6:$A$165,A59)&gt;1,"Duplicate target",""))</x:f>
      </x:c>
    </x:row>
    <x:row r="60">
      <x:c r="A60" s="6"/>
      <x:c r="B60" s="20"/>
      <x:c r="C60" s="14" t="str">
        <x:f>IF(OR(COUNTA($A60)=0,'Status'!$E$5=""),"",IF(COUNTIFS('Estimates'!$A$5:$A$2004,$A60,'Estimates'!$B$5:$B$2004,"MPS",'Estimates'!$C$5:$C$2004,'Status'!$E$5)=0,"",IF(COUNTIFS('Estimates'!$A$5:$A$2004,$A60,'Estimates'!$B$5:$B$2004,"MPS",'Estimates'!$C$5:$C$2004,'Status'!$E$5)&gt;1,"DUP",SUMIFS('Estimates'!$F$5:$F$2004,'Estimates'!$A$5:$A$2004,$A60,'Estimates'!$B$5:$B$2004,"MPS",'Estimates'!$C$5:$C$2004,'Status'!$E$5))))</x:f>
      </x:c>
      <x:c r="D60" s="14" t="str">
        <x:f>IF(OR(COUNTA($A60)=0,'Status'!$F$5=""),"",IF(COUNTIFS('Estimates'!$A$5:$A$2004,$A60,'Estimates'!$B$5:$B$2004,"MPS",'Estimates'!$C$5:$C$2004,'Status'!$F$5)=0,"",IF(COUNTIFS('Estimates'!$A$5:$A$2004,$A60,'Estimates'!$B$5:$B$2004,"MPS",'Estimates'!$C$5:$C$2004,'Status'!$F$5)&gt;1,"DUP",SUMIFS('Estimates'!$F$5:$F$2004,'Estimates'!$A$5:$A$2004,$A60,'Estimates'!$B$5:$B$2004,"MPS",'Estimates'!$C$5:$C$2004,'Status'!$F$5))))</x:f>
      </x:c>
      <x:c r="E60" s="14" t="str">
        <x:f>IF(OR(COUNTA($A60)=0,'Status'!$G$5=""),"",IF(COUNTIFS('Estimates'!$A$5:$A$2004,$A60,'Estimates'!$B$5:$B$2004,"MPS",'Estimates'!$C$5:$C$2004,'Status'!$G$5)=0,"",IF(COUNTIFS('Estimates'!$A$5:$A$2004,$A60,'Estimates'!$B$5:$B$2004,"MPS",'Estimates'!$C$5:$C$2004,'Status'!$G$5)&gt;1,"DUP",SUMIFS('Estimates'!$F$5:$F$2004,'Estimates'!$A$5:$A$2004,$A60,'Estimates'!$B$5:$B$2004,"MPS",'Estimates'!$C$5:$C$2004,'Status'!$G$5))))</x:f>
      </x:c>
      <x:c r="F60" s="14" t="str">
        <x:f>IF(COUNT(C60:E60)&lt;2,"",_xlfn.STDEV.S(C60:E60))</x:f>
      </x:c>
      <x:c r="G60" s="14" t="str">
        <x:f>IF(AND(ISNUMBER(D60),ISNUMBER(E60)),ABS(E60-D60),"")</x:f>
      </x:c>
      <x:c r="H60" s="15" t="str">
        <x:f>IF(AND(ISNUMBER(D60),ISNUMBER(E60)),IF(D60=0,"n.a.",ABS(E60-D60)/ABS(D60)),"")</x:f>
      </x:c>
      <x:c r="I60" s="2" t="str">
        <x:f>IF(COUNTA(A60)=0,"",IF(NOT(ISNUMBER('Status'!$B$6)),"Set tolerance",IF(COUNT(C60:E60)&lt;3,"Need 3 levels",IF(OR(C60=0,D60=0),"Use abs. Δ",IF(AND(ABS(D60-C60)/ABS(C60)&lt;='Status'!$B$6,H60&lt;='Status'!$B$6),"Yes","No")))))</x:f>
      </x:c>
      <x:c r="J60" s="14" t="str">
        <x:f>IF(OR(COUNTA($A60)=0,'Status'!$E$6=""),"",IF(COUNTIFS('Estimates'!$A$5:$A$2004,$A60,'Estimates'!$B$5:$B$2004,"PPS",'Estimates'!$D$5:$D$2004,'Status'!$E$6,'Estimates'!$E$5:$E$2004,'Status'!$E$7)=0,"",IF(COUNTIFS('Estimates'!$A$5:$A$2004,$A60,'Estimates'!$B$5:$B$2004,"PPS",'Estimates'!$D$5:$D$2004,'Status'!$E$6,'Estimates'!$E$5:$E$2004,'Status'!$E$7)&gt;1,"DUP",SUMIFS('Estimates'!$F$5:$F$2004,'Estimates'!$A$5:$A$2004,$A60,'Estimates'!$B$5:$B$2004,"PPS",'Estimates'!$D$5:$D$2004,'Status'!$E$6,'Estimates'!$E$5:$E$2004,'Status'!$E$7))))</x:f>
      </x:c>
      <x:c r="K60" s="14" t="str">
        <x:f>IF(OR(COUNTA($A60)=0,'Status'!$F$6=""),"",IF(COUNTIFS('Estimates'!$A$5:$A$2004,$A60,'Estimates'!$B$5:$B$2004,"PPS",'Estimates'!$D$5:$D$2004,'Status'!$F$6,'Estimates'!$E$5:$E$2004,'Status'!$E$7)=0,"",IF(COUNTIFS('Estimates'!$A$5:$A$2004,$A60,'Estimates'!$B$5:$B$2004,"PPS",'Estimates'!$D$5:$D$2004,'Status'!$F$6,'Estimates'!$E$5:$E$2004,'Status'!$E$7)&gt;1,"DUP",SUMIFS('Estimates'!$F$5:$F$2004,'Estimates'!$A$5:$A$2004,$A60,'Estimates'!$B$5:$B$2004,"PPS",'Estimates'!$D$5:$D$2004,'Status'!$F$6,'Estimates'!$E$5:$E$2004,'Status'!$E$7))))</x:f>
      </x:c>
      <x:c r="L60" s="14" t="str">
        <x:f>IF(OR(COUNTA($A60)=0,'Status'!$G$6=""),"",IF(COUNTIFS('Estimates'!$A$5:$A$2004,$A60,'Estimates'!$B$5:$B$2004,"PPS",'Estimates'!$D$5:$D$2004,'Status'!$G$6,'Estimates'!$E$5:$E$2004,'Status'!$E$7)=0,"",IF(COUNTIFS('Estimates'!$A$5:$A$2004,$A60,'Estimates'!$B$5:$B$2004,"PPS",'Estimates'!$D$5:$D$2004,'Status'!$G$6,'Estimates'!$E$5:$E$2004,'Status'!$E$7)&gt;1,"DUP",SUMIFS('Estimates'!$F$5:$F$2004,'Estimates'!$A$5:$A$2004,$A60,'Estimates'!$B$5:$B$2004,"PPS",'Estimates'!$D$5:$D$2004,'Status'!$G$6,'Estimates'!$E$5:$E$2004,'Status'!$E$7))))</x:f>
      </x:c>
      <x:c r="M60" s="14" t="str">
        <x:f>IF(COUNT(J60:L60)&lt;2,"",_xlfn.STDEV.S(J60:L60))</x:f>
      </x:c>
      <x:c r="N60" s="14" t="str">
        <x:f>IF(AND(ISNUMBER(K60),ISNUMBER(L60)),ABS(L60-K60),"")</x:f>
      </x:c>
      <x:c r="O60" s="15" t="str">
        <x:f>IF(AND(ISNUMBER(K60),ISNUMBER(L60)),IF(K60=0,"n.a.",ABS(L60-K60)/ABS(K60)),"")</x:f>
      </x:c>
      <x:c r="P60" s="2" t="str">
        <x:f>IF(COUNTA(A60)=0,"",IF(NOT(ISNUMBER('Status'!$B$6)),"Set tolerance",IF(COUNT(J60:L60)&lt;3,"Need 3 levels",IF(OR(J60=0,K60=0),"Use abs. Δ",IF(AND(ABS(K60-J60)/ABS(J60)&lt;='Status'!$B$6,O60&lt;='Status'!$B$6),"Yes","No")))))</x:f>
      </x:c>
      <x:c r="Q60" s="14" t="str">
        <x:f>IF(AND(ISNUMBER(E60),ISNUMBER(L60)),ABS(E60-L60),"")</x:f>
      </x:c>
      <x:c r="R60" s="2" t="str">
        <x:f>IF(COUNTA(A60)=0,"",IF(COUNT(C60:E60,J60:L60)&gt;0,1,0))</x:f>
      </x:c>
      <x:c r="S60" s="2" t="str">
        <x:f>IF(COUNTA(A60)=0,"",IF(COUNTIFS($A$6:$A$165,A60)&gt;1,"Duplicate target",""))</x:f>
      </x:c>
    </x:row>
    <x:row r="61">
      <x:c r="A61" s="6"/>
      <x:c r="B61" s="20"/>
      <x:c r="C61" s="14" t="str">
        <x:f>IF(OR(COUNTA($A61)=0,'Status'!$E$5=""),"",IF(COUNTIFS('Estimates'!$A$5:$A$2004,$A61,'Estimates'!$B$5:$B$2004,"MPS",'Estimates'!$C$5:$C$2004,'Status'!$E$5)=0,"",IF(COUNTIFS('Estimates'!$A$5:$A$2004,$A61,'Estimates'!$B$5:$B$2004,"MPS",'Estimates'!$C$5:$C$2004,'Status'!$E$5)&gt;1,"DUP",SUMIFS('Estimates'!$F$5:$F$2004,'Estimates'!$A$5:$A$2004,$A61,'Estimates'!$B$5:$B$2004,"MPS",'Estimates'!$C$5:$C$2004,'Status'!$E$5))))</x:f>
      </x:c>
      <x:c r="D61" s="14" t="str">
        <x:f>IF(OR(COUNTA($A61)=0,'Status'!$F$5=""),"",IF(COUNTIFS('Estimates'!$A$5:$A$2004,$A61,'Estimates'!$B$5:$B$2004,"MPS",'Estimates'!$C$5:$C$2004,'Status'!$F$5)=0,"",IF(COUNTIFS('Estimates'!$A$5:$A$2004,$A61,'Estimates'!$B$5:$B$2004,"MPS",'Estimates'!$C$5:$C$2004,'Status'!$F$5)&gt;1,"DUP",SUMIFS('Estimates'!$F$5:$F$2004,'Estimates'!$A$5:$A$2004,$A61,'Estimates'!$B$5:$B$2004,"MPS",'Estimates'!$C$5:$C$2004,'Status'!$F$5))))</x:f>
      </x:c>
      <x:c r="E61" s="14" t="str">
        <x:f>IF(OR(COUNTA($A61)=0,'Status'!$G$5=""),"",IF(COUNTIFS('Estimates'!$A$5:$A$2004,$A61,'Estimates'!$B$5:$B$2004,"MPS",'Estimates'!$C$5:$C$2004,'Status'!$G$5)=0,"",IF(COUNTIFS('Estimates'!$A$5:$A$2004,$A61,'Estimates'!$B$5:$B$2004,"MPS",'Estimates'!$C$5:$C$2004,'Status'!$G$5)&gt;1,"DUP",SUMIFS('Estimates'!$F$5:$F$2004,'Estimates'!$A$5:$A$2004,$A61,'Estimates'!$B$5:$B$2004,"MPS",'Estimates'!$C$5:$C$2004,'Status'!$G$5))))</x:f>
      </x:c>
      <x:c r="F61" s="14" t="str">
        <x:f>IF(COUNT(C61:E61)&lt;2,"",_xlfn.STDEV.S(C61:E61))</x:f>
      </x:c>
      <x:c r="G61" s="14" t="str">
        <x:f>IF(AND(ISNUMBER(D61),ISNUMBER(E61)),ABS(E61-D61),"")</x:f>
      </x:c>
      <x:c r="H61" s="15" t="str">
        <x:f>IF(AND(ISNUMBER(D61),ISNUMBER(E61)),IF(D61=0,"n.a.",ABS(E61-D61)/ABS(D61)),"")</x:f>
      </x:c>
      <x:c r="I61" s="2" t="str">
        <x:f>IF(COUNTA(A61)=0,"",IF(NOT(ISNUMBER('Status'!$B$6)),"Set tolerance",IF(COUNT(C61:E61)&lt;3,"Need 3 levels",IF(OR(C61=0,D61=0),"Use abs. Δ",IF(AND(ABS(D61-C61)/ABS(C61)&lt;='Status'!$B$6,H61&lt;='Status'!$B$6),"Yes","No")))))</x:f>
      </x:c>
      <x:c r="J61" s="14" t="str">
        <x:f>IF(OR(COUNTA($A61)=0,'Status'!$E$6=""),"",IF(COUNTIFS('Estimates'!$A$5:$A$2004,$A61,'Estimates'!$B$5:$B$2004,"PPS",'Estimates'!$D$5:$D$2004,'Status'!$E$6,'Estimates'!$E$5:$E$2004,'Status'!$E$7)=0,"",IF(COUNTIFS('Estimates'!$A$5:$A$2004,$A61,'Estimates'!$B$5:$B$2004,"PPS",'Estimates'!$D$5:$D$2004,'Status'!$E$6,'Estimates'!$E$5:$E$2004,'Status'!$E$7)&gt;1,"DUP",SUMIFS('Estimates'!$F$5:$F$2004,'Estimates'!$A$5:$A$2004,$A61,'Estimates'!$B$5:$B$2004,"PPS",'Estimates'!$D$5:$D$2004,'Status'!$E$6,'Estimates'!$E$5:$E$2004,'Status'!$E$7))))</x:f>
      </x:c>
      <x:c r="K61" s="14" t="str">
        <x:f>IF(OR(COUNTA($A61)=0,'Status'!$F$6=""),"",IF(COUNTIFS('Estimates'!$A$5:$A$2004,$A61,'Estimates'!$B$5:$B$2004,"PPS",'Estimates'!$D$5:$D$2004,'Status'!$F$6,'Estimates'!$E$5:$E$2004,'Status'!$E$7)=0,"",IF(COUNTIFS('Estimates'!$A$5:$A$2004,$A61,'Estimates'!$B$5:$B$2004,"PPS",'Estimates'!$D$5:$D$2004,'Status'!$F$6,'Estimates'!$E$5:$E$2004,'Status'!$E$7)&gt;1,"DUP",SUMIFS('Estimates'!$F$5:$F$2004,'Estimates'!$A$5:$A$2004,$A61,'Estimates'!$B$5:$B$2004,"PPS",'Estimates'!$D$5:$D$2004,'Status'!$F$6,'Estimates'!$E$5:$E$2004,'Status'!$E$7))))</x:f>
      </x:c>
      <x:c r="L61" s="14" t="str">
        <x:f>IF(OR(COUNTA($A61)=0,'Status'!$G$6=""),"",IF(COUNTIFS('Estimates'!$A$5:$A$2004,$A61,'Estimates'!$B$5:$B$2004,"PPS",'Estimates'!$D$5:$D$2004,'Status'!$G$6,'Estimates'!$E$5:$E$2004,'Status'!$E$7)=0,"",IF(COUNTIFS('Estimates'!$A$5:$A$2004,$A61,'Estimates'!$B$5:$B$2004,"PPS",'Estimates'!$D$5:$D$2004,'Status'!$G$6,'Estimates'!$E$5:$E$2004,'Status'!$E$7)&gt;1,"DUP",SUMIFS('Estimates'!$F$5:$F$2004,'Estimates'!$A$5:$A$2004,$A61,'Estimates'!$B$5:$B$2004,"PPS",'Estimates'!$D$5:$D$2004,'Status'!$G$6,'Estimates'!$E$5:$E$2004,'Status'!$E$7))))</x:f>
      </x:c>
      <x:c r="M61" s="14" t="str">
        <x:f>IF(COUNT(J61:L61)&lt;2,"",_xlfn.STDEV.S(J61:L61))</x:f>
      </x:c>
      <x:c r="N61" s="14" t="str">
        <x:f>IF(AND(ISNUMBER(K61),ISNUMBER(L61)),ABS(L61-K61),"")</x:f>
      </x:c>
      <x:c r="O61" s="15" t="str">
        <x:f>IF(AND(ISNUMBER(K61),ISNUMBER(L61)),IF(K61=0,"n.a.",ABS(L61-K61)/ABS(K61)),"")</x:f>
      </x:c>
      <x:c r="P61" s="2" t="str">
        <x:f>IF(COUNTA(A61)=0,"",IF(NOT(ISNUMBER('Status'!$B$6)),"Set tolerance",IF(COUNT(J61:L61)&lt;3,"Need 3 levels",IF(OR(J61=0,K61=0),"Use abs. Δ",IF(AND(ABS(K61-J61)/ABS(J61)&lt;='Status'!$B$6,O61&lt;='Status'!$B$6),"Yes","No")))))</x:f>
      </x:c>
      <x:c r="Q61" s="14" t="str">
        <x:f>IF(AND(ISNUMBER(E61),ISNUMBER(L61)),ABS(E61-L61),"")</x:f>
      </x:c>
      <x:c r="R61" s="2" t="str">
        <x:f>IF(COUNTA(A61)=0,"",IF(COUNT(C61:E61,J61:L61)&gt;0,1,0))</x:f>
      </x:c>
      <x:c r="S61" s="2" t="str">
        <x:f>IF(COUNTA(A61)=0,"",IF(COUNTIFS($A$6:$A$165,A61)&gt;1,"Duplicate target",""))</x:f>
      </x:c>
    </x:row>
    <x:row r="62">
      <x:c r="A62" s="6"/>
      <x:c r="B62" s="20"/>
      <x:c r="C62" s="14" t="str">
        <x:f>IF(OR(COUNTA($A62)=0,'Status'!$E$5=""),"",IF(COUNTIFS('Estimates'!$A$5:$A$2004,$A62,'Estimates'!$B$5:$B$2004,"MPS",'Estimates'!$C$5:$C$2004,'Status'!$E$5)=0,"",IF(COUNTIFS('Estimates'!$A$5:$A$2004,$A62,'Estimates'!$B$5:$B$2004,"MPS",'Estimates'!$C$5:$C$2004,'Status'!$E$5)&gt;1,"DUP",SUMIFS('Estimates'!$F$5:$F$2004,'Estimates'!$A$5:$A$2004,$A62,'Estimates'!$B$5:$B$2004,"MPS",'Estimates'!$C$5:$C$2004,'Status'!$E$5))))</x:f>
      </x:c>
      <x:c r="D62" s="14" t="str">
        <x:f>IF(OR(COUNTA($A62)=0,'Status'!$F$5=""),"",IF(COUNTIFS('Estimates'!$A$5:$A$2004,$A62,'Estimates'!$B$5:$B$2004,"MPS",'Estimates'!$C$5:$C$2004,'Status'!$F$5)=0,"",IF(COUNTIFS('Estimates'!$A$5:$A$2004,$A62,'Estimates'!$B$5:$B$2004,"MPS",'Estimates'!$C$5:$C$2004,'Status'!$F$5)&gt;1,"DUP",SUMIFS('Estimates'!$F$5:$F$2004,'Estimates'!$A$5:$A$2004,$A62,'Estimates'!$B$5:$B$2004,"MPS",'Estimates'!$C$5:$C$2004,'Status'!$F$5))))</x:f>
      </x:c>
      <x:c r="E62" s="14" t="str">
        <x:f>IF(OR(COUNTA($A62)=0,'Status'!$G$5=""),"",IF(COUNTIFS('Estimates'!$A$5:$A$2004,$A62,'Estimates'!$B$5:$B$2004,"MPS",'Estimates'!$C$5:$C$2004,'Status'!$G$5)=0,"",IF(COUNTIFS('Estimates'!$A$5:$A$2004,$A62,'Estimates'!$B$5:$B$2004,"MPS",'Estimates'!$C$5:$C$2004,'Status'!$G$5)&gt;1,"DUP",SUMIFS('Estimates'!$F$5:$F$2004,'Estimates'!$A$5:$A$2004,$A62,'Estimates'!$B$5:$B$2004,"MPS",'Estimates'!$C$5:$C$2004,'Status'!$G$5))))</x:f>
      </x:c>
      <x:c r="F62" s="14" t="str">
        <x:f>IF(COUNT(C62:E62)&lt;2,"",_xlfn.STDEV.S(C62:E62))</x:f>
      </x:c>
      <x:c r="G62" s="14" t="str">
        <x:f>IF(AND(ISNUMBER(D62),ISNUMBER(E62)),ABS(E62-D62),"")</x:f>
      </x:c>
      <x:c r="H62" s="15" t="str">
        <x:f>IF(AND(ISNUMBER(D62),ISNUMBER(E62)),IF(D62=0,"n.a.",ABS(E62-D62)/ABS(D62)),"")</x:f>
      </x:c>
      <x:c r="I62" s="2" t="str">
        <x:f>IF(COUNTA(A62)=0,"",IF(NOT(ISNUMBER('Status'!$B$6)),"Set tolerance",IF(COUNT(C62:E62)&lt;3,"Need 3 levels",IF(OR(C62=0,D62=0),"Use abs. Δ",IF(AND(ABS(D62-C62)/ABS(C62)&lt;='Status'!$B$6,H62&lt;='Status'!$B$6),"Yes","No")))))</x:f>
      </x:c>
      <x:c r="J62" s="14" t="str">
        <x:f>IF(OR(COUNTA($A62)=0,'Status'!$E$6=""),"",IF(COUNTIFS('Estimates'!$A$5:$A$2004,$A62,'Estimates'!$B$5:$B$2004,"PPS",'Estimates'!$D$5:$D$2004,'Status'!$E$6,'Estimates'!$E$5:$E$2004,'Status'!$E$7)=0,"",IF(COUNTIFS('Estimates'!$A$5:$A$2004,$A62,'Estimates'!$B$5:$B$2004,"PPS",'Estimates'!$D$5:$D$2004,'Status'!$E$6,'Estimates'!$E$5:$E$2004,'Status'!$E$7)&gt;1,"DUP",SUMIFS('Estimates'!$F$5:$F$2004,'Estimates'!$A$5:$A$2004,$A62,'Estimates'!$B$5:$B$2004,"PPS",'Estimates'!$D$5:$D$2004,'Status'!$E$6,'Estimates'!$E$5:$E$2004,'Status'!$E$7))))</x:f>
      </x:c>
      <x:c r="K62" s="14" t="str">
        <x:f>IF(OR(COUNTA($A62)=0,'Status'!$F$6=""),"",IF(COUNTIFS('Estimates'!$A$5:$A$2004,$A62,'Estimates'!$B$5:$B$2004,"PPS",'Estimates'!$D$5:$D$2004,'Status'!$F$6,'Estimates'!$E$5:$E$2004,'Status'!$E$7)=0,"",IF(COUNTIFS('Estimates'!$A$5:$A$2004,$A62,'Estimates'!$B$5:$B$2004,"PPS",'Estimates'!$D$5:$D$2004,'Status'!$F$6,'Estimates'!$E$5:$E$2004,'Status'!$E$7)&gt;1,"DUP",SUMIFS('Estimates'!$F$5:$F$2004,'Estimates'!$A$5:$A$2004,$A62,'Estimates'!$B$5:$B$2004,"PPS",'Estimates'!$D$5:$D$2004,'Status'!$F$6,'Estimates'!$E$5:$E$2004,'Status'!$E$7))))</x:f>
      </x:c>
      <x:c r="L62" s="14" t="str">
        <x:f>IF(OR(COUNTA($A62)=0,'Status'!$G$6=""),"",IF(COUNTIFS('Estimates'!$A$5:$A$2004,$A62,'Estimates'!$B$5:$B$2004,"PPS",'Estimates'!$D$5:$D$2004,'Status'!$G$6,'Estimates'!$E$5:$E$2004,'Status'!$E$7)=0,"",IF(COUNTIFS('Estimates'!$A$5:$A$2004,$A62,'Estimates'!$B$5:$B$2004,"PPS",'Estimates'!$D$5:$D$2004,'Status'!$G$6,'Estimates'!$E$5:$E$2004,'Status'!$E$7)&gt;1,"DUP",SUMIFS('Estimates'!$F$5:$F$2004,'Estimates'!$A$5:$A$2004,$A62,'Estimates'!$B$5:$B$2004,"PPS",'Estimates'!$D$5:$D$2004,'Status'!$G$6,'Estimates'!$E$5:$E$2004,'Status'!$E$7))))</x:f>
      </x:c>
      <x:c r="M62" s="14" t="str">
        <x:f>IF(COUNT(J62:L62)&lt;2,"",_xlfn.STDEV.S(J62:L62))</x:f>
      </x:c>
      <x:c r="N62" s="14" t="str">
        <x:f>IF(AND(ISNUMBER(K62),ISNUMBER(L62)),ABS(L62-K62),"")</x:f>
      </x:c>
      <x:c r="O62" s="15" t="str">
        <x:f>IF(AND(ISNUMBER(K62),ISNUMBER(L62)),IF(K62=0,"n.a.",ABS(L62-K62)/ABS(K62)),"")</x:f>
      </x:c>
      <x:c r="P62" s="2" t="str">
        <x:f>IF(COUNTA(A62)=0,"",IF(NOT(ISNUMBER('Status'!$B$6)),"Set tolerance",IF(COUNT(J62:L62)&lt;3,"Need 3 levels",IF(OR(J62=0,K62=0),"Use abs. Δ",IF(AND(ABS(K62-J62)/ABS(J62)&lt;='Status'!$B$6,O62&lt;='Status'!$B$6),"Yes","No")))))</x:f>
      </x:c>
      <x:c r="Q62" s="14" t="str">
        <x:f>IF(AND(ISNUMBER(E62),ISNUMBER(L62)),ABS(E62-L62),"")</x:f>
      </x:c>
      <x:c r="R62" s="2" t="str">
        <x:f>IF(COUNTA(A62)=0,"",IF(COUNT(C62:E62,J62:L62)&gt;0,1,0))</x:f>
      </x:c>
      <x:c r="S62" s="2" t="str">
        <x:f>IF(COUNTA(A62)=0,"",IF(COUNTIFS($A$6:$A$165,A62)&gt;1,"Duplicate target",""))</x:f>
      </x:c>
    </x:row>
    <x:row r="63">
      <x:c r="A63" s="6"/>
      <x:c r="B63" s="20"/>
      <x:c r="C63" s="14" t="str">
        <x:f>IF(OR(COUNTA($A63)=0,'Status'!$E$5=""),"",IF(COUNTIFS('Estimates'!$A$5:$A$2004,$A63,'Estimates'!$B$5:$B$2004,"MPS",'Estimates'!$C$5:$C$2004,'Status'!$E$5)=0,"",IF(COUNTIFS('Estimates'!$A$5:$A$2004,$A63,'Estimates'!$B$5:$B$2004,"MPS",'Estimates'!$C$5:$C$2004,'Status'!$E$5)&gt;1,"DUP",SUMIFS('Estimates'!$F$5:$F$2004,'Estimates'!$A$5:$A$2004,$A63,'Estimates'!$B$5:$B$2004,"MPS",'Estimates'!$C$5:$C$2004,'Status'!$E$5))))</x:f>
      </x:c>
      <x:c r="D63" s="14" t="str">
        <x:f>IF(OR(COUNTA($A63)=0,'Status'!$F$5=""),"",IF(COUNTIFS('Estimates'!$A$5:$A$2004,$A63,'Estimates'!$B$5:$B$2004,"MPS",'Estimates'!$C$5:$C$2004,'Status'!$F$5)=0,"",IF(COUNTIFS('Estimates'!$A$5:$A$2004,$A63,'Estimates'!$B$5:$B$2004,"MPS",'Estimates'!$C$5:$C$2004,'Status'!$F$5)&gt;1,"DUP",SUMIFS('Estimates'!$F$5:$F$2004,'Estimates'!$A$5:$A$2004,$A63,'Estimates'!$B$5:$B$2004,"MPS",'Estimates'!$C$5:$C$2004,'Status'!$F$5))))</x:f>
      </x:c>
      <x:c r="E63" s="14" t="str">
        <x:f>IF(OR(COUNTA($A63)=0,'Status'!$G$5=""),"",IF(COUNTIFS('Estimates'!$A$5:$A$2004,$A63,'Estimates'!$B$5:$B$2004,"MPS",'Estimates'!$C$5:$C$2004,'Status'!$G$5)=0,"",IF(COUNTIFS('Estimates'!$A$5:$A$2004,$A63,'Estimates'!$B$5:$B$2004,"MPS",'Estimates'!$C$5:$C$2004,'Status'!$G$5)&gt;1,"DUP",SUMIFS('Estimates'!$F$5:$F$2004,'Estimates'!$A$5:$A$2004,$A63,'Estimates'!$B$5:$B$2004,"MPS",'Estimates'!$C$5:$C$2004,'Status'!$G$5))))</x:f>
      </x:c>
      <x:c r="F63" s="14" t="str">
        <x:f>IF(COUNT(C63:E63)&lt;2,"",_xlfn.STDEV.S(C63:E63))</x:f>
      </x:c>
      <x:c r="G63" s="14" t="str">
        <x:f>IF(AND(ISNUMBER(D63),ISNUMBER(E63)),ABS(E63-D63),"")</x:f>
      </x:c>
      <x:c r="H63" s="15" t="str">
        <x:f>IF(AND(ISNUMBER(D63),ISNUMBER(E63)),IF(D63=0,"n.a.",ABS(E63-D63)/ABS(D63)),"")</x:f>
      </x:c>
      <x:c r="I63" s="2" t="str">
        <x:f>IF(COUNTA(A63)=0,"",IF(NOT(ISNUMBER('Status'!$B$6)),"Set tolerance",IF(COUNT(C63:E63)&lt;3,"Need 3 levels",IF(OR(C63=0,D63=0),"Use abs. Δ",IF(AND(ABS(D63-C63)/ABS(C63)&lt;='Status'!$B$6,H63&lt;='Status'!$B$6),"Yes","No")))))</x:f>
      </x:c>
      <x:c r="J63" s="14" t="str">
        <x:f>IF(OR(COUNTA($A63)=0,'Status'!$E$6=""),"",IF(COUNTIFS('Estimates'!$A$5:$A$2004,$A63,'Estimates'!$B$5:$B$2004,"PPS",'Estimates'!$D$5:$D$2004,'Status'!$E$6,'Estimates'!$E$5:$E$2004,'Status'!$E$7)=0,"",IF(COUNTIFS('Estimates'!$A$5:$A$2004,$A63,'Estimates'!$B$5:$B$2004,"PPS",'Estimates'!$D$5:$D$2004,'Status'!$E$6,'Estimates'!$E$5:$E$2004,'Status'!$E$7)&gt;1,"DUP",SUMIFS('Estimates'!$F$5:$F$2004,'Estimates'!$A$5:$A$2004,$A63,'Estimates'!$B$5:$B$2004,"PPS",'Estimates'!$D$5:$D$2004,'Status'!$E$6,'Estimates'!$E$5:$E$2004,'Status'!$E$7))))</x:f>
      </x:c>
      <x:c r="K63" s="14" t="str">
        <x:f>IF(OR(COUNTA($A63)=0,'Status'!$F$6=""),"",IF(COUNTIFS('Estimates'!$A$5:$A$2004,$A63,'Estimates'!$B$5:$B$2004,"PPS",'Estimates'!$D$5:$D$2004,'Status'!$F$6,'Estimates'!$E$5:$E$2004,'Status'!$E$7)=0,"",IF(COUNTIFS('Estimates'!$A$5:$A$2004,$A63,'Estimates'!$B$5:$B$2004,"PPS",'Estimates'!$D$5:$D$2004,'Status'!$F$6,'Estimates'!$E$5:$E$2004,'Status'!$E$7)&gt;1,"DUP",SUMIFS('Estimates'!$F$5:$F$2004,'Estimates'!$A$5:$A$2004,$A63,'Estimates'!$B$5:$B$2004,"PPS",'Estimates'!$D$5:$D$2004,'Status'!$F$6,'Estimates'!$E$5:$E$2004,'Status'!$E$7))))</x:f>
      </x:c>
      <x:c r="L63" s="14" t="str">
        <x:f>IF(OR(COUNTA($A63)=0,'Status'!$G$6=""),"",IF(COUNTIFS('Estimates'!$A$5:$A$2004,$A63,'Estimates'!$B$5:$B$2004,"PPS",'Estimates'!$D$5:$D$2004,'Status'!$G$6,'Estimates'!$E$5:$E$2004,'Status'!$E$7)=0,"",IF(COUNTIFS('Estimates'!$A$5:$A$2004,$A63,'Estimates'!$B$5:$B$2004,"PPS",'Estimates'!$D$5:$D$2004,'Status'!$G$6,'Estimates'!$E$5:$E$2004,'Status'!$E$7)&gt;1,"DUP",SUMIFS('Estimates'!$F$5:$F$2004,'Estimates'!$A$5:$A$2004,$A63,'Estimates'!$B$5:$B$2004,"PPS",'Estimates'!$D$5:$D$2004,'Status'!$G$6,'Estimates'!$E$5:$E$2004,'Status'!$E$7))))</x:f>
      </x:c>
      <x:c r="M63" s="14" t="str">
        <x:f>IF(COUNT(J63:L63)&lt;2,"",_xlfn.STDEV.S(J63:L63))</x:f>
      </x:c>
      <x:c r="N63" s="14" t="str">
        <x:f>IF(AND(ISNUMBER(K63),ISNUMBER(L63)),ABS(L63-K63),"")</x:f>
      </x:c>
      <x:c r="O63" s="15" t="str">
        <x:f>IF(AND(ISNUMBER(K63),ISNUMBER(L63)),IF(K63=0,"n.a.",ABS(L63-K63)/ABS(K63)),"")</x:f>
      </x:c>
      <x:c r="P63" s="2" t="str">
        <x:f>IF(COUNTA(A63)=0,"",IF(NOT(ISNUMBER('Status'!$B$6)),"Set tolerance",IF(COUNT(J63:L63)&lt;3,"Need 3 levels",IF(OR(J63=0,K63=0),"Use abs. Δ",IF(AND(ABS(K63-J63)/ABS(J63)&lt;='Status'!$B$6,O63&lt;='Status'!$B$6),"Yes","No")))))</x:f>
      </x:c>
      <x:c r="Q63" s="14" t="str">
        <x:f>IF(AND(ISNUMBER(E63),ISNUMBER(L63)),ABS(E63-L63),"")</x:f>
      </x:c>
      <x:c r="R63" s="2" t="str">
        <x:f>IF(COUNTA(A63)=0,"",IF(COUNT(C63:E63,J63:L63)&gt;0,1,0))</x:f>
      </x:c>
      <x:c r="S63" s="2" t="str">
        <x:f>IF(COUNTA(A63)=0,"",IF(COUNTIFS($A$6:$A$165,A63)&gt;1,"Duplicate target",""))</x:f>
      </x:c>
    </x:row>
    <x:row r="64">
      <x:c r="A64" s="6"/>
      <x:c r="B64" s="20"/>
      <x:c r="C64" s="14" t="str">
        <x:f>IF(OR(COUNTA($A64)=0,'Status'!$E$5=""),"",IF(COUNTIFS('Estimates'!$A$5:$A$2004,$A64,'Estimates'!$B$5:$B$2004,"MPS",'Estimates'!$C$5:$C$2004,'Status'!$E$5)=0,"",IF(COUNTIFS('Estimates'!$A$5:$A$2004,$A64,'Estimates'!$B$5:$B$2004,"MPS",'Estimates'!$C$5:$C$2004,'Status'!$E$5)&gt;1,"DUP",SUMIFS('Estimates'!$F$5:$F$2004,'Estimates'!$A$5:$A$2004,$A64,'Estimates'!$B$5:$B$2004,"MPS",'Estimates'!$C$5:$C$2004,'Status'!$E$5))))</x:f>
      </x:c>
      <x:c r="D64" s="14" t="str">
        <x:f>IF(OR(COUNTA($A64)=0,'Status'!$F$5=""),"",IF(COUNTIFS('Estimates'!$A$5:$A$2004,$A64,'Estimates'!$B$5:$B$2004,"MPS",'Estimates'!$C$5:$C$2004,'Status'!$F$5)=0,"",IF(COUNTIFS('Estimates'!$A$5:$A$2004,$A64,'Estimates'!$B$5:$B$2004,"MPS",'Estimates'!$C$5:$C$2004,'Status'!$F$5)&gt;1,"DUP",SUMIFS('Estimates'!$F$5:$F$2004,'Estimates'!$A$5:$A$2004,$A64,'Estimates'!$B$5:$B$2004,"MPS",'Estimates'!$C$5:$C$2004,'Status'!$F$5))))</x:f>
      </x:c>
      <x:c r="E64" s="14" t="str">
        <x:f>IF(OR(COUNTA($A64)=0,'Status'!$G$5=""),"",IF(COUNTIFS('Estimates'!$A$5:$A$2004,$A64,'Estimates'!$B$5:$B$2004,"MPS",'Estimates'!$C$5:$C$2004,'Status'!$G$5)=0,"",IF(COUNTIFS('Estimates'!$A$5:$A$2004,$A64,'Estimates'!$B$5:$B$2004,"MPS",'Estimates'!$C$5:$C$2004,'Status'!$G$5)&gt;1,"DUP",SUMIFS('Estimates'!$F$5:$F$2004,'Estimates'!$A$5:$A$2004,$A64,'Estimates'!$B$5:$B$2004,"MPS",'Estimates'!$C$5:$C$2004,'Status'!$G$5))))</x:f>
      </x:c>
      <x:c r="F64" s="14" t="str">
        <x:f>IF(COUNT(C64:E64)&lt;2,"",_xlfn.STDEV.S(C64:E64))</x:f>
      </x:c>
      <x:c r="G64" s="14" t="str">
        <x:f>IF(AND(ISNUMBER(D64),ISNUMBER(E64)),ABS(E64-D64),"")</x:f>
      </x:c>
      <x:c r="H64" s="15" t="str">
        <x:f>IF(AND(ISNUMBER(D64),ISNUMBER(E64)),IF(D64=0,"n.a.",ABS(E64-D64)/ABS(D64)),"")</x:f>
      </x:c>
      <x:c r="I64" s="2" t="str">
        <x:f>IF(COUNTA(A64)=0,"",IF(NOT(ISNUMBER('Status'!$B$6)),"Set tolerance",IF(COUNT(C64:E64)&lt;3,"Need 3 levels",IF(OR(C64=0,D64=0),"Use abs. Δ",IF(AND(ABS(D64-C64)/ABS(C64)&lt;='Status'!$B$6,H64&lt;='Status'!$B$6),"Yes","No")))))</x:f>
      </x:c>
      <x:c r="J64" s="14" t="str">
        <x:f>IF(OR(COUNTA($A64)=0,'Status'!$E$6=""),"",IF(COUNTIFS('Estimates'!$A$5:$A$2004,$A64,'Estimates'!$B$5:$B$2004,"PPS",'Estimates'!$D$5:$D$2004,'Status'!$E$6,'Estimates'!$E$5:$E$2004,'Status'!$E$7)=0,"",IF(COUNTIFS('Estimates'!$A$5:$A$2004,$A64,'Estimates'!$B$5:$B$2004,"PPS",'Estimates'!$D$5:$D$2004,'Status'!$E$6,'Estimates'!$E$5:$E$2004,'Status'!$E$7)&gt;1,"DUP",SUMIFS('Estimates'!$F$5:$F$2004,'Estimates'!$A$5:$A$2004,$A64,'Estimates'!$B$5:$B$2004,"PPS",'Estimates'!$D$5:$D$2004,'Status'!$E$6,'Estimates'!$E$5:$E$2004,'Status'!$E$7))))</x:f>
      </x:c>
      <x:c r="K64" s="14" t="str">
        <x:f>IF(OR(COUNTA($A64)=0,'Status'!$F$6=""),"",IF(COUNTIFS('Estimates'!$A$5:$A$2004,$A64,'Estimates'!$B$5:$B$2004,"PPS",'Estimates'!$D$5:$D$2004,'Status'!$F$6,'Estimates'!$E$5:$E$2004,'Status'!$E$7)=0,"",IF(COUNTIFS('Estimates'!$A$5:$A$2004,$A64,'Estimates'!$B$5:$B$2004,"PPS",'Estimates'!$D$5:$D$2004,'Status'!$F$6,'Estimates'!$E$5:$E$2004,'Status'!$E$7)&gt;1,"DUP",SUMIFS('Estimates'!$F$5:$F$2004,'Estimates'!$A$5:$A$2004,$A64,'Estimates'!$B$5:$B$2004,"PPS",'Estimates'!$D$5:$D$2004,'Status'!$F$6,'Estimates'!$E$5:$E$2004,'Status'!$E$7))))</x:f>
      </x:c>
      <x:c r="L64" s="14" t="str">
        <x:f>IF(OR(COUNTA($A64)=0,'Status'!$G$6=""),"",IF(COUNTIFS('Estimates'!$A$5:$A$2004,$A64,'Estimates'!$B$5:$B$2004,"PPS",'Estimates'!$D$5:$D$2004,'Status'!$G$6,'Estimates'!$E$5:$E$2004,'Status'!$E$7)=0,"",IF(COUNTIFS('Estimates'!$A$5:$A$2004,$A64,'Estimates'!$B$5:$B$2004,"PPS",'Estimates'!$D$5:$D$2004,'Status'!$G$6,'Estimates'!$E$5:$E$2004,'Status'!$E$7)&gt;1,"DUP",SUMIFS('Estimates'!$F$5:$F$2004,'Estimates'!$A$5:$A$2004,$A64,'Estimates'!$B$5:$B$2004,"PPS",'Estimates'!$D$5:$D$2004,'Status'!$G$6,'Estimates'!$E$5:$E$2004,'Status'!$E$7))))</x:f>
      </x:c>
      <x:c r="M64" s="14" t="str">
        <x:f>IF(COUNT(J64:L64)&lt;2,"",_xlfn.STDEV.S(J64:L64))</x:f>
      </x:c>
      <x:c r="N64" s="14" t="str">
        <x:f>IF(AND(ISNUMBER(K64),ISNUMBER(L64)),ABS(L64-K64),"")</x:f>
      </x:c>
      <x:c r="O64" s="15" t="str">
        <x:f>IF(AND(ISNUMBER(K64),ISNUMBER(L64)),IF(K64=0,"n.a.",ABS(L64-K64)/ABS(K64)),"")</x:f>
      </x:c>
      <x:c r="P64" s="2" t="str">
        <x:f>IF(COUNTA(A64)=0,"",IF(NOT(ISNUMBER('Status'!$B$6)),"Set tolerance",IF(COUNT(J64:L64)&lt;3,"Need 3 levels",IF(OR(J64=0,K64=0),"Use abs. Δ",IF(AND(ABS(K64-J64)/ABS(J64)&lt;='Status'!$B$6,O64&lt;='Status'!$B$6),"Yes","No")))))</x:f>
      </x:c>
      <x:c r="Q64" s="14" t="str">
        <x:f>IF(AND(ISNUMBER(E64),ISNUMBER(L64)),ABS(E64-L64),"")</x:f>
      </x:c>
      <x:c r="R64" s="2" t="str">
        <x:f>IF(COUNTA(A64)=0,"",IF(COUNT(C64:E64,J64:L64)&gt;0,1,0))</x:f>
      </x:c>
      <x:c r="S64" s="2" t="str">
        <x:f>IF(COUNTA(A64)=0,"",IF(COUNTIFS($A$6:$A$165,A64)&gt;1,"Duplicate target",""))</x:f>
      </x:c>
    </x:row>
    <x:row r="65">
      <x:c r="A65" s="6"/>
      <x:c r="B65" s="20"/>
      <x:c r="C65" s="14" t="str">
        <x:f>IF(OR(COUNTA($A65)=0,'Status'!$E$5=""),"",IF(COUNTIFS('Estimates'!$A$5:$A$2004,$A65,'Estimates'!$B$5:$B$2004,"MPS",'Estimates'!$C$5:$C$2004,'Status'!$E$5)=0,"",IF(COUNTIFS('Estimates'!$A$5:$A$2004,$A65,'Estimates'!$B$5:$B$2004,"MPS",'Estimates'!$C$5:$C$2004,'Status'!$E$5)&gt;1,"DUP",SUMIFS('Estimates'!$F$5:$F$2004,'Estimates'!$A$5:$A$2004,$A65,'Estimates'!$B$5:$B$2004,"MPS",'Estimates'!$C$5:$C$2004,'Status'!$E$5))))</x:f>
      </x:c>
      <x:c r="D65" s="14" t="str">
        <x:f>IF(OR(COUNTA($A65)=0,'Status'!$F$5=""),"",IF(COUNTIFS('Estimates'!$A$5:$A$2004,$A65,'Estimates'!$B$5:$B$2004,"MPS",'Estimates'!$C$5:$C$2004,'Status'!$F$5)=0,"",IF(COUNTIFS('Estimates'!$A$5:$A$2004,$A65,'Estimates'!$B$5:$B$2004,"MPS",'Estimates'!$C$5:$C$2004,'Status'!$F$5)&gt;1,"DUP",SUMIFS('Estimates'!$F$5:$F$2004,'Estimates'!$A$5:$A$2004,$A65,'Estimates'!$B$5:$B$2004,"MPS",'Estimates'!$C$5:$C$2004,'Status'!$F$5))))</x:f>
      </x:c>
      <x:c r="E65" s="14" t="str">
        <x:f>IF(OR(COUNTA($A65)=0,'Status'!$G$5=""),"",IF(COUNTIFS('Estimates'!$A$5:$A$2004,$A65,'Estimates'!$B$5:$B$2004,"MPS",'Estimates'!$C$5:$C$2004,'Status'!$G$5)=0,"",IF(COUNTIFS('Estimates'!$A$5:$A$2004,$A65,'Estimates'!$B$5:$B$2004,"MPS",'Estimates'!$C$5:$C$2004,'Status'!$G$5)&gt;1,"DUP",SUMIFS('Estimates'!$F$5:$F$2004,'Estimates'!$A$5:$A$2004,$A65,'Estimates'!$B$5:$B$2004,"MPS",'Estimates'!$C$5:$C$2004,'Status'!$G$5))))</x:f>
      </x:c>
      <x:c r="F65" s="14" t="str">
        <x:f>IF(COUNT(C65:E65)&lt;2,"",_xlfn.STDEV.S(C65:E65))</x:f>
      </x:c>
      <x:c r="G65" s="14" t="str">
        <x:f>IF(AND(ISNUMBER(D65),ISNUMBER(E65)),ABS(E65-D65),"")</x:f>
      </x:c>
      <x:c r="H65" s="15" t="str">
        <x:f>IF(AND(ISNUMBER(D65),ISNUMBER(E65)),IF(D65=0,"n.a.",ABS(E65-D65)/ABS(D65)),"")</x:f>
      </x:c>
      <x:c r="I65" s="2" t="str">
        <x:f>IF(COUNTA(A65)=0,"",IF(NOT(ISNUMBER('Status'!$B$6)),"Set tolerance",IF(COUNT(C65:E65)&lt;3,"Need 3 levels",IF(OR(C65=0,D65=0),"Use abs. Δ",IF(AND(ABS(D65-C65)/ABS(C65)&lt;='Status'!$B$6,H65&lt;='Status'!$B$6),"Yes","No")))))</x:f>
      </x:c>
      <x:c r="J65" s="14" t="str">
        <x:f>IF(OR(COUNTA($A65)=0,'Status'!$E$6=""),"",IF(COUNTIFS('Estimates'!$A$5:$A$2004,$A65,'Estimates'!$B$5:$B$2004,"PPS",'Estimates'!$D$5:$D$2004,'Status'!$E$6,'Estimates'!$E$5:$E$2004,'Status'!$E$7)=0,"",IF(COUNTIFS('Estimates'!$A$5:$A$2004,$A65,'Estimates'!$B$5:$B$2004,"PPS",'Estimates'!$D$5:$D$2004,'Status'!$E$6,'Estimates'!$E$5:$E$2004,'Status'!$E$7)&gt;1,"DUP",SUMIFS('Estimates'!$F$5:$F$2004,'Estimates'!$A$5:$A$2004,$A65,'Estimates'!$B$5:$B$2004,"PPS",'Estimates'!$D$5:$D$2004,'Status'!$E$6,'Estimates'!$E$5:$E$2004,'Status'!$E$7))))</x:f>
      </x:c>
      <x:c r="K65" s="14" t="str">
        <x:f>IF(OR(COUNTA($A65)=0,'Status'!$F$6=""),"",IF(COUNTIFS('Estimates'!$A$5:$A$2004,$A65,'Estimates'!$B$5:$B$2004,"PPS",'Estimates'!$D$5:$D$2004,'Status'!$F$6,'Estimates'!$E$5:$E$2004,'Status'!$E$7)=0,"",IF(COUNTIFS('Estimates'!$A$5:$A$2004,$A65,'Estimates'!$B$5:$B$2004,"PPS",'Estimates'!$D$5:$D$2004,'Status'!$F$6,'Estimates'!$E$5:$E$2004,'Status'!$E$7)&gt;1,"DUP",SUMIFS('Estimates'!$F$5:$F$2004,'Estimates'!$A$5:$A$2004,$A65,'Estimates'!$B$5:$B$2004,"PPS",'Estimates'!$D$5:$D$2004,'Status'!$F$6,'Estimates'!$E$5:$E$2004,'Status'!$E$7))))</x:f>
      </x:c>
      <x:c r="L65" s="14" t="str">
        <x:f>IF(OR(COUNTA($A65)=0,'Status'!$G$6=""),"",IF(COUNTIFS('Estimates'!$A$5:$A$2004,$A65,'Estimates'!$B$5:$B$2004,"PPS",'Estimates'!$D$5:$D$2004,'Status'!$G$6,'Estimates'!$E$5:$E$2004,'Status'!$E$7)=0,"",IF(COUNTIFS('Estimates'!$A$5:$A$2004,$A65,'Estimates'!$B$5:$B$2004,"PPS",'Estimates'!$D$5:$D$2004,'Status'!$G$6,'Estimates'!$E$5:$E$2004,'Status'!$E$7)&gt;1,"DUP",SUMIFS('Estimates'!$F$5:$F$2004,'Estimates'!$A$5:$A$2004,$A65,'Estimates'!$B$5:$B$2004,"PPS",'Estimates'!$D$5:$D$2004,'Status'!$G$6,'Estimates'!$E$5:$E$2004,'Status'!$E$7))))</x:f>
      </x:c>
      <x:c r="M65" s="14" t="str">
        <x:f>IF(COUNT(J65:L65)&lt;2,"",_xlfn.STDEV.S(J65:L65))</x:f>
      </x:c>
      <x:c r="N65" s="14" t="str">
        <x:f>IF(AND(ISNUMBER(K65),ISNUMBER(L65)),ABS(L65-K65),"")</x:f>
      </x:c>
      <x:c r="O65" s="15" t="str">
        <x:f>IF(AND(ISNUMBER(K65),ISNUMBER(L65)),IF(K65=0,"n.a.",ABS(L65-K65)/ABS(K65)),"")</x:f>
      </x:c>
      <x:c r="P65" s="2" t="str">
        <x:f>IF(COUNTA(A65)=0,"",IF(NOT(ISNUMBER('Status'!$B$6)),"Set tolerance",IF(COUNT(J65:L65)&lt;3,"Need 3 levels",IF(OR(J65=0,K65=0),"Use abs. Δ",IF(AND(ABS(K65-J65)/ABS(J65)&lt;='Status'!$B$6,O65&lt;='Status'!$B$6),"Yes","No")))))</x:f>
      </x:c>
      <x:c r="Q65" s="14" t="str">
        <x:f>IF(AND(ISNUMBER(E65),ISNUMBER(L65)),ABS(E65-L65),"")</x:f>
      </x:c>
      <x:c r="R65" s="2" t="str">
        <x:f>IF(COUNTA(A65)=0,"",IF(COUNT(C65:E65,J65:L65)&gt;0,1,0))</x:f>
      </x:c>
      <x:c r="S65" s="2" t="str">
        <x:f>IF(COUNTA(A65)=0,"",IF(COUNTIFS($A$6:$A$165,A65)&gt;1,"Duplicate target",""))</x:f>
      </x:c>
    </x:row>
    <x:row r="66">
      <x:c r="A66" s="6"/>
      <x:c r="B66" s="20"/>
      <x:c r="C66" s="14" t="str">
        <x:f>IF(OR(COUNTA($A66)=0,'Status'!$E$5=""),"",IF(COUNTIFS('Estimates'!$A$5:$A$2004,$A66,'Estimates'!$B$5:$B$2004,"MPS",'Estimates'!$C$5:$C$2004,'Status'!$E$5)=0,"",IF(COUNTIFS('Estimates'!$A$5:$A$2004,$A66,'Estimates'!$B$5:$B$2004,"MPS",'Estimates'!$C$5:$C$2004,'Status'!$E$5)&gt;1,"DUP",SUMIFS('Estimates'!$F$5:$F$2004,'Estimates'!$A$5:$A$2004,$A66,'Estimates'!$B$5:$B$2004,"MPS",'Estimates'!$C$5:$C$2004,'Status'!$E$5))))</x:f>
      </x:c>
      <x:c r="D66" s="14" t="str">
        <x:f>IF(OR(COUNTA($A66)=0,'Status'!$F$5=""),"",IF(COUNTIFS('Estimates'!$A$5:$A$2004,$A66,'Estimates'!$B$5:$B$2004,"MPS",'Estimates'!$C$5:$C$2004,'Status'!$F$5)=0,"",IF(COUNTIFS('Estimates'!$A$5:$A$2004,$A66,'Estimates'!$B$5:$B$2004,"MPS",'Estimates'!$C$5:$C$2004,'Status'!$F$5)&gt;1,"DUP",SUMIFS('Estimates'!$F$5:$F$2004,'Estimates'!$A$5:$A$2004,$A66,'Estimates'!$B$5:$B$2004,"MPS",'Estimates'!$C$5:$C$2004,'Status'!$F$5))))</x:f>
      </x:c>
      <x:c r="E66" s="14" t="str">
        <x:f>IF(OR(COUNTA($A66)=0,'Status'!$G$5=""),"",IF(COUNTIFS('Estimates'!$A$5:$A$2004,$A66,'Estimates'!$B$5:$B$2004,"MPS",'Estimates'!$C$5:$C$2004,'Status'!$G$5)=0,"",IF(COUNTIFS('Estimates'!$A$5:$A$2004,$A66,'Estimates'!$B$5:$B$2004,"MPS",'Estimates'!$C$5:$C$2004,'Status'!$G$5)&gt;1,"DUP",SUMIFS('Estimates'!$F$5:$F$2004,'Estimates'!$A$5:$A$2004,$A66,'Estimates'!$B$5:$B$2004,"MPS",'Estimates'!$C$5:$C$2004,'Status'!$G$5))))</x:f>
      </x:c>
      <x:c r="F66" s="14" t="str">
        <x:f>IF(COUNT(C66:E66)&lt;2,"",_xlfn.STDEV.S(C66:E66))</x:f>
      </x:c>
      <x:c r="G66" s="14" t="str">
        <x:f>IF(AND(ISNUMBER(D66),ISNUMBER(E66)),ABS(E66-D66),"")</x:f>
      </x:c>
      <x:c r="H66" s="15" t="str">
        <x:f>IF(AND(ISNUMBER(D66),ISNUMBER(E66)),IF(D66=0,"n.a.",ABS(E66-D66)/ABS(D66)),"")</x:f>
      </x:c>
      <x:c r="I66" s="2" t="str">
        <x:f>IF(COUNTA(A66)=0,"",IF(NOT(ISNUMBER('Status'!$B$6)),"Set tolerance",IF(COUNT(C66:E66)&lt;3,"Need 3 levels",IF(OR(C66=0,D66=0),"Use abs. Δ",IF(AND(ABS(D66-C66)/ABS(C66)&lt;='Status'!$B$6,H66&lt;='Status'!$B$6),"Yes","No")))))</x:f>
      </x:c>
      <x:c r="J66" s="14" t="str">
        <x:f>IF(OR(COUNTA($A66)=0,'Status'!$E$6=""),"",IF(COUNTIFS('Estimates'!$A$5:$A$2004,$A66,'Estimates'!$B$5:$B$2004,"PPS",'Estimates'!$D$5:$D$2004,'Status'!$E$6,'Estimates'!$E$5:$E$2004,'Status'!$E$7)=0,"",IF(COUNTIFS('Estimates'!$A$5:$A$2004,$A66,'Estimates'!$B$5:$B$2004,"PPS",'Estimates'!$D$5:$D$2004,'Status'!$E$6,'Estimates'!$E$5:$E$2004,'Status'!$E$7)&gt;1,"DUP",SUMIFS('Estimates'!$F$5:$F$2004,'Estimates'!$A$5:$A$2004,$A66,'Estimates'!$B$5:$B$2004,"PPS",'Estimates'!$D$5:$D$2004,'Status'!$E$6,'Estimates'!$E$5:$E$2004,'Status'!$E$7))))</x:f>
      </x:c>
      <x:c r="K66" s="14" t="str">
        <x:f>IF(OR(COUNTA($A66)=0,'Status'!$F$6=""),"",IF(COUNTIFS('Estimates'!$A$5:$A$2004,$A66,'Estimates'!$B$5:$B$2004,"PPS",'Estimates'!$D$5:$D$2004,'Status'!$F$6,'Estimates'!$E$5:$E$2004,'Status'!$E$7)=0,"",IF(COUNTIFS('Estimates'!$A$5:$A$2004,$A66,'Estimates'!$B$5:$B$2004,"PPS",'Estimates'!$D$5:$D$2004,'Status'!$F$6,'Estimates'!$E$5:$E$2004,'Status'!$E$7)&gt;1,"DUP",SUMIFS('Estimates'!$F$5:$F$2004,'Estimates'!$A$5:$A$2004,$A66,'Estimates'!$B$5:$B$2004,"PPS",'Estimates'!$D$5:$D$2004,'Status'!$F$6,'Estimates'!$E$5:$E$2004,'Status'!$E$7))))</x:f>
      </x:c>
      <x:c r="L66" s="14" t="str">
        <x:f>IF(OR(COUNTA($A66)=0,'Status'!$G$6=""),"",IF(COUNTIFS('Estimates'!$A$5:$A$2004,$A66,'Estimates'!$B$5:$B$2004,"PPS",'Estimates'!$D$5:$D$2004,'Status'!$G$6,'Estimates'!$E$5:$E$2004,'Status'!$E$7)=0,"",IF(COUNTIFS('Estimates'!$A$5:$A$2004,$A66,'Estimates'!$B$5:$B$2004,"PPS",'Estimates'!$D$5:$D$2004,'Status'!$G$6,'Estimates'!$E$5:$E$2004,'Status'!$E$7)&gt;1,"DUP",SUMIFS('Estimates'!$F$5:$F$2004,'Estimates'!$A$5:$A$2004,$A66,'Estimates'!$B$5:$B$2004,"PPS",'Estimates'!$D$5:$D$2004,'Status'!$G$6,'Estimates'!$E$5:$E$2004,'Status'!$E$7))))</x:f>
      </x:c>
      <x:c r="M66" s="14" t="str">
        <x:f>IF(COUNT(J66:L66)&lt;2,"",_xlfn.STDEV.S(J66:L66))</x:f>
      </x:c>
      <x:c r="N66" s="14" t="str">
        <x:f>IF(AND(ISNUMBER(K66),ISNUMBER(L66)),ABS(L66-K66),"")</x:f>
      </x:c>
      <x:c r="O66" s="15" t="str">
        <x:f>IF(AND(ISNUMBER(K66),ISNUMBER(L66)),IF(K66=0,"n.a.",ABS(L66-K66)/ABS(K66)),"")</x:f>
      </x:c>
      <x:c r="P66" s="2" t="str">
        <x:f>IF(COUNTA(A66)=0,"",IF(NOT(ISNUMBER('Status'!$B$6)),"Set tolerance",IF(COUNT(J66:L66)&lt;3,"Need 3 levels",IF(OR(J66=0,K66=0),"Use abs. Δ",IF(AND(ABS(K66-J66)/ABS(J66)&lt;='Status'!$B$6,O66&lt;='Status'!$B$6),"Yes","No")))))</x:f>
      </x:c>
      <x:c r="Q66" s="14" t="str">
        <x:f>IF(AND(ISNUMBER(E66),ISNUMBER(L66)),ABS(E66-L66),"")</x:f>
      </x:c>
      <x:c r="R66" s="2" t="str">
        <x:f>IF(COUNTA(A66)=0,"",IF(COUNT(C66:E66,J66:L66)&gt;0,1,0))</x:f>
      </x:c>
      <x:c r="S66" s="2" t="str">
        <x:f>IF(COUNTA(A66)=0,"",IF(COUNTIFS($A$6:$A$165,A66)&gt;1,"Duplicate target",""))</x:f>
      </x:c>
    </x:row>
    <x:row r="67">
      <x:c r="A67" s="6"/>
      <x:c r="B67" s="20"/>
      <x:c r="C67" s="14" t="str">
        <x:f>IF(OR(COUNTA($A67)=0,'Status'!$E$5=""),"",IF(COUNTIFS('Estimates'!$A$5:$A$2004,$A67,'Estimates'!$B$5:$B$2004,"MPS",'Estimates'!$C$5:$C$2004,'Status'!$E$5)=0,"",IF(COUNTIFS('Estimates'!$A$5:$A$2004,$A67,'Estimates'!$B$5:$B$2004,"MPS",'Estimates'!$C$5:$C$2004,'Status'!$E$5)&gt;1,"DUP",SUMIFS('Estimates'!$F$5:$F$2004,'Estimates'!$A$5:$A$2004,$A67,'Estimates'!$B$5:$B$2004,"MPS",'Estimates'!$C$5:$C$2004,'Status'!$E$5))))</x:f>
      </x:c>
      <x:c r="D67" s="14" t="str">
        <x:f>IF(OR(COUNTA($A67)=0,'Status'!$F$5=""),"",IF(COUNTIFS('Estimates'!$A$5:$A$2004,$A67,'Estimates'!$B$5:$B$2004,"MPS",'Estimates'!$C$5:$C$2004,'Status'!$F$5)=0,"",IF(COUNTIFS('Estimates'!$A$5:$A$2004,$A67,'Estimates'!$B$5:$B$2004,"MPS",'Estimates'!$C$5:$C$2004,'Status'!$F$5)&gt;1,"DUP",SUMIFS('Estimates'!$F$5:$F$2004,'Estimates'!$A$5:$A$2004,$A67,'Estimates'!$B$5:$B$2004,"MPS",'Estimates'!$C$5:$C$2004,'Status'!$F$5))))</x:f>
      </x:c>
      <x:c r="E67" s="14" t="str">
        <x:f>IF(OR(COUNTA($A67)=0,'Status'!$G$5=""),"",IF(COUNTIFS('Estimates'!$A$5:$A$2004,$A67,'Estimates'!$B$5:$B$2004,"MPS",'Estimates'!$C$5:$C$2004,'Status'!$G$5)=0,"",IF(COUNTIFS('Estimates'!$A$5:$A$2004,$A67,'Estimates'!$B$5:$B$2004,"MPS",'Estimates'!$C$5:$C$2004,'Status'!$G$5)&gt;1,"DUP",SUMIFS('Estimates'!$F$5:$F$2004,'Estimates'!$A$5:$A$2004,$A67,'Estimates'!$B$5:$B$2004,"MPS",'Estimates'!$C$5:$C$2004,'Status'!$G$5))))</x:f>
      </x:c>
      <x:c r="F67" s="14" t="str">
        <x:f>IF(COUNT(C67:E67)&lt;2,"",_xlfn.STDEV.S(C67:E67))</x:f>
      </x:c>
      <x:c r="G67" s="14" t="str">
        <x:f>IF(AND(ISNUMBER(D67),ISNUMBER(E67)),ABS(E67-D67),"")</x:f>
      </x:c>
      <x:c r="H67" s="15" t="str">
        <x:f>IF(AND(ISNUMBER(D67),ISNUMBER(E67)),IF(D67=0,"n.a.",ABS(E67-D67)/ABS(D67)),"")</x:f>
      </x:c>
      <x:c r="I67" s="2" t="str">
        <x:f>IF(COUNTA(A67)=0,"",IF(NOT(ISNUMBER('Status'!$B$6)),"Set tolerance",IF(COUNT(C67:E67)&lt;3,"Need 3 levels",IF(OR(C67=0,D67=0),"Use abs. Δ",IF(AND(ABS(D67-C67)/ABS(C67)&lt;='Status'!$B$6,H67&lt;='Status'!$B$6),"Yes","No")))))</x:f>
      </x:c>
      <x:c r="J67" s="14" t="str">
        <x:f>IF(OR(COUNTA($A67)=0,'Status'!$E$6=""),"",IF(COUNTIFS('Estimates'!$A$5:$A$2004,$A67,'Estimates'!$B$5:$B$2004,"PPS",'Estimates'!$D$5:$D$2004,'Status'!$E$6,'Estimates'!$E$5:$E$2004,'Status'!$E$7)=0,"",IF(COUNTIFS('Estimates'!$A$5:$A$2004,$A67,'Estimates'!$B$5:$B$2004,"PPS",'Estimates'!$D$5:$D$2004,'Status'!$E$6,'Estimates'!$E$5:$E$2004,'Status'!$E$7)&gt;1,"DUP",SUMIFS('Estimates'!$F$5:$F$2004,'Estimates'!$A$5:$A$2004,$A67,'Estimates'!$B$5:$B$2004,"PPS",'Estimates'!$D$5:$D$2004,'Status'!$E$6,'Estimates'!$E$5:$E$2004,'Status'!$E$7))))</x:f>
      </x:c>
      <x:c r="K67" s="14" t="str">
        <x:f>IF(OR(COUNTA($A67)=0,'Status'!$F$6=""),"",IF(COUNTIFS('Estimates'!$A$5:$A$2004,$A67,'Estimates'!$B$5:$B$2004,"PPS",'Estimates'!$D$5:$D$2004,'Status'!$F$6,'Estimates'!$E$5:$E$2004,'Status'!$E$7)=0,"",IF(COUNTIFS('Estimates'!$A$5:$A$2004,$A67,'Estimates'!$B$5:$B$2004,"PPS",'Estimates'!$D$5:$D$2004,'Status'!$F$6,'Estimates'!$E$5:$E$2004,'Status'!$E$7)&gt;1,"DUP",SUMIFS('Estimates'!$F$5:$F$2004,'Estimates'!$A$5:$A$2004,$A67,'Estimates'!$B$5:$B$2004,"PPS",'Estimates'!$D$5:$D$2004,'Status'!$F$6,'Estimates'!$E$5:$E$2004,'Status'!$E$7))))</x:f>
      </x:c>
      <x:c r="L67" s="14" t="str">
        <x:f>IF(OR(COUNTA($A67)=0,'Status'!$G$6=""),"",IF(COUNTIFS('Estimates'!$A$5:$A$2004,$A67,'Estimates'!$B$5:$B$2004,"PPS",'Estimates'!$D$5:$D$2004,'Status'!$G$6,'Estimates'!$E$5:$E$2004,'Status'!$E$7)=0,"",IF(COUNTIFS('Estimates'!$A$5:$A$2004,$A67,'Estimates'!$B$5:$B$2004,"PPS",'Estimates'!$D$5:$D$2004,'Status'!$G$6,'Estimates'!$E$5:$E$2004,'Status'!$E$7)&gt;1,"DUP",SUMIFS('Estimates'!$F$5:$F$2004,'Estimates'!$A$5:$A$2004,$A67,'Estimates'!$B$5:$B$2004,"PPS",'Estimates'!$D$5:$D$2004,'Status'!$G$6,'Estimates'!$E$5:$E$2004,'Status'!$E$7))))</x:f>
      </x:c>
      <x:c r="M67" s="14" t="str">
        <x:f>IF(COUNT(J67:L67)&lt;2,"",_xlfn.STDEV.S(J67:L67))</x:f>
      </x:c>
      <x:c r="N67" s="14" t="str">
        <x:f>IF(AND(ISNUMBER(K67),ISNUMBER(L67)),ABS(L67-K67),"")</x:f>
      </x:c>
      <x:c r="O67" s="15" t="str">
        <x:f>IF(AND(ISNUMBER(K67),ISNUMBER(L67)),IF(K67=0,"n.a.",ABS(L67-K67)/ABS(K67)),"")</x:f>
      </x:c>
      <x:c r="P67" s="2" t="str">
        <x:f>IF(COUNTA(A67)=0,"",IF(NOT(ISNUMBER('Status'!$B$6)),"Set tolerance",IF(COUNT(J67:L67)&lt;3,"Need 3 levels",IF(OR(J67=0,K67=0),"Use abs. Δ",IF(AND(ABS(K67-J67)/ABS(J67)&lt;='Status'!$B$6,O67&lt;='Status'!$B$6),"Yes","No")))))</x:f>
      </x:c>
      <x:c r="Q67" s="14" t="str">
        <x:f>IF(AND(ISNUMBER(E67),ISNUMBER(L67)),ABS(E67-L67),"")</x:f>
      </x:c>
      <x:c r="R67" s="2" t="str">
        <x:f>IF(COUNTA(A67)=0,"",IF(COUNT(C67:E67,J67:L67)&gt;0,1,0))</x:f>
      </x:c>
      <x:c r="S67" s="2" t="str">
        <x:f>IF(COUNTA(A67)=0,"",IF(COUNTIFS($A$6:$A$165,A67)&gt;1,"Duplicate target",""))</x:f>
      </x:c>
    </x:row>
    <x:row r="68">
      <x:c r="A68" s="6"/>
      <x:c r="B68" s="20"/>
      <x:c r="C68" s="14" t="str">
        <x:f>IF(OR(COUNTA($A68)=0,'Status'!$E$5=""),"",IF(COUNTIFS('Estimates'!$A$5:$A$2004,$A68,'Estimates'!$B$5:$B$2004,"MPS",'Estimates'!$C$5:$C$2004,'Status'!$E$5)=0,"",IF(COUNTIFS('Estimates'!$A$5:$A$2004,$A68,'Estimates'!$B$5:$B$2004,"MPS",'Estimates'!$C$5:$C$2004,'Status'!$E$5)&gt;1,"DUP",SUMIFS('Estimates'!$F$5:$F$2004,'Estimates'!$A$5:$A$2004,$A68,'Estimates'!$B$5:$B$2004,"MPS",'Estimates'!$C$5:$C$2004,'Status'!$E$5))))</x:f>
      </x:c>
      <x:c r="D68" s="14" t="str">
        <x:f>IF(OR(COUNTA($A68)=0,'Status'!$F$5=""),"",IF(COUNTIFS('Estimates'!$A$5:$A$2004,$A68,'Estimates'!$B$5:$B$2004,"MPS",'Estimates'!$C$5:$C$2004,'Status'!$F$5)=0,"",IF(COUNTIFS('Estimates'!$A$5:$A$2004,$A68,'Estimates'!$B$5:$B$2004,"MPS",'Estimates'!$C$5:$C$2004,'Status'!$F$5)&gt;1,"DUP",SUMIFS('Estimates'!$F$5:$F$2004,'Estimates'!$A$5:$A$2004,$A68,'Estimates'!$B$5:$B$2004,"MPS",'Estimates'!$C$5:$C$2004,'Status'!$F$5))))</x:f>
      </x:c>
      <x:c r="E68" s="14" t="str">
        <x:f>IF(OR(COUNTA($A68)=0,'Status'!$G$5=""),"",IF(COUNTIFS('Estimates'!$A$5:$A$2004,$A68,'Estimates'!$B$5:$B$2004,"MPS",'Estimates'!$C$5:$C$2004,'Status'!$G$5)=0,"",IF(COUNTIFS('Estimates'!$A$5:$A$2004,$A68,'Estimates'!$B$5:$B$2004,"MPS",'Estimates'!$C$5:$C$2004,'Status'!$G$5)&gt;1,"DUP",SUMIFS('Estimates'!$F$5:$F$2004,'Estimates'!$A$5:$A$2004,$A68,'Estimates'!$B$5:$B$2004,"MPS",'Estimates'!$C$5:$C$2004,'Status'!$G$5))))</x:f>
      </x:c>
      <x:c r="F68" s="14" t="str">
        <x:f>IF(COUNT(C68:E68)&lt;2,"",_xlfn.STDEV.S(C68:E68))</x:f>
      </x:c>
      <x:c r="G68" s="14" t="str">
        <x:f>IF(AND(ISNUMBER(D68),ISNUMBER(E68)),ABS(E68-D68),"")</x:f>
      </x:c>
      <x:c r="H68" s="15" t="str">
        <x:f>IF(AND(ISNUMBER(D68),ISNUMBER(E68)),IF(D68=0,"n.a.",ABS(E68-D68)/ABS(D68)),"")</x:f>
      </x:c>
      <x:c r="I68" s="2" t="str">
        <x:f>IF(COUNTA(A68)=0,"",IF(NOT(ISNUMBER('Status'!$B$6)),"Set tolerance",IF(COUNT(C68:E68)&lt;3,"Need 3 levels",IF(OR(C68=0,D68=0),"Use abs. Δ",IF(AND(ABS(D68-C68)/ABS(C68)&lt;='Status'!$B$6,H68&lt;='Status'!$B$6),"Yes","No")))))</x:f>
      </x:c>
      <x:c r="J68" s="14" t="str">
        <x:f>IF(OR(COUNTA($A68)=0,'Status'!$E$6=""),"",IF(COUNTIFS('Estimates'!$A$5:$A$2004,$A68,'Estimates'!$B$5:$B$2004,"PPS",'Estimates'!$D$5:$D$2004,'Status'!$E$6,'Estimates'!$E$5:$E$2004,'Status'!$E$7)=0,"",IF(COUNTIFS('Estimates'!$A$5:$A$2004,$A68,'Estimates'!$B$5:$B$2004,"PPS",'Estimates'!$D$5:$D$2004,'Status'!$E$6,'Estimates'!$E$5:$E$2004,'Status'!$E$7)&gt;1,"DUP",SUMIFS('Estimates'!$F$5:$F$2004,'Estimates'!$A$5:$A$2004,$A68,'Estimates'!$B$5:$B$2004,"PPS",'Estimates'!$D$5:$D$2004,'Status'!$E$6,'Estimates'!$E$5:$E$2004,'Status'!$E$7))))</x:f>
      </x:c>
      <x:c r="K68" s="14" t="str">
        <x:f>IF(OR(COUNTA($A68)=0,'Status'!$F$6=""),"",IF(COUNTIFS('Estimates'!$A$5:$A$2004,$A68,'Estimates'!$B$5:$B$2004,"PPS",'Estimates'!$D$5:$D$2004,'Status'!$F$6,'Estimates'!$E$5:$E$2004,'Status'!$E$7)=0,"",IF(COUNTIFS('Estimates'!$A$5:$A$2004,$A68,'Estimates'!$B$5:$B$2004,"PPS",'Estimates'!$D$5:$D$2004,'Status'!$F$6,'Estimates'!$E$5:$E$2004,'Status'!$E$7)&gt;1,"DUP",SUMIFS('Estimates'!$F$5:$F$2004,'Estimates'!$A$5:$A$2004,$A68,'Estimates'!$B$5:$B$2004,"PPS",'Estimates'!$D$5:$D$2004,'Status'!$F$6,'Estimates'!$E$5:$E$2004,'Status'!$E$7))))</x:f>
      </x:c>
      <x:c r="L68" s="14" t="str">
        <x:f>IF(OR(COUNTA($A68)=0,'Status'!$G$6=""),"",IF(COUNTIFS('Estimates'!$A$5:$A$2004,$A68,'Estimates'!$B$5:$B$2004,"PPS",'Estimates'!$D$5:$D$2004,'Status'!$G$6,'Estimates'!$E$5:$E$2004,'Status'!$E$7)=0,"",IF(COUNTIFS('Estimates'!$A$5:$A$2004,$A68,'Estimates'!$B$5:$B$2004,"PPS",'Estimates'!$D$5:$D$2004,'Status'!$G$6,'Estimates'!$E$5:$E$2004,'Status'!$E$7)&gt;1,"DUP",SUMIFS('Estimates'!$F$5:$F$2004,'Estimates'!$A$5:$A$2004,$A68,'Estimates'!$B$5:$B$2004,"PPS",'Estimates'!$D$5:$D$2004,'Status'!$G$6,'Estimates'!$E$5:$E$2004,'Status'!$E$7))))</x:f>
      </x:c>
      <x:c r="M68" s="14" t="str">
        <x:f>IF(COUNT(J68:L68)&lt;2,"",_xlfn.STDEV.S(J68:L68))</x:f>
      </x:c>
      <x:c r="N68" s="14" t="str">
        <x:f>IF(AND(ISNUMBER(K68),ISNUMBER(L68)),ABS(L68-K68),"")</x:f>
      </x:c>
      <x:c r="O68" s="15" t="str">
        <x:f>IF(AND(ISNUMBER(K68),ISNUMBER(L68)),IF(K68=0,"n.a.",ABS(L68-K68)/ABS(K68)),"")</x:f>
      </x:c>
      <x:c r="P68" s="2" t="str">
        <x:f>IF(COUNTA(A68)=0,"",IF(NOT(ISNUMBER('Status'!$B$6)),"Set tolerance",IF(COUNT(J68:L68)&lt;3,"Need 3 levels",IF(OR(J68=0,K68=0),"Use abs. Δ",IF(AND(ABS(K68-J68)/ABS(J68)&lt;='Status'!$B$6,O68&lt;='Status'!$B$6),"Yes","No")))))</x:f>
      </x:c>
      <x:c r="Q68" s="14" t="str">
        <x:f>IF(AND(ISNUMBER(E68),ISNUMBER(L68)),ABS(E68-L68),"")</x:f>
      </x:c>
      <x:c r="R68" s="2" t="str">
        <x:f>IF(COUNTA(A68)=0,"",IF(COUNT(C68:E68,J68:L68)&gt;0,1,0))</x:f>
      </x:c>
      <x:c r="S68" s="2" t="str">
        <x:f>IF(COUNTA(A68)=0,"",IF(COUNTIFS($A$6:$A$165,A68)&gt;1,"Duplicate target",""))</x:f>
      </x:c>
    </x:row>
    <x:row r="69">
      <x:c r="A69" s="6"/>
      <x:c r="B69" s="20"/>
      <x:c r="C69" s="14" t="str">
        <x:f>IF(OR(COUNTA($A69)=0,'Status'!$E$5=""),"",IF(COUNTIFS('Estimates'!$A$5:$A$2004,$A69,'Estimates'!$B$5:$B$2004,"MPS",'Estimates'!$C$5:$C$2004,'Status'!$E$5)=0,"",IF(COUNTIFS('Estimates'!$A$5:$A$2004,$A69,'Estimates'!$B$5:$B$2004,"MPS",'Estimates'!$C$5:$C$2004,'Status'!$E$5)&gt;1,"DUP",SUMIFS('Estimates'!$F$5:$F$2004,'Estimates'!$A$5:$A$2004,$A69,'Estimates'!$B$5:$B$2004,"MPS",'Estimates'!$C$5:$C$2004,'Status'!$E$5))))</x:f>
      </x:c>
      <x:c r="D69" s="14" t="str">
        <x:f>IF(OR(COUNTA($A69)=0,'Status'!$F$5=""),"",IF(COUNTIFS('Estimates'!$A$5:$A$2004,$A69,'Estimates'!$B$5:$B$2004,"MPS",'Estimates'!$C$5:$C$2004,'Status'!$F$5)=0,"",IF(COUNTIFS('Estimates'!$A$5:$A$2004,$A69,'Estimates'!$B$5:$B$2004,"MPS",'Estimates'!$C$5:$C$2004,'Status'!$F$5)&gt;1,"DUP",SUMIFS('Estimates'!$F$5:$F$2004,'Estimates'!$A$5:$A$2004,$A69,'Estimates'!$B$5:$B$2004,"MPS",'Estimates'!$C$5:$C$2004,'Status'!$F$5))))</x:f>
      </x:c>
      <x:c r="E69" s="14" t="str">
        <x:f>IF(OR(COUNTA($A69)=0,'Status'!$G$5=""),"",IF(COUNTIFS('Estimates'!$A$5:$A$2004,$A69,'Estimates'!$B$5:$B$2004,"MPS",'Estimates'!$C$5:$C$2004,'Status'!$G$5)=0,"",IF(COUNTIFS('Estimates'!$A$5:$A$2004,$A69,'Estimates'!$B$5:$B$2004,"MPS",'Estimates'!$C$5:$C$2004,'Status'!$G$5)&gt;1,"DUP",SUMIFS('Estimates'!$F$5:$F$2004,'Estimates'!$A$5:$A$2004,$A69,'Estimates'!$B$5:$B$2004,"MPS",'Estimates'!$C$5:$C$2004,'Status'!$G$5))))</x:f>
      </x:c>
      <x:c r="F69" s="14" t="str">
        <x:f>IF(COUNT(C69:E69)&lt;2,"",_xlfn.STDEV.S(C69:E69))</x:f>
      </x:c>
      <x:c r="G69" s="14" t="str">
        <x:f>IF(AND(ISNUMBER(D69),ISNUMBER(E69)),ABS(E69-D69),"")</x:f>
      </x:c>
      <x:c r="H69" s="15" t="str">
        <x:f>IF(AND(ISNUMBER(D69),ISNUMBER(E69)),IF(D69=0,"n.a.",ABS(E69-D69)/ABS(D69)),"")</x:f>
      </x:c>
      <x:c r="I69" s="2" t="str">
        <x:f>IF(COUNTA(A69)=0,"",IF(NOT(ISNUMBER('Status'!$B$6)),"Set tolerance",IF(COUNT(C69:E69)&lt;3,"Need 3 levels",IF(OR(C69=0,D69=0),"Use abs. Δ",IF(AND(ABS(D69-C69)/ABS(C69)&lt;='Status'!$B$6,H69&lt;='Status'!$B$6),"Yes","No")))))</x:f>
      </x:c>
      <x:c r="J69" s="14" t="str">
        <x:f>IF(OR(COUNTA($A69)=0,'Status'!$E$6=""),"",IF(COUNTIFS('Estimates'!$A$5:$A$2004,$A69,'Estimates'!$B$5:$B$2004,"PPS",'Estimates'!$D$5:$D$2004,'Status'!$E$6,'Estimates'!$E$5:$E$2004,'Status'!$E$7)=0,"",IF(COUNTIFS('Estimates'!$A$5:$A$2004,$A69,'Estimates'!$B$5:$B$2004,"PPS",'Estimates'!$D$5:$D$2004,'Status'!$E$6,'Estimates'!$E$5:$E$2004,'Status'!$E$7)&gt;1,"DUP",SUMIFS('Estimates'!$F$5:$F$2004,'Estimates'!$A$5:$A$2004,$A69,'Estimates'!$B$5:$B$2004,"PPS",'Estimates'!$D$5:$D$2004,'Status'!$E$6,'Estimates'!$E$5:$E$2004,'Status'!$E$7))))</x:f>
      </x:c>
      <x:c r="K69" s="14" t="str">
        <x:f>IF(OR(COUNTA($A69)=0,'Status'!$F$6=""),"",IF(COUNTIFS('Estimates'!$A$5:$A$2004,$A69,'Estimates'!$B$5:$B$2004,"PPS",'Estimates'!$D$5:$D$2004,'Status'!$F$6,'Estimates'!$E$5:$E$2004,'Status'!$E$7)=0,"",IF(COUNTIFS('Estimates'!$A$5:$A$2004,$A69,'Estimates'!$B$5:$B$2004,"PPS",'Estimates'!$D$5:$D$2004,'Status'!$F$6,'Estimates'!$E$5:$E$2004,'Status'!$E$7)&gt;1,"DUP",SUMIFS('Estimates'!$F$5:$F$2004,'Estimates'!$A$5:$A$2004,$A69,'Estimates'!$B$5:$B$2004,"PPS",'Estimates'!$D$5:$D$2004,'Status'!$F$6,'Estimates'!$E$5:$E$2004,'Status'!$E$7))))</x:f>
      </x:c>
      <x:c r="L69" s="14" t="str">
        <x:f>IF(OR(COUNTA($A69)=0,'Status'!$G$6=""),"",IF(COUNTIFS('Estimates'!$A$5:$A$2004,$A69,'Estimates'!$B$5:$B$2004,"PPS",'Estimates'!$D$5:$D$2004,'Status'!$G$6,'Estimates'!$E$5:$E$2004,'Status'!$E$7)=0,"",IF(COUNTIFS('Estimates'!$A$5:$A$2004,$A69,'Estimates'!$B$5:$B$2004,"PPS",'Estimates'!$D$5:$D$2004,'Status'!$G$6,'Estimates'!$E$5:$E$2004,'Status'!$E$7)&gt;1,"DUP",SUMIFS('Estimates'!$F$5:$F$2004,'Estimates'!$A$5:$A$2004,$A69,'Estimates'!$B$5:$B$2004,"PPS",'Estimates'!$D$5:$D$2004,'Status'!$G$6,'Estimates'!$E$5:$E$2004,'Status'!$E$7))))</x:f>
      </x:c>
      <x:c r="M69" s="14" t="str">
        <x:f>IF(COUNT(J69:L69)&lt;2,"",_xlfn.STDEV.S(J69:L69))</x:f>
      </x:c>
      <x:c r="N69" s="14" t="str">
        <x:f>IF(AND(ISNUMBER(K69),ISNUMBER(L69)),ABS(L69-K69),"")</x:f>
      </x:c>
      <x:c r="O69" s="15" t="str">
        <x:f>IF(AND(ISNUMBER(K69),ISNUMBER(L69)),IF(K69=0,"n.a.",ABS(L69-K69)/ABS(K69)),"")</x:f>
      </x:c>
      <x:c r="P69" s="2" t="str">
        <x:f>IF(COUNTA(A69)=0,"",IF(NOT(ISNUMBER('Status'!$B$6)),"Set tolerance",IF(COUNT(J69:L69)&lt;3,"Need 3 levels",IF(OR(J69=0,K69=0),"Use abs. Δ",IF(AND(ABS(K69-J69)/ABS(J69)&lt;='Status'!$B$6,O69&lt;='Status'!$B$6),"Yes","No")))))</x:f>
      </x:c>
      <x:c r="Q69" s="14" t="str">
        <x:f>IF(AND(ISNUMBER(E69),ISNUMBER(L69)),ABS(E69-L69),"")</x:f>
      </x:c>
      <x:c r="R69" s="2" t="str">
        <x:f>IF(COUNTA(A69)=0,"",IF(COUNT(C69:E69,J69:L69)&gt;0,1,0))</x:f>
      </x:c>
      <x:c r="S69" s="2" t="str">
        <x:f>IF(COUNTA(A69)=0,"",IF(COUNTIFS($A$6:$A$165,A69)&gt;1,"Duplicate target",""))</x:f>
      </x:c>
    </x:row>
    <x:row r="70">
      <x:c r="A70" s="6"/>
      <x:c r="B70" s="20"/>
      <x:c r="C70" s="14" t="str">
        <x:f>IF(OR(COUNTA($A70)=0,'Status'!$E$5=""),"",IF(COUNTIFS('Estimates'!$A$5:$A$2004,$A70,'Estimates'!$B$5:$B$2004,"MPS",'Estimates'!$C$5:$C$2004,'Status'!$E$5)=0,"",IF(COUNTIFS('Estimates'!$A$5:$A$2004,$A70,'Estimates'!$B$5:$B$2004,"MPS",'Estimates'!$C$5:$C$2004,'Status'!$E$5)&gt;1,"DUP",SUMIFS('Estimates'!$F$5:$F$2004,'Estimates'!$A$5:$A$2004,$A70,'Estimates'!$B$5:$B$2004,"MPS",'Estimates'!$C$5:$C$2004,'Status'!$E$5))))</x:f>
      </x:c>
      <x:c r="D70" s="14" t="str">
        <x:f>IF(OR(COUNTA($A70)=0,'Status'!$F$5=""),"",IF(COUNTIFS('Estimates'!$A$5:$A$2004,$A70,'Estimates'!$B$5:$B$2004,"MPS",'Estimates'!$C$5:$C$2004,'Status'!$F$5)=0,"",IF(COUNTIFS('Estimates'!$A$5:$A$2004,$A70,'Estimates'!$B$5:$B$2004,"MPS",'Estimates'!$C$5:$C$2004,'Status'!$F$5)&gt;1,"DUP",SUMIFS('Estimates'!$F$5:$F$2004,'Estimates'!$A$5:$A$2004,$A70,'Estimates'!$B$5:$B$2004,"MPS",'Estimates'!$C$5:$C$2004,'Status'!$F$5))))</x:f>
      </x:c>
      <x:c r="E70" s="14" t="str">
        <x:f>IF(OR(COUNTA($A70)=0,'Status'!$G$5=""),"",IF(COUNTIFS('Estimates'!$A$5:$A$2004,$A70,'Estimates'!$B$5:$B$2004,"MPS",'Estimates'!$C$5:$C$2004,'Status'!$G$5)=0,"",IF(COUNTIFS('Estimates'!$A$5:$A$2004,$A70,'Estimates'!$B$5:$B$2004,"MPS",'Estimates'!$C$5:$C$2004,'Status'!$G$5)&gt;1,"DUP",SUMIFS('Estimates'!$F$5:$F$2004,'Estimates'!$A$5:$A$2004,$A70,'Estimates'!$B$5:$B$2004,"MPS",'Estimates'!$C$5:$C$2004,'Status'!$G$5))))</x:f>
      </x:c>
      <x:c r="F70" s="14" t="str">
        <x:f>IF(COUNT(C70:E70)&lt;2,"",_xlfn.STDEV.S(C70:E70))</x:f>
      </x:c>
      <x:c r="G70" s="14" t="str">
        <x:f>IF(AND(ISNUMBER(D70),ISNUMBER(E70)),ABS(E70-D70),"")</x:f>
      </x:c>
      <x:c r="H70" s="15" t="str">
        <x:f>IF(AND(ISNUMBER(D70),ISNUMBER(E70)),IF(D70=0,"n.a.",ABS(E70-D70)/ABS(D70)),"")</x:f>
      </x:c>
      <x:c r="I70" s="2" t="str">
        <x:f>IF(COUNTA(A70)=0,"",IF(NOT(ISNUMBER('Status'!$B$6)),"Set tolerance",IF(COUNT(C70:E70)&lt;3,"Need 3 levels",IF(OR(C70=0,D70=0),"Use abs. Δ",IF(AND(ABS(D70-C70)/ABS(C70)&lt;='Status'!$B$6,H70&lt;='Status'!$B$6),"Yes","No")))))</x:f>
      </x:c>
      <x:c r="J70" s="14" t="str">
        <x:f>IF(OR(COUNTA($A70)=0,'Status'!$E$6=""),"",IF(COUNTIFS('Estimates'!$A$5:$A$2004,$A70,'Estimates'!$B$5:$B$2004,"PPS",'Estimates'!$D$5:$D$2004,'Status'!$E$6,'Estimates'!$E$5:$E$2004,'Status'!$E$7)=0,"",IF(COUNTIFS('Estimates'!$A$5:$A$2004,$A70,'Estimates'!$B$5:$B$2004,"PPS",'Estimates'!$D$5:$D$2004,'Status'!$E$6,'Estimates'!$E$5:$E$2004,'Status'!$E$7)&gt;1,"DUP",SUMIFS('Estimates'!$F$5:$F$2004,'Estimates'!$A$5:$A$2004,$A70,'Estimates'!$B$5:$B$2004,"PPS",'Estimates'!$D$5:$D$2004,'Status'!$E$6,'Estimates'!$E$5:$E$2004,'Status'!$E$7))))</x:f>
      </x:c>
      <x:c r="K70" s="14" t="str">
        <x:f>IF(OR(COUNTA($A70)=0,'Status'!$F$6=""),"",IF(COUNTIFS('Estimates'!$A$5:$A$2004,$A70,'Estimates'!$B$5:$B$2004,"PPS",'Estimates'!$D$5:$D$2004,'Status'!$F$6,'Estimates'!$E$5:$E$2004,'Status'!$E$7)=0,"",IF(COUNTIFS('Estimates'!$A$5:$A$2004,$A70,'Estimates'!$B$5:$B$2004,"PPS",'Estimates'!$D$5:$D$2004,'Status'!$F$6,'Estimates'!$E$5:$E$2004,'Status'!$E$7)&gt;1,"DUP",SUMIFS('Estimates'!$F$5:$F$2004,'Estimates'!$A$5:$A$2004,$A70,'Estimates'!$B$5:$B$2004,"PPS",'Estimates'!$D$5:$D$2004,'Status'!$F$6,'Estimates'!$E$5:$E$2004,'Status'!$E$7))))</x:f>
      </x:c>
      <x:c r="L70" s="14" t="str">
        <x:f>IF(OR(COUNTA($A70)=0,'Status'!$G$6=""),"",IF(COUNTIFS('Estimates'!$A$5:$A$2004,$A70,'Estimates'!$B$5:$B$2004,"PPS",'Estimates'!$D$5:$D$2004,'Status'!$G$6,'Estimates'!$E$5:$E$2004,'Status'!$E$7)=0,"",IF(COUNTIFS('Estimates'!$A$5:$A$2004,$A70,'Estimates'!$B$5:$B$2004,"PPS",'Estimates'!$D$5:$D$2004,'Status'!$G$6,'Estimates'!$E$5:$E$2004,'Status'!$E$7)&gt;1,"DUP",SUMIFS('Estimates'!$F$5:$F$2004,'Estimates'!$A$5:$A$2004,$A70,'Estimates'!$B$5:$B$2004,"PPS",'Estimates'!$D$5:$D$2004,'Status'!$G$6,'Estimates'!$E$5:$E$2004,'Status'!$E$7))))</x:f>
      </x:c>
      <x:c r="M70" s="14" t="str">
        <x:f>IF(COUNT(J70:L70)&lt;2,"",_xlfn.STDEV.S(J70:L70))</x:f>
      </x:c>
      <x:c r="N70" s="14" t="str">
        <x:f>IF(AND(ISNUMBER(K70),ISNUMBER(L70)),ABS(L70-K70),"")</x:f>
      </x:c>
      <x:c r="O70" s="15" t="str">
        <x:f>IF(AND(ISNUMBER(K70),ISNUMBER(L70)),IF(K70=0,"n.a.",ABS(L70-K70)/ABS(K70)),"")</x:f>
      </x:c>
      <x:c r="P70" s="2" t="str">
        <x:f>IF(COUNTA(A70)=0,"",IF(NOT(ISNUMBER('Status'!$B$6)),"Set tolerance",IF(COUNT(J70:L70)&lt;3,"Need 3 levels",IF(OR(J70=0,K70=0),"Use abs. Δ",IF(AND(ABS(K70-J70)/ABS(J70)&lt;='Status'!$B$6,O70&lt;='Status'!$B$6),"Yes","No")))))</x:f>
      </x:c>
      <x:c r="Q70" s="14" t="str">
        <x:f>IF(AND(ISNUMBER(E70),ISNUMBER(L70)),ABS(E70-L70),"")</x:f>
      </x:c>
      <x:c r="R70" s="2" t="str">
        <x:f>IF(COUNTA(A70)=0,"",IF(COUNT(C70:E70,J70:L70)&gt;0,1,0))</x:f>
      </x:c>
      <x:c r="S70" s="2" t="str">
        <x:f>IF(COUNTA(A70)=0,"",IF(COUNTIFS($A$6:$A$165,A70)&gt;1,"Duplicate target",""))</x:f>
      </x:c>
    </x:row>
    <x:row r="71">
      <x:c r="A71" s="6"/>
      <x:c r="B71" s="20"/>
      <x:c r="C71" s="14" t="str">
        <x:f>IF(OR(COUNTA($A71)=0,'Status'!$E$5=""),"",IF(COUNTIFS('Estimates'!$A$5:$A$2004,$A71,'Estimates'!$B$5:$B$2004,"MPS",'Estimates'!$C$5:$C$2004,'Status'!$E$5)=0,"",IF(COUNTIFS('Estimates'!$A$5:$A$2004,$A71,'Estimates'!$B$5:$B$2004,"MPS",'Estimates'!$C$5:$C$2004,'Status'!$E$5)&gt;1,"DUP",SUMIFS('Estimates'!$F$5:$F$2004,'Estimates'!$A$5:$A$2004,$A71,'Estimates'!$B$5:$B$2004,"MPS",'Estimates'!$C$5:$C$2004,'Status'!$E$5))))</x:f>
      </x:c>
      <x:c r="D71" s="14" t="str">
        <x:f>IF(OR(COUNTA($A71)=0,'Status'!$F$5=""),"",IF(COUNTIFS('Estimates'!$A$5:$A$2004,$A71,'Estimates'!$B$5:$B$2004,"MPS",'Estimates'!$C$5:$C$2004,'Status'!$F$5)=0,"",IF(COUNTIFS('Estimates'!$A$5:$A$2004,$A71,'Estimates'!$B$5:$B$2004,"MPS",'Estimates'!$C$5:$C$2004,'Status'!$F$5)&gt;1,"DUP",SUMIFS('Estimates'!$F$5:$F$2004,'Estimates'!$A$5:$A$2004,$A71,'Estimates'!$B$5:$B$2004,"MPS",'Estimates'!$C$5:$C$2004,'Status'!$F$5))))</x:f>
      </x:c>
      <x:c r="E71" s="14" t="str">
        <x:f>IF(OR(COUNTA($A71)=0,'Status'!$G$5=""),"",IF(COUNTIFS('Estimates'!$A$5:$A$2004,$A71,'Estimates'!$B$5:$B$2004,"MPS",'Estimates'!$C$5:$C$2004,'Status'!$G$5)=0,"",IF(COUNTIFS('Estimates'!$A$5:$A$2004,$A71,'Estimates'!$B$5:$B$2004,"MPS",'Estimates'!$C$5:$C$2004,'Status'!$G$5)&gt;1,"DUP",SUMIFS('Estimates'!$F$5:$F$2004,'Estimates'!$A$5:$A$2004,$A71,'Estimates'!$B$5:$B$2004,"MPS",'Estimates'!$C$5:$C$2004,'Status'!$G$5))))</x:f>
      </x:c>
      <x:c r="F71" s="14" t="str">
        <x:f>IF(COUNT(C71:E71)&lt;2,"",_xlfn.STDEV.S(C71:E71))</x:f>
      </x:c>
      <x:c r="G71" s="14" t="str">
        <x:f>IF(AND(ISNUMBER(D71),ISNUMBER(E71)),ABS(E71-D71),"")</x:f>
      </x:c>
      <x:c r="H71" s="15" t="str">
        <x:f>IF(AND(ISNUMBER(D71),ISNUMBER(E71)),IF(D71=0,"n.a.",ABS(E71-D71)/ABS(D71)),"")</x:f>
      </x:c>
      <x:c r="I71" s="2" t="str">
        <x:f>IF(COUNTA(A71)=0,"",IF(NOT(ISNUMBER('Status'!$B$6)),"Set tolerance",IF(COUNT(C71:E71)&lt;3,"Need 3 levels",IF(OR(C71=0,D71=0),"Use abs. Δ",IF(AND(ABS(D71-C71)/ABS(C71)&lt;='Status'!$B$6,H71&lt;='Status'!$B$6),"Yes","No")))))</x:f>
      </x:c>
      <x:c r="J71" s="14" t="str">
        <x:f>IF(OR(COUNTA($A71)=0,'Status'!$E$6=""),"",IF(COUNTIFS('Estimates'!$A$5:$A$2004,$A71,'Estimates'!$B$5:$B$2004,"PPS",'Estimates'!$D$5:$D$2004,'Status'!$E$6,'Estimates'!$E$5:$E$2004,'Status'!$E$7)=0,"",IF(COUNTIFS('Estimates'!$A$5:$A$2004,$A71,'Estimates'!$B$5:$B$2004,"PPS",'Estimates'!$D$5:$D$2004,'Status'!$E$6,'Estimates'!$E$5:$E$2004,'Status'!$E$7)&gt;1,"DUP",SUMIFS('Estimates'!$F$5:$F$2004,'Estimates'!$A$5:$A$2004,$A71,'Estimates'!$B$5:$B$2004,"PPS",'Estimates'!$D$5:$D$2004,'Status'!$E$6,'Estimates'!$E$5:$E$2004,'Status'!$E$7))))</x:f>
      </x:c>
      <x:c r="K71" s="14" t="str">
        <x:f>IF(OR(COUNTA($A71)=0,'Status'!$F$6=""),"",IF(COUNTIFS('Estimates'!$A$5:$A$2004,$A71,'Estimates'!$B$5:$B$2004,"PPS",'Estimates'!$D$5:$D$2004,'Status'!$F$6,'Estimates'!$E$5:$E$2004,'Status'!$E$7)=0,"",IF(COUNTIFS('Estimates'!$A$5:$A$2004,$A71,'Estimates'!$B$5:$B$2004,"PPS",'Estimates'!$D$5:$D$2004,'Status'!$F$6,'Estimates'!$E$5:$E$2004,'Status'!$E$7)&gt;1,"DUP",SUMIFS('Estimates'!$F$5:$F$2004,'Estimates'!$A$5:$A$2004,$A71,'Estimates'!$B$5:$B$2004,"PPS",'Estimates'!$D$5:$D$2004,'Status'!$F$6,'Estimates'!$E$5:$E$2004,'Status'!$E$7))))</x:f>
      </x:c>
      <x:c r="L71" s="14" t="str">
        <x:f>IF(OR(COUNTA($A71)=0,'Status'!$G$6=""),"",IF(COUNTIFS('Estimates'!$A$5:$A$2004,$A71,'Estimates'!$B$5:$B$2004,"PPS",'Estimates'!$D$5:$D$2004,'Status'!$G$6,'Estimates'!$E$5:$E$2004,'Status'!$E$7)=0,"",IF(COUNTIFS('Estimates'!$A$5:$A$2004,$A71,'Estimates'!$B$5:$B$2004,"PPS",'Estimates'!$D$5:$D$2004,'Status'!$G$6,'Estimates'!$E$5:$E$2004,'Status'!$E$7)&gt;1,"DUP",SUMIFS('Estimates'!$F$5:$F$2004,'Estimates'!$A$5:$A$2004,$A71,'Estimates'!$B$5:$B$2004,"PPS",'Estimates'!$D$5:$D$2004,'Status'!$G$6,'Estimates'!$E$5:$E$2004,'Status'!$E$7))))</x:f>
      </x:c>
      <x:c r="M71" s="14" t="str">
        <x:f>IF(COUNT(J71:L71)&lt;2,"",_xlfn.STDEV.S(J71:L71))</x:f>
      </x:c>
      <x:c r="N71" s="14" t="str">
        <x:f>IF(AND(ISNUMBER(K71),ISNUMBER(L71)),ABS(L71-K71),"")</x:f>
      </x:c>
      <x:c r="O71" s="15" t="str">
        <x:f>IF(AND(ISNUMBER(K71),ISNUMBER(L71)),IF(K71=0,"n.a.",ABS(L71-K71)/ABS(K71)),"")</x:f>
      </x:c>
      <x:c r="P71" s="2" t="str">
        <x:f>IF(COUNTA(A71)=0,"",IF(NOT(ISNUMBER('Status'!$B$6)),"Set tolerance",IF(COUNT(J71:L71)&lt;3,"Need 3 levels",IF(OR(J71=0,K71=0),"Use abs. Δ",IF(AND(ABS(K71-J71)/ABS(J71)&lt;='Status'!$B$6,O71&lt;='Status'!$B$6),"Yes","No")))))</x:f>
      </x:c>
      <x:c r="Q71" s="14" t="str">
        <x:f>IF(AND(ISNUMBER(E71),ISNUMBER(L71)),ABS(E71-L71),"")</x:f>
      </x:c>
      <x:c r="R71" s="2" t="str">
        <x:f>IF(COUNTA(A71)=0,"",IF(COUNT(C71:E71,J71:L71)&gt;0,1,0))</x:f>
      </x:c>
      <x:c r="S71" s="2" t="str">
        <x:f>IF(COUNTA(A71)=0,"",IF(COUNTIFS($A$6:$A$165,A71)&gt;1,"Duplicate target",""))</x:f>
      </x:c>
    </x:row>
    <x:row r="72">
      <x:c r="A72" s="6"/>
      <x:c r="B72" s="20"/>
      <x:c r="C72" s="14" t="str">
        <x:f>IF(OR(COUNTA($A72)=0,'Status'!$E$5=""),"",IF(COUNTIFS('Estimates'!$A$5:$A$2004,$A72,'Estimates'!$B$5:$B$2004,"MPS",'Estimates'!$C$5:$C$2004,'Status'!$E$5)=0,"",IF(COUNTIFS('Estimates'!$A$5:$A$2004,$A72,'Estimates'!$B$5:$B$2004,"MPS",'Estimates'!$C$5:$C$2004,'Status'!$E$5)&gt;1,"DUP",SUMIFS('Estimates'!$F$5:$F$2004,'Estimates'!$A$5:$A$2004,$A72,'Estimates'!$B$5:$B$2004,"MPS",'Estimates'!$C$5:$C$2004,'Status'!$E$5))))</x:f>
      </x:c>
      <x:c r="D72" s="14" t="str">
        <x:f>IF(OR(COUNTA($A72)=0,'Status'!$F$5=""),"",IF(COUNTIFS('Estimates'!$A$5:$A$2004,$A72,'Estimates'!$B$5:$B$2004,"MPS",'Estimates'!$C$5:$C$2004,'Status'!$F$5)=0,"",IF(COUNTIFS('Estimates'!$A$5:$A$2004,$A72,'Estimates'!$B$5:$B$2004,"MPS",'Estimates'!$C$5:$C$2004,'Status'!$F$5)&gt;1,"DUP",SUMIFS('Estimates'!$F$5:$F$2004,'Estimates'!$A$5:$A$2004,$A72,'Estimates'!$B$5:$B$2004,"MPS",'Estimates'!$C$5:$C$2004,'Status'!$F$5))))</x:f>
      </x:c>
      <x:c r="E72" s="14" t="str">
        <x:f>IF(OR(COUNTA($A72)=0,'Status'!$G$5=""),"",IF(COUNTIFS('Estimates'!$A$5:$A$2004,$A72,'Estimates'!$B$5:$B$2004,"MPS",'Estimates'!$C$5:$C$2004,'Status'!$G$5)=0,"",IF(COUNTIFS('Estimates'!$A$5:$A$2004,$A72,'Estimates'!$B$5:$B$2004,"MPS",'Estimates'!$C$5:$C$2004,'Status'!$G$5)&gt;1,"DUP",SUMIFS('Estimates'!$F$5:$F$2004,'Estimates'!$A$5:$A$2004,$A72,'Estimates'!$B$5:$B$2004,"MPS",'Estimates'!$C$5:$C$2004,'Status'!$G$5))))</x:f>
      </x:c>
      <x:c r="F72" s="14" t="str">
        <x:f>IF(COUNT(C72:E72)&lt;2,"",_xlfn.STDEV.S(C72:E72))</x:f>
      </x:c>
      <x:c r="G72" s="14" t="str">
        <x:f>IF(AND(ISNUMBER(D72),ISNUMBER(E72)),ABS(E72-D72),"")</x:f>
      </x:c>
      <x:c r="H72" s="15" t="str">
        <x:f>IF(AND(ISNUMBER(D72),ISNUMBER(E72)),IF(D72=0,"n.a.",ABS(E72-D72)/ABS(D72)),"")</x:f>
      </x:c>
      <x:c r="I72" s="2" t="str">
        <x:f>IF(COUNTA(A72)=0,"",IF(NOT(ISNUMBER('Status'!$B$6)),"Set tolerance",IF(COUNT(C72:E72)&lt;3,"Need 3 levels",IF(OR(C72=0,D72=0),"Use abs. Δ",IF(AND(ABS(D72-C72)/ABS(C72)&lt;='Status'!$B$6,H72&lt;='Status'!$B$6),"Yes","No")))))</x:f>
      </x:c>
      <x:c r="J72" s="14" t="str">
        <x:f>IF(OR(COUNTA($A72)=0,'Status'!$E$6=""),"",IF(COUNTIFS('Estimates'!$A$5:$A$2004,$A72,'Estimates'!$B$5:$B$2004,"PPS",'Estimates'!$D$5:$D$2004,'Status'!$E$6,'Estimates'!$E$5:$E$2004,'Status'!$E$7)=0,"",IF(COUNTIFS('Estimates'!$A$5:$A$2004,$A72,'Estimates'!$B$5:$B$2004,"PPS",'Estimates'!$D$5:$D$2004,'Status'!$E$6,'Estimates'!$E$5:$E$2004,'Status'!$E$7)&gt;1,"DUP",SUMIFS('Estimates'!$F$5:$F$2004,'Estimates'!$A$5:$A$2004,$A72,'Estimates'!$B$5:$B$2004,"PPS",'Estimates'!$D$5:$D$2004,'Status'!$E$6,'Estimates'!$E$5:$E$2004,'Status'!$E$7))))</x:f>
      </x:c>
      <x:c r="K72" s="14" t="str">
        <x:f>IF(OR(COUNTA($A72)=0,'Status'!$F$6=""),"",IF(COUNTIFS('Estimates'!$A$5:$A$2004,$A72,'Estimates'!$B$5:$B$2004,"PPS",'Estimates'!$D$5:$D$2004,'Status'!$F$6,'Estimates'!$E$5:$E$2004,'Status'!$E$7)=0,"",IF(COUNTIFS('Estimates'!$A$5:$A$2004,$A72,'Estimates'!$B$5:$B$2004,"PPS",'Estimates'!$D$5:$D$2004,'Status'!$F$6,'Estimates'!$E$5:$E$2004,'Status'!$E$7)&gt;1,"DUP",SUMIFS('Estimates'!$F$5:$F$2004,'Estimates'!$A$5:$A$2004,$A72,'Estimates'!$B$5:$B$2004,"PPS",'Estimates'!$D$5:$D$2004,'Status'!$F$6,'Estimates'!$E$5:$E$2004,'Status'!$E$7))))</x:f>
      </x:c>
      <x:c r="L72" s="14" t="str">
        <x:f>IF(OR(COUNTA($A72)=0,'Status'!$G$6=""),"",IF(COUNTIFS('Estimates'!$A$5:$A$2004,$A72,'Estimates'!$B$5:$B$2004,"PPS",'Estimates'!$D$5:$D$2004,'Status'!$G$6,'Estimates'!$E$5:$E$2004,'Status'!$E$7)=0,"",IF(COUNTIFS('Estimates'!$A$5:$A$2004,$A72,'Estimates'!$B$5:$B$2004,"PPS",'Estimates'!$D$5:$D$2004,'Status'!$G$6,'Estimates'!$E$5:$E$2004,'Status'!$E$7)&gt;1,"DUP",SUMIFS('Estimates'!$F$5:$F$2004,'Estimates'!$A$5:$A$2004,$A72,'Estimates'!$B$5:$B$2004,"PPS",'Estimates'!$D$5:$D$2004,'Status'!$G$6,'Estimates'!$E$5:$E$2004,'Status'!$E$7))))</x:f>
      </x:c>
      <x:c r="M72" s="14" t="str">
        <x:f>IF(COUNT(J72:L72)&lt;2,"",_xlfn.STDEV.S(J72:L72))</x:f>
      </x:c>
      <x:c r="N72" s="14" t="str">
        <x:f>IF(AND(ISNUMBER(K72),ISNUMBER(L72)),ABS(L72-K72),"")</x:f>
      </x:c>
      <x:c r="O72" s="15" t="str">
        <x:f>IF(AND(ISNUMBER(K72),ISNUMBER(L72)),IF(K72=0,"n.a.",ABS(L72-K72)/ABS(K72)),"")</x:f>
      </x:c>
      <x:c r="P72" s="2" t="str">
        <x:f>IF(COUNTA(A72)=0,"",IF(NOT(ISNUMBER('Status'!$B$6)),"Set tolerance",IF(COUNT(J72:L72)&lt;3,"Need 3 levels",IF(OR(J72=0,K72=0),"Use abs. Δ",IF(AND(ABS(K72-J72)/ABS(J72)&lt;='Status'!$B$6,O72&lt;='Status'!$B$6),"Yes","No")))))</x:f>
      </x:c>
      <x:c r="Q72" s="14" t="str">
        <x:f>IF(AND(ISNUMBER(E72),ISNUMBER(L72)),ABS(E72-L72),"")</x:f>
      </x:c>
      <x:c r="R72" s="2" t="str">
        <x:f>IF(COUNTA(A72)=0,"",IF(COUNT(C72:E72,J72:L72)&gt;0,1,0))</x:f>
      </x:c>
      <x:c r="S72" s="2" t="str">
        <x:f>IF(COUNTA(A72)=0,"",IF(COUNTIFS($A$6:$A$165,A72)&gt;1,"Duplicate target",""))</x:f>
      </x:c>
    </x:row>
    <x:row r="73">
      <x:c r="A73" s="6"/>
      <x:c r="B73" s="20"/>
      <x:c r="C73" s="14" t="str">
        <x:f>IF(OR(COUNTA($A73)=0,'Status'!$E$5=""),"",IF(COUNTIFS('Estimates'!$A$5:$A$2004,$A73,'Estimates'!$B$5:$B$2004,"MPS",'Estimates'!$C$5:$C$2004,'Status'!$E$5)=0,"",IF(COUNTIFS('Estimates'!$A$5:$A$2004,$A73,'Estimates'!$B$5:$B$2004,"MPS",'Estimates'!$C$5:$C$2004,'Status'!$E$5)&gt;1,"DUP",SUMIFS('Estimates'!$F$5:$F$2004,'Estimates'!$A$5:$A$2004,$A73,'Estimates'!$B$5:$B$2004,"MPS",'Estimates'!$C$5:$C$2004,'Status'!$E$5))))</x:f>
      </x:c>
      <x:c r="D73" s="14" t="str">
        <x:f>IF(OR(COUNTA($A73)=0,'Status'!$F$5=""),"",IF(COUNTIFS('Estimates'!$A$5:$A$2004,$A73,'Estimates'!$B$5:$B$2004,"MPS",'Estimates'!$C$5:$C$2004,'Status'!$F$5)=0,"",IF(COUNTIFS('Estimates'!$A$5:$A$2004,$A73,'Estimates'!$B$5:$B$2004,"MPS",'Estimates'!$C$5:$C$2004,'Status'!$F$5)&gt;1,"DUP",SUMIFS('Estimates'!$F$5:$F$2004,'Estimates'!$A$5:$A$2004,$A73,'Estimates'!$B$5:$B$2004,"MPS",'Estimates'!$C$5:$C$2004,'Status'!$F$5))))</x:f>
      </x:c>
      <x:c r="E73" s="14" t="str">
        <x:f>IF(OR(COUNTA($A73)=0,'Status'!$G$5=""),"",IF(COUNTIFS('Estimates'!$A$5:$A$2004,$A73,'Estimates'!$B$5:$B$2004,"MPS",'Estimates'!$C$5:$C$2004,'Status'!$G$5)=0,"",IF(COUNTIFS('Estimates'!$A$5:$A$2004,$A73,'Estimates'!$B$5:$B$2004,"MPS",'Estimates'!$C$5:$C$2004,'Status'!$G$5)&gt;1,"DUP",SUMIFS('Estimates'!$F$5:$F$2004,'Estimates'!$A$5:$A$2004,$A73,'Estimates'!$B$5:$B$2004,"MPS",'Estimates'!$C$5:$C$2004,'Status'!$G$5))))</x:f>
      </x:c>
      <x:c r="F73" s="14" t="str">
        <x:f>IF(COUNT(C73:E73)&lt;2,"",_xlfn.STDEV.S(C73:E73))</x:f>
      </x:c>
      <x:c r="G73" s="14" t="str">
        <x:f>IF(AND(ISNUMBER(D73),ISNUMBER(E73)),ABS(E73-D73),"")</x:f>
      </x:c>
      <x:c r="H73" s="15" t="str">
        <x:f>IF(AND(ISNUMBER(D73),ISNUMBER(E73)),IF(D73=0,"n.a.",ABS(E73-D73)/ABS(D73)),"")</x:f>
      </x:c>
      <x:c r="I73" s="2" t="str">
        <x:f>IF(COUNTA(A73)=0,"",IF(NOT(ISNUMBER('Status'!$B$6)),"Set tolerance",IF(COUNT(C73:E73)&lt;3,"Need 3 levels",IF(OR(C73=0,D73=0),"Use abs. Δ",IF(AND(ABS(D73-C73)/ABS(C73)&lt;='Status'!$B$6,H73&lt;='Status'!$B$6),"Yes","No")))))</x:f>
      </x:c>
      <x:c r="J73" s="14" t="str">
        <x:f>IF(OR(COUNTA($A73)=0,'Status'!$E$6=""),"",IF(COUNTIFS('Estimates'!$A$5:$A$2004,$A73,'Estimates'!$B$5:$B$2004,"PPS",'Estimates'!$D$5:$D$2004,'Status'!$E$6,'Estimates'!$E$5:$E$2004,'Status'!$E$7)=0,"",IF(COUNTIFS('Estimates'!$A$5:$A$2004,$A73,'Estimates'!$B$5:$B$2004,"PPS",'Estimates'!$D$5:$D$2004,'Status'!$E$6,'Estimates'!$E$5:$E$2004,'Status'!$E$7)&gt;1,"DUP",SUMIFS('Estimates'!$F$5:$F$2004,'Estimates'!$A$5:$A$2004,$A73,'Estimates'!$B$5:$B$2004,"PPS",'Estimates'!$D$5:$D$2004,'Status'!$E$6,'Estimates'!$E$5:$E$2004,'Status'!$E$7))))</x:f>
      </x:c>
      <x:c r="K73" s="14" t="str">
        <x:f>IF(OR(COUNTA($A73)=0,'Status'!$F$6=""),"",IF(COUNTIFS('Estimates'!$A$5:$A$2004,$A73,'Estimates'!$B$5:$B$2004,"PPS",'Estimates'!$D$5:$D$2004,'Status'!$F$6,'Estimates'!$E$5:$E$2004,'Status'!$E$7)=0,"",IF(COUNTIFS('Estimates'!$A$5:$A$2004,$A73,'Estimates'!$B$5:$B$2004,"PPS",'Estimates'!$D$5:$D$2004,'Status'!$F$6,'Estimates'!$E$5:$E$2004,'Status'!$E$7)&gt;1,"DUP",SUMIFS('Estimates'!$F$5:$F$2004,'Estimates'!$A$5:$A$2004,$A73,'Estimates'!$B$5:$B$2004,"PPS",'Estimates'!$D$5:$D$2004,'Status'!$F$6,'Estimates'!$E$5:$E$2004,'Status'!$E$7))))</x:f>
      </x:c>
      <x:c r="L73" s="14" t="str">
        <x:f>IF(OR(COUNTA($A73)=0,'Status'!$G$6=""),"",IF(COUNTIFS('Estimates'!$A$5:$A$2004,$A73,'Estimates'!$B$5:$B$2004,"PPS",'Estimates'!$D$5:$D$2004,'Status'!$G$6,'Estimates'!$E$5:$E$2004,'Status'!$E$7)=0,"",IF(COUNTIFS('Estimates'!$A$5:$A$2004,$A73,'Estimates'!$B$5:$B$2004,"PPS",'Estimates'!$D$5:$D$2004,'Status'!$G$6,'Estimates'!$E$5:$E$2004,'Status'!$E$7)&gt;1,"DUP",SUMIFS('Estimates'!$F$5:$F$2004,'Estimates'!$A$5:$A$2004,$A73,'Estimates'!$B$5:$B$2004,"PPS",'Estimates'!$D$5:$D$2004,'Status'!$G$6,'Estimates'!$E$5:$E$2004,'Status'!$E$7))))</x:f>
      </x:c>
      <x:c r="M73" s="14" t="str">
        <x:f>IF(COUNT(J73:L73)&lt;2,"",_xlfn.STDEV.S(J73:L73))</x:f>
      </x:c>
      <x:c r="N73" s="14" t="str">
        <x:f>IF(AND(ISNUMBER(K73),ISNUMBER(L73)),ABS(L73-K73),"")</x:f>
      </x:c>
      <x:c r="O73" s="15" t="str">
        <x:f>IF(AND(ISNUMBER(K73),ISNUMBER(L73)),IF(K73=0,"n.a.",ABS(L73-K73)/ABS(K73)),"")</x:f>
      </x:c>
      <x:c r="P73" s="2" t="str">
        <x:f>IF(COUNTA(A73)=0,"",IF(NOT(ISNUMBER('Status'!$B$6)),"Set tolerance",IF(COUNT(J73:L73)&lt;3,"Need 3 levels",IF(OR(J73=0,K73=0),"Use abs. Δ",IF(AND(ABS(K73-J73)/ABS(J73)&lt;='Status'!$B$6,O73&lt;='Status'!$B$6),"Yes","No")))))</x:f>
      </x:c>
      <x:c r="Q73" s="14" t="str">
        <x:f>IF(AND(ISNUMBER(E73),ISNUMBER(L73)),ABS(E73-L73),"")</x:f>
      </x:c>
      <x:c r="R73" s="2" t="str">
        <x:f>IF(COUNTA(A73)=0,"",IF(COUNT(C73:E73,J73:L73)&gt;0,1,0))</x:f>
      </x:c>
      <x:c r="S73" s="2" t="str">
        <x:f>IF(COUNTA(A73)=0,"",IF(COUNTIFS($A$6:$A$165,A73)&gt;1,"Duplicate target",""))</x:f>
      </x:c>
    </x:row>
    <x:row r="74">
      <x:c r="A74" s="6"/>
      <x:c r="B74" s="20"/>
      <x:c r="C74" s="14" t="str">
        <x:f>IF(OR(COUNTA($A74)=0,'Status'!$E$5=""),"",IF(COUNTIFS('Estimates'!$A$5:$A$2004,$A74,'Estimates'!$B$5:$B$2004,"MPS",'Estimates'!$C$5:$C$2004,'Status'!$E$5)=0,"",IF(COUNTIFS('Estimates'!$A$5:$A$2004,$A74,'Estimates'!$B$5:$B$2004,"MPS",'Estimates'!$C$5:$C$2004,'Status'!$E$5)&gt;1,"DUP",SUMIFS('Estimates'!$F$5:$F$2004,'Estimates'!$A$5:$A$2004,$A74,'Estimates'!$B$5:$B$2004,"MPS",'Estimates'!$C$5:$C$2004,'Status'!$E$5))))</x:f>
      </x:c>
      <x:c r="D74" s="14" t="str">
        <x:f>IF(OR(COUNTA($A74)=0,'Status'!$F$5=""),"",IF(COUNTIFS('Estimates'!$A$5:$A$2004,$A74,'Estimates'!$B$5:$B$2004,"MPS",'Estimates'!$C$5:$C$2004,'Status'!$F$5)=0,"",IF(COUNTIFS('Estimates'!$A$5:$A$2004,$A74,'Estimates'!$B$5:$B$2004,"MPS",'Estimates'!$C$5:$C$2004,'Status'!$F$5)&gt;1,"DUP",SUMIFS('Estimates'!$F$5:$F$2004,'Estimates'!$A$5:$A$2004,$A74,'Estimates'!$B$5:$B$2004,"MPS",'Estimates'!$C$5:$C$2004,'Status'!$F$5))))</x:f>
      </x:c>
      <x:c r="E74" s="14" t="str">
        <x:f>IF(OR(COUNTA($A74)=0,'Status'!$G$5=""),"",IF(COUNTIFS('Estimates'!$A$5:$A$2004,$A74,'Estimates'!$B$5:$B$2004,"MPS",'Estimates'!$C$5:$C$2004,'Status'!$G$5)=0,"",IF(COUNTIFS('Estimates'!$A$5:$A$2004,$A74,'Estimates'!$B$5:$B$2004,"MPS",'Estimates'!$C$5:$C$2004,'Status'!$G$5)&gt;1,"DUP",SUMIFS('Estimates'!$F$5:$F$2004,'Estimates'!$A$5:$A$2004,$A74,'Estimates'!$B$5:$B$2004,"MPS",'Estimates'!$C$5:$C$2004,'Status'!$G$5))))</x:f>
      </x:c>
      <x:c r="F74" s="14" t="str">
        <x:f>IF(COUNT(C74:E74)&lt;2,"",_xlfn.STDEV.S(C74:E74))</x:f>
      </x:c>
      <x:c r="G74" s="14" t="str">
        <x:f>IF(AND(ISNUMBER(D74),ISNUMBER(E74)),ABS(E74-D74),"")</x:f>
      </x:c>
      <x:c r="H74" s="15" t="str">
        <x:f>IF(AND(ISNUMBER(D74),ISNUMBER(E74)),IF(D74=0,"n.a.",ABS(E74-D74)/ABS(D74)),"")</x:f>
      </x:c>
      <x:c r="I74" s="2" t="str">
        <x:f>IF(COUNTA(A74)=0,"",IF(NOT(ISNUMBER('Status'!$B$6)),"Set tolerance",IF(COUNT(C74:E74)&lt;3,"Need 3 levels",IF(OR(C74=0,D74=0),"Use abs. Δ",IF(AND(ABS(D74-C74)/ABS(C74)&lt;='Status'!$B$6,H74&lt;='Status'!$B$6),"Yes","No")))))</x:f>
      </x:c>
      <x:c r="J74" s="14" t="str">
        <x:f>IF(OR(COUNTA($A74)=0,'Status'!$E$6=""),"",IF(COUNTIFS('Estimates'!$A$5:$A$2004,$A74,'Estimates'!$B$5:$B$2004,"PPS",'Estimates'!$D$5:$D$2004,'Status'!$E$6,'Estimates'!$E$5:$E$2004,'Status'!$E$7)=0,"",IF(COUNTIFS('Estimates'!$A$5:$A$2004,$A74,'Estimates'!$B$5:$B$2004,"PPS",'Estimates'!$D$5:$D$2004,'Status'!$E$6,'Estimates'!$E$5:$E$2004,'Status'!$E$7)&gt;1,"DUP",SUMIFS('Estimates'!$F$5:$F$2004,'Estimates'!$A$5:$A$2004,$A74,'Estimates'!$B$5:$B$2004,"PPS",'Estimates'!$D$5:$D$2004,'Status'!$E$6,'Estimates'!$E$5:$E$2004,'Status'!$E$7))))</x:f>
      </x:c>
      <x:c r="K74" s="14" t="str">
        <x:f>IF(OR(COUNTA($A74)=0,'Status'!$F$6=""),"",IF(COUNTIFS('Estimates'!$A$5:$A$2004,$A74,'Estimates'!$B$5:$B$2004,"PPS",'Estimates'!$D$5:$D$2004,'Status'!$F$6,'Estimates'!$E$5:$E$2004,'Status'!$E$7)=0,"",IF(COUNTIFS('Estimates'!$A$5:$A$2004,$A74,'Estimates'!$B$5:$B$2004,"PPS",'Estimates'!$D$5:$D$2004,'Status'!$F$6,'Estimates'!$E$5:$E$2004,'Status'!$E$7)&gt;1,"DUP",SUMIFS('Estimates'!$F$5:$F$2004,'Estimates'!$A$5:$A$2004,$A74,'Estimates'!$B$5:$B$2004,"PPS",'Estimates'!$D$5:$D$2004,'Status'!$F$6,'Estimates'!$E$5:$E$2004,'Status'!$E$7))))</x:f>
      </x:c>
      <x:c r="L74" s="14" t="str">
        <x:f>IF(OR(COUNTA($A74)=0,'Status'!$G$6=""),"",IF(COUNTIFS('Estimates'!$A$5:$A$2004,$A74,'Estimates'!$B$5:$B$2004,"PPS",'Estimates'!$D$5:$D$2004,'Status'!$G$6,'Estimates'!$E$5:$E$2004,'Status'!$E$7)=0,"",IF(COUNTIFS('Estimates'!$A$5:$A$2004,$A74,'Estimates'!$B$5:$B$2004,"PPS",'Estimates'!$D$5:$D$2004,'Status'!$G$6,'Estimates'!$E$5:$E$2004,'Status'!$E$7)&gt;1,"DUP",SUMIFS('Estimates'!$F$5:$F$2004,'Estimates'!$A$5:$A$2004,$A74,'Estimates'!$B$5:$B$2004,"PPS",'Estimates'!$D$5:$D$2004,'Status'!$G$6,'Estimates'!$E$5:$E$2004,'Status'!$E$7))))</x:f>
      </x:c>
      <x:c r="M74" s="14" t="str">
        <x:f>IF(COUNT(J74:L74)&lt;2,"",_xlfn.STDEV.S(J74:L74))</x:f>
      </x:c>
      <x:c r="N74" s="14" t="str">
        <x:f>IF(AND(ISNUMBER(K74),ISNUMBER(L74)),ABS(L74-K74),"")</x:f>
      </x:c>
      <x:c r="O74" s="15" t="str">
        <x:f>IF(AND(ISNUMBER(K74),ISNUMBER(L74)),IF(K74=0,"n.a.",ABS(L74-K74)/ABS(K74)),"")</x:f>
      </x:c>
      <x:c r="P74" s="2" t="str">
        <x:f>IF(COUNTA(A74)=0,"",IF(NOT(ISNUMBER('Status'!$B$6)),"Set tolerance",IF(COUNT(J74:L74)&lt;3,"Need 3 levels",IF(OR(J74=0,K74=0),"Use abs. Δ",IF(AND(ABS(K74-J74)/ABS(J74)&lt;='Status'!$B$6,O74&lt;='Status'!$B$6),"Yes","No")))))</x:f>
      </x:c>
      <x:c r="Q74" s="14" t="str">
        <x:f>IF(AND(ISNUMBER(E74),ISNUMBER(L74)),ABS(E74-L74),"")</x:f>
      </x:c>
      <x:c r="R74" s="2" t="str">
        <x:f>IF(COUNTA(A74)=0,"",IF(COUNT(C74:E74,J74:L74)&gt;0,1,0))</x:f>
      </x:c>
      <x:c r="S74" s="2" t="str">
        <x:f>IF(COUNTA(A74)=0,"",IF(COUNTIFS($A$6:$A$165,A74)&gt;1,"Duplicate target",""))</x:f>
      </x:c>
    </x:row>
    <x:row r="75">
      <x:c r="A75" s="6"/>
      <x:c r="B75" s="20"/>
      <x:c r="C75" s="14" t="str">
        <x:f>IF(OR(COUNTA($A75)=0,'Status'!$E$5=""),"",IF(COUNTIFS('Estimates'!$A$5:$A$2004,$A75,'Estimates'!$B$5:$B$2004,"MPS",'Estimates'!$C$5:$C$2004,'Status'!$E$5)=0,"",IF(COUNTIFS('Estimates'!$A$5:$A$2004,$A75,'Estimates'!$B$5:$B$2004,"MPS",'Estimates'!$C$5:$C$2004,'Status'!$E$5)&gt;1,"DUP",SUMIFS('Estimates'!$F$5:$F$2004,'Estimates'!$A$5:$A$2004,$A75,'Estimates'!$B$5:$B$2004,"MPS",'Estimates'!$C$5:$C$2004,'Status'!$E$5))))</x:f>
      </x:c>
      <x:c r="D75" s="14" t="str">
        <x:f>IF(OR(COUNTA($A75)=0,'Status'!$F$5=""),"",IF(COUNTIFS('Estimates'!$A$5:$A$2004,$A75,'Estimates'!$B$5:$B$2004,"MPS",'Estimates'!$C$5:$C$2004,'Status'!$F$5)=0,"",IF(COUNTIFS('Estimates'!$A$5:$A$2004,$A75,'Estimates'!$B$5:$B$2004,"MPS",'Estimates'!$C$5:$C$2004,'Status'!$F$5)&gt;1,"DUP",SUMIFS('Estimates'!$F$5:$F$2004,'Estimates'!$A$5:$A$2004,$A75,'Estimates'!$B$5:$B$2004,"MPS",'Estimates'!$C$5:$C$2004,'Status'!$F$5))))</x:f>
      </x:c>
      <x:c r="E75" s="14" t="str">
        <x:f>IF(OR(COUNTA($A75)=0,'Status'!$G$5=""),"",IF(COUNTIFS('Estimates'!$A$5:$A$2004,$A75,'Estimates'!$B$5:$B$2004,"MPS",'Estimates'!$C$5:$C$2004,'Status'!$G$5)=0,"",IF(COUNTIFS('Estimates'!$A$5:$A$2004,$A75,'Estimates'!$B$5:$B$2004,"MPS",'Estimates'!$C$5:$C$2004,'Status'!$G$5)&gt;1,"DUP",SUMIFS('Estimates'!$F$5:$F$2004,'Estimates'!$A$5:$A$2004,$A75,'Estimates'!$B$5:$B$2004,"MPS",'Estimates'!$C$5:$C$2004,'Status'!$G$5))))</x:f>
      </x:c>
      <x:c r="F75" s="14" t="str">
        <x:f>IF(COUNT(C75:E75)&lt;2,"",_xlfn.STDEV.S(C75:E75))</x:f>
      </x:c>
      <x:c r="G75" s="14" t="str">
        <x:f>IF(AND(ISNUMBER(D75),ISNUMBER(E75)),ABS(E75-D75),"")</x:f>
      </x:c>
      <x:c r="H75" s="15" t="str">
        <x:f>IF(AND(ISNUMBER(D75),ISNUMBER(E75)),IF(D75=0,"n.a.",ABS(E75-D75)/ABS(D75)),"")</x:f>
      </x:c>
      <x:c r="I75" s="2" t="str">
        <x:f>IF(COUNTA(A75)=0,"",IF(NOT(ISNUMBER('Status'!$B$6)),"Set tolerance",IF(COUNT(C75:E75)&lt;3,"Need 3 levels",IF(OR(C75=0,D75=0),"Use abs. Δ",IF(AND(ABS(D75-C75)/ABS(C75)&lt;='Status'!$B$6,H75&lt;='Status'!$B$6),"Yes","No")))))</x:f>
      </x:c>
      <x:c r="J75" s="14" t="str">
        <x:f>IF(OR(COUNTA($A75)=0,'Status'!$E$6=""),"",IF(COUNTIFS('Estimates'!$A$5:$A$2004,$A75,'Estimates'!$B$5:$B$2004,"PPS",'Estimates'!$D$5:$D$2004,'Status'!$E$6,'Estimates'!$E$5:$E$2004,'Status'!$E$7)=0,"",IF(COUNTIFS('Estimates'!$A$5:$A$2004,$A75,'Estimates'!$B$5:$B$2004,"PPS",'Estimates'!$D$5:$D$2004,'Status'!$E$6,'Estimates'!$E$5:$E$2004,'Status'!$E$7)&gt;1,"DUP",SUMIFS('Estimates'!$F$5:$F$2004,'Estimates'!$A$5:$A$2004,$A75,'Estimates'!$B$5:$B$2004,"PPS",'Estimates'!$D$5:$D$2004,'Status'!$E$6,'Estimates'!$E$5:$E$2004,'Status'!$E$7))))</x:f>
      </x:c>
      <x:c r="K75" s="14" t="str">
        <x:f>IF(OR(COUNTA($A75)=0,'Status'!$F$6=""),"",IF(COUNTIFS('Estimates'!$A$5:$A$2004,$A75,'Estimates'!$B$5:$B$2004,"PPS",'Estimates'!$D$5:$D$2004,'Status'!$F$6,'Estimates'!$E$5:$E$2004,'Status'!$E$7)=0,"",IF(COUNTIFS('Estimates'!$A$5:$A$2004,$A75,'Estimates'!$B$5:$B$2004,"PPS",'Estimates'!$D$5:$D$2004,'Status'!$F$6,'Estimates'!$E$5:$E$2004,'Status'!$E$7)&gt;1,"DUP",SUMIFS('Estimates'!$F$5:$F$2004,'Estimates'!$A$5:$A$2004,$A75,'Estimates'!$B$5:$B$2004,"PPS",'Estimates'!$D$5:$D$2004,'Status'!$F$6,'Estimates'!$E$5:$E$2004,'Status'!$E$7))))</x:f>
      </x:c>
      <x:c r="L75" s="14" t="str">
        <x:f>IF(OR(COUNTA($A75)=0,'Status'!$G$6=""),"",IF(COUNTIFS('Estimates'!$A$5:$A$2004,$A75,'Estimates'!$B$5:$B$2004,"PPS",'Estimates'!$D$5:$D$2004,'Status'!$G$6,'Estimates'!$E$5:$E$2004,'Status'!$E$7)=0,"",IF(COUNTIFS('Estimates'!$A$5:$A$2004,$A75,'Estimates'!$B$5:$B$2004,"PPS",'Estimates'!$D$5:$D$2004,'Status'!$G$6,'Estimates'!$E$5:$E$2004,'Status'!$E$7)&gt;1,"DUP",SUMIFS('Estimates'!$F$5:$F$2004,'Estimates'!$A$5:$A$2004,$A75,'Estimates'!$B$5:$B$2004,"PPS",'Estimates'!$D$5:$D$2004,'Status'!$G$6,'Estimates'!$E$5:$E$2004,'Status'!$E$7))))</x:f>
      </x:c>
      <x:c r="M75" s="14" t="str">
        <x:f>IF(COUNT(J75:L75)&lt;2,"",_xlfn.STDEV.S(J75:L75))</x:f>
      </x:c>
      <x:c r="N75" s="14" t="str">
        <x:f>IF(AND(ISNUMBER(K75),ISNUMBER(L75)),ABS(L75-K75),"")</x:f>
      </x:c>
      <x:c r="O75" s="15" t="str">
        <x:f>IF(AND(ISNUMBER(K75),ISNUMBER(L75)),IF(K75=0,"n.a.",ABS(L75-K75)/ABS(K75)),"")</x:f>
      </x:c>
      <x:c r="P75" s="2" t="str">
        <x:f>IF(COUNTA(A75)=0,"",IF(NOT(ISNUMBER('Status'!$B$6)),"Set tolerance",IF(COUNT(J75:L75)&lt;3,"Need 3 levels",IF(OR(J75=0,K75=0),"Use abs. Δ",IF(AND(ABS(K75-J75)/ABS(J75)&lt;='Status'!$B$6,O75&lt;='Status'!$B$6),"Yes","No")))))</x:f>
      </x:c>
      <x:c r="Q75" s="14" t="str">
        <x:f>IF(AND(ISNUMBER(E75),ISNUMBER(L75)),ABS(E75-L75),"")</x:f>
      </x:c>
      <x:c r="R75" s="2" t="str">
        <x:f>IF(COUNTA(A75)=0,"",IF(COUNT(C75:E75,J75:L75)&gt;0,1,0))</x:f>
      </x:c>
      <x:c r="S75" s="2" t="str">
        <x:f>IF(COUNTA(A75)=0,"",IF(COUNTIFS($A$6:$A$165,A75)&gt;1,"Duplicate target",""))</x:f>
      </x:c>
    </x:row>
    <x:row r="76">
      <x:c r="A76" s="6"/>
      <x:c r="B76" s="20"/>
      <x:c r="C76" s="14" t="str">
        <x:f>IF(OR(COUNTA($A76)=0,'Status'!$E$5=""),"",IF(COUNTIFS('Estimates'!$A$5:$A$2004,$A76,'Estimates'!$B$5:$B$2004,"MPS",'Estimates'!$C$5:$C$2004,'Status'!$E$5)=0,"",IF(COUNTIFS('Estimates'!$A$5:$A$2004,$A76,'Estimates'!$B$5:$B$2004,"MPS",'Estimates'!$C$5:$C$2004,'Status'!$E$5)&gt;1,"DUP",SUMIFS('Estimates'!$F$5:$F$2004,'Estimates'!$A$5:$A$2004,$A76,'Estimates'!$B$5:$B$2004,"MPS",'Estimates'!$C$5:$C$2004,'Status'!$E$5))))</x:f>
      </x:c>
      <x:c r="D76" s="14" t="str">
        <x:f>IF(OR(COUNTA($A76)=0,'Status'!$F$5=""),"",IF(COUNTIFS('Estimates'!$A$5:$A$2004,$A76,'Estimates'!$B$5:$B$2004,"MPS",'Estimates'!$C$5:$C$2004,'Status'!$F$5)=0,"",IF(COUNTIFS('Estimates'!$A$5:$A$2004,$A76,'Estimates'!$B$5:$B$2004,"MPS",'Estimates'!$C$5:$C$2004,'Status'!$F$5)&gt;1,"DUP",SUMIFS('Estimates'!$F$5:$F$2004,'Estimates'!$A$5:$A$2004,$A76,'Estimates'!$B$5:$B$2004,"MPS",'Estimates'!$C$5:$C$2004,'Status'!$F$5))))</x:f>
      </x:c>
      <x:c r="E76" s="14" t="str">
        <x:f>IF(OR(COUNTA($A76)=0,'Status'!$G$5=""),"",IF(COUNTIFS('Estimates'!$A$5:$A$2004,$A76,'Estimates'!$B$5:$B$2004,"MPS",'Estimates'!$C$5:$C$2004,'Status'!$G$5)=0,"",IF(COUNTIFS('Estimates'!$A$5:$A$2004,$A76,'Estimates'!$B$5:$B$2004,"MPS",'Estimates'!$C$5:$C$2004,'Status'!$G$5)&gt;1,"DUP",SUMIFS('Estimates'!$F$5:$F$2004,'Estimates'!$A$5:$A$2004,$A76,'Estimates'!$B$5:$B$2004,"MPS",'Estimates'!$C$5:$C$2004,'Status'!$G$5))))</x:f>
      </x:c>
      <x:c r="F76" s="14" t="str">
        <x:f>IF(COUNT(C76:E76)&lt;2,"",_xlfn.STDEV.S(C76:E76))</x:f>
      </x:c>
      <x:c r="G76" s="14" t="str">
        <x:f>IF(AND(ISNUMBER(D76),ISNUMBER(E76)),ABS(E76-D76),"")</x:f>
      </x:c>
      <x:c r="H76" s="15" t="str">
        <x:f>IF(AND(ISNUMBER(D76),ISNUMBER(E76)),IF(D76=0,"n.a.",ABS(E76-D76)/ABS(D76)),"")</x:f>
      </x:c>
      <x:c r="I76" s="2" t="str">
        <x:f>IF(COUNTA(A76)=0,"",IF(NOT(ISNUMBER('Status'!$B$6)),"Set tolerance",IF(COUNT(C76:E76)&lt;3,"Need 3 levels",IF(OR(C76=0,D76=0),"Use abs. Δ",IF(AND(ABS(D76-C76)/ABS(C76)&lt;='Status'!$B$6,H76&lt;='Status'!$B$6),"Yes","No")))))</x:f>
      </x:c>
      <x:c r="J76" s="14" t="str">
        <x:f>IF(OR(COUNTA($A76)=0,'Status'!$E$6=""),"",IF(COUNTIFS('Estimates'!$A$5:$A$2004,$A76,'Estimates'!$B$5:$B$2004,"PPS",'Estimates'!$D$5:$D$2004,'Status'!$E$6,'Estimates'!$E$5:$E$2004,'Status'!$E$7)=0,"",IF(COUNTIFS('Estimates'!$A$5:$A$2004,$A76,'Estimates'!$B$5:$B$2004,"PPS",'Estimates'!$D$5:$D$2004,'Status'!$E$6,'Estimates'!$E$5:$E$2004,'Status'!$E$7)&gt;1,"DUP",SUMIFS('Estimates'!$F$5:$F$2004,'Estimates'!$A$5:$A$2004,$A76,'Estimates'!$B$5:$B$2004,"PPS",'Estimates'!$D$5:$D$2004,'Status'!$E$6,'Estimates'!$E$5:$E$2004,'Status'!$E$7))))</x:f>
      </x:c>
      <x:c r="K76" s="14" t="str">
        <x:f>IF(OR(COUNTA($A76)=0,'Status'!$F$6=""),"",IF(COUNTIFS('Estimates'!$A$5:$A$2004,$A76,'Estimates'!$B$5:$B$2004,"PPS",'Estimates'!$D$5:$D$2004,'Status'!$F$6,'Estimates'!$E$5:$E$2004,'Status'!$E$7)=0,"",IF(COUNTIFS('Estimates'!$A$5:$A$2004,$A76,'Estimates'!$B$5:$B$2004,"PPS",'Estimates'!$D$5:$D$2004,'Status'!$F$6,'Estimates'!$E$5:$E$2004,'Status'!$E$7)&gt;1,"DUP",SUMIFS('Estimates'!$F$5:$F$2004,'Estimates'!$A$5:$A$2004,$A76,'Estimates'!$B$5:$B$2004,"PPS",'Estimates'!$D$5:$D$2004,'Status'!$F$6,'Estimates'!$E$5:$E$2004,'Status'!$E$7))))</x:f>
      </x:c>
      <x:c r="L76" s="14" t="str">
        <x:f>IF(OR(COUNTA($A76)=0,'Status'!$G$6=""),"",IF(COUNTIFS('Estimates'!$A$5:$A$2004,$A76,'Estimates'!$B$5:$B$2004,"PPS",'Estimates'!$D$5:$D$2004,'Status'!$G$6,'Estimates'!$E$5:$E$2004,'Status'!$E$7)=0,"",IF(COUNTIFS('Estimates'!$A$5:$A$2004,$A76,'Estimates'!$B$5:$B$2004,"PPS",'Estimates'!$D$5:$D$2004,'Status'!$G$6,'Estimates'!$E$5:$E$2004,'Status'!$E$7)&gt;1,"DUP",SUMIFS('Estimates'!$F$5:$F$2004,'Estimates'!$A$5:$A$2004,$A76,'Estimates'!$B$5:$B$2004,"PPS",'Estimates'!$D$5:$D$2004,'Status'!$G$6,'Estimates'!$E$5:$E$2004,'Status'!$E$7))))</x:f>
      </x:c>
      <x:c r="M76" s="14" t="str">
        <x:f>IF(COUNT(J76:L76)&lt;2,"",_xlfn.STDEV.S(J76:L76))</x:f>
      </x:c>
      <x:c r="N76" s="14" t="str">
        <x:f>IF(AND(ISNUMBER(K76),ISNUMBER(L76)),ABS(L76-K76),"")</x:f>
      </x:c>
      <x:c r="O76" s="15" t="str">
        <x:f>IF(AND(ISNUMBER(K76),ISNUMBER(L76)),IF(K76=0,"n.a.",ABS(L76-K76)/ABS(K76)),"")</x:f>
      </x:c>
      <x:c r="P76" s="2" t="str">
        <x:f>IF(COUNTA(A76)=0,"",IF(NOT(ISNUMBER('Status'!$B$6)),"Set tolerance",IF(COUNT(J76:L76)&lt;3,"Need 3 levels",IF(OR(J76=0,K76=0),"Use abs. Δ",IF(AND(ABS(K76-J76)/ABS(J76)&lt;='Status'!$B$6,O76&lt;='Status'!$B$6),"Yes","No")))))</x:f>
      </x:c>
      <x:c r="Q76" s="14" t="str">
        <x:f>IF(AND(ISNUMBER(E76),ISNUMBER(L76)),ABS(E76-L76),"")</x:f>
      </x:c>
      <x:c r="R76" s="2" t="str">
        <x:f>IF(COUNTA(A76)=0,"",IF(COUNT(C76:E76,J76:L76)&gt;0,1,0))</x:f>
      </x:c>
      <x:c r="S76" s="2" t="str">
        <x:f>IF(COUNTA(A76)=0,"",IF(COUNTIFS($A$6:$A$165,A76)&gt;1,"Duplicate target",""))</x:f>
      </x:c>
    </x:row>
    <x:row r="77">
      <x:c r="A77" s="6"/>
      <x:c r="B77" s="20"/>
      <x:c r="C77" s="14" t="str">
        <x:f>IF(OR(COUNTA($A77)=0,'Status'!$E$5=""),"",IF(COUNTIFS('Estimates'!$A$5:$A$2004,$A77,'Estimates'!$B$5:$B$2004,"MPS",'Estimates'!$C$5:$C$2004,'Status'!$E$5)=0,"",IF(COUNTIFS('Estimates'!$A$5:$A$2004,$A77,'Estimates'!$B$5:$B$2004,"MPS",'Estimates'!$C$5:$C$2004,'Status'!$E$5)&gt;1,"DUP",SUMIFS('Estimates'!$F$5:$F$2004,'Estimates'!$A$5:$A$2004,$A77,'Estimates'!$B$5:$B$2004,"MPS",'Estimates'!$C$5:$C$2004,'Status'!$E$5))))</x:f>
      </x:c>
      <x:c r="D77" s="14" t="str">
        <x:f>IF(OR(COUNTA($A77)=0,'Status'!$F$5=""),"",IF(COUNTIFS('Estimates'!$A$5:$A$2004,$A77,'Estimates'!$B$5:$B$2004,"MPS",'Estimates'!$C$5:$C$2004,'Status'!$F$5)=0,"",IF(COUNTIFS('Estimates'!$A$5:$A$2004,$A77,'Estimates'!$B$5:$B$2004,"MPS",'Estimates'!$C$5:$C$2004,'Status'!$F$5)&gt;1,"DUP",SUMIFS('Estimates'!$F$5:$F$2004,'Estimates'!$A$5:$A$2004,$A77,'Estimates'!$B$5:$B$2004,"MPS",'Estimates'!$C$5:$C$2004,'Status'!$F$5))))</x:f>
      </x:c>
      <x:c r="E77" s="14" t="str">
        <x:f>IF(OR(COUNTA($A77)=0,'Status'!$G$5=""),"",IF(COUNTIFS('Estimates'!$A$5:$A$2004,$A77,'Estimates'!$B$5:$B$2004,"MPS",'Estimates'!$C$5:$C$2004,'Status'!$G$5)=0,"",IF(COUNTIFS('Estimates'!$A$5:$A$2004,$A77,'Estimates'!$B$5:$B$2004,"MPS",'Estimates'!$C$5:$C$2004,'Status'!$G$5)&gt;1,"DUP",SUMIFS('Estimates'!$F$5:$F$2004,'Estimates'!$A$5:$A$2004,$A77,'Estimates'!$B$5:$B$2004,"MPS",'Estimates'!$C$5:$C$2004,'Status'!$G$5))))</x:f>
      </x:c>
      <x:c r="F77" s="14" t="str">
        <x:f>IF(COUNT(C77:E77)&lt;2,"",_xlfn.STDEV.S(C77:E77))</x:f>
      </x:c>
      <x:c r="G77" s="14" t="str">
        <x:f>IF(AND(ISNUMBER(D77),ISNUMBER(E77)),ABS(E77-D77),"")</x:f>
      </x:c>
      <x:c r="H77" s="15" t="str">
        <x:f>IF(AND(ISNUMBER(D77),ISNUMBER(E77)),IF(D77=0,"n.a.",ABS(E77-D77)/ABS(D77)),"")</x:f>
      </x:c>
      <x:c r="I77" s="2" t="str">
        <x:f>IF(COUNTA(A77)=0,"",IF(NOT(ISNUMBER('Status'!$B$6)),"Set tolerance",IF(COUNT(C77:E77)&lt;3,"Need 3 levels",IF(OR(C77=0,D77=0),"Use abs. Δ",IF(AND(ABS(D77-C77)/ABS(C77)&lt;='Status'!$B$6,H77&lt;='Status'!$B$6),"Yes","No")))))</x:f>
      </x:c>
      <x:c r="J77" s="14" t="str">
        <x:f>IF(OR(COUNTA($A77)=0,'Status'!$E$6=""),"",IF(COUNTIFS('Estimates'!$A$5:$A$2004,$A77,'Estimates'!$B$5:$B$2004,"PPS",'Estimates'!$D$5:$D$2004,'Status'!$E$6,'Estimates'!$E$5:$E$2004,'Status'!$E$7)=0,"",IF(COUNTIFS('Estimates'!$A$5:$A$2004,$A77,'Estimates'!$B$5:$B$2004,"PPS",'Estimates'!$D$5:$D$2004,'Status'!$E$6,'Estimates'!$E$5:$E$2004,'Status'!$E$7)&gt;1,"DUP",SUMIFS('Estimates'!$F$5:$F$2004,'Estimates'!$A$5:$A$2004,$A77,'Estimates'!$B$5:$B$2004,"PPS",'Estimates'!$D$5:$D$2004,'Status'!$E$6,'Estimates'!$E$5:$E$2004,'Status'!$E$7))))</x:f>
      </x:c>
      <x:c r="K77" s="14" t="str">
        <x:f>IF(OR(COUNTA($A77)=0,'Status'!$F$6=""),"",IF(COUNTIFS('Estimates'!$A$5:$A$2004,$A77,'Estimates'!$B$5:$B$2004,"PPS",'Estimates'!$D$5:$D$2004,'Status'!$F$6,'Estimates'!$E$5:$E$2004,'Status'!$E$7)=0,"",IF(COUNTIFS('Estimates'!$A$5:$A$2004,$A77,'Estimates'!$B$5:$B$2004,"PPS",'Estimates'!$D$5:$D$2004,'Status'!$F$6,'Estimates'!$E$5:$E$2004,'Status'!$E$7)&gt;1,"DUP",SUMIFS('Estimates'!$F$5:$F$2004,'Estimates'!$A$5:$A$2004,$A77,'Estimates'!$B$5:$B$2004,"PPS",'Estimates'!$D$5:$D$2004,'Status'!$F$6,'Estimates'!$E$5:$E$2004,'Status'!$E$7))))</x:f>
      </x:c>
      <x:c r="L77" s="14" t="str">
        <x:f>IF(OR(COUNTA($A77)=0,'Status'!$G$6=""),"",IF(COUNTIFS('Estimates'!$A$5:$A$2004,$A77,'Estimates'!$B$5:$B$2004,"PPS",'Estimates'!$D$5:$D$2004,'Status'!$G$6,'Estimates'!$E$5:$E$2004,'Status'!$E$7)=0,"",IF(COUNTIFS('Estimates'!$A$5:$A$2004,$A77,'Estimates'!$B$5:$B$2004,"PPS",'Estimates'!$D$5:$D$2004,'Status'!$G$6,'Estimates'!$E$5:$E$2004,'Status'!$E$7)&gt;1,"DUP",SUMIFS('Estimates'!$F$5:$F$2004,'Estimates'!$A$5:$A$2004,$A77,'Estimates'!$B$5:$B$2004,"PPS",'Estimates'!$D$5:$D$2004,'Status'!$G$6,'Estimates'!$E$5:$E$2004,'Status'!$E$7))))</x:f>
      </x:c>
      <x:c r="M77" s="14" t="str">
        <x:f>IF(COUNT(J77:L77)&lt;2,"",_xlfn.STDEV.S(J77:L77))</x:f>
      </x:c>
      <x:c r="N77" s="14" t="str">
        <x:f>IF(AND(ISNUMBER(K77),ISNUMBER(L77)),ABS(L77-K77),"")</x:f>
      </x:c>
      <x:c r="O77" s="15" t="str">
        <x:f>IF(AND(ISNUMBER(K77),ISNUMBER(L77)),IF(K77=0,"n.a.",ABS(L77-K77)/ABS(K77)),"")</x:f>
      </x:c>
      <x:c r="P77" s="2" t="str">
        <x:f>IF(COUNTA(A77)=0,"",IF(NOT(ISNUMBER('Status'!$B$6)),"Set tolerance",IF(COUNT(J77:L77)&lt;3,"Need 3 levels",IF(OR(J77=0,K77=0),"Use abs. Δ",IF(AND(ABS(K77-J77)/ABS(J77)&lt;='Status'!$B$6,O77&lt;='Status'!$B$6),"Yes","No")))))</x:f>
      </x:c>
      <x:c r="Q77" s="14" t="str">
        <x:f>IF(AND(ISNUMBER(E77),ISNUMBER(L77)),ABS(E77-L77),"")</x:f>
      </x:c>
      <x:c r="R77" s="2" t="str">
        <x:f>IF(COUNTA(A77)=0,"",IF(COUNT(C77:E77,J77:L77)&gt;0,1,0))</x:f>
      </x:c>
      <x:c r="S77" s="2" t="str">
        <x:f>IF(COUNTA(A77)=0,"",IF(COUNTIFS($A$6:$A$165,A77)&gt;1,"Duplicate target",""))</x:f>
      </x:c>
    </x:row>
    <x:row r="78">
      <x:c r="A78" s="6"/>
      <x:c r="B78" s="20"/>
      <x:c r="C78" s="14" t="str">
        <x:f>IF(OR(COUNTA($A78)=0,'Status'!$E$5=""),"",IF(COUNTIFS('Estimates'!$A$5:$A$2004,$A78,'Estimates'!$B$5:$B$2004,"MPS",'Estimates'!$C$5:$C$2004,'Status'!$E$5)=0,"",IF(COUNTIFS('Estimates'!$A$5:$A$2004,$A78,'Estimates'!$B$5:$B$2004,"MPS",'Estimates'!$C$5:$C$2004,'Status'!$E$5)&gt;1,"DUP",SUMIFS('Estimates'!$F$5:$F$2004,'Estimates'!$A$5:$A$2004,$A78,'Estimates'!$B$5:$B$2004,"MPS",'Estimates'!$C$5:$C$2004,'Status'!$E$5))))</x:f>
      </x:c>
      <x:c r="D78" s="14" t="str">
        <x:f>IF(OR(COUNTA($A78)=0,'Status'!$F$5=""),"",IF(COUNTIFS('Estimates'!$A$5:$A$2004,$A78,'Estimates'!$B$5:$B$2004,"MPS",'Estimates'!$C$5:$C$2004,'Status'!$F$5)=0,"",IF(COUNTIFS('Estimates'!$A$5:$A$2004,$A78,'Estimates'!$B$5:$B$2004,"MPS",'Estimates'!$C$5:$C$2004,'Status'!$F$5)&gt;1,"DUP",SUMIFS('Estimates'!$F$5:$F$2004,'Estimates'!$A$5:$A$2004,$A78,'Estimates'!$B$5:$B$2004,"MPS",'Estimates'!$C$5:$C$2004,'Status'!$F$5))))</x:f>
      </x:c>
      <x:c r="E78" s="14" t="str">
        <x:f>IF(OR(COUNTA($A78)=0,'Status'!$G$5=""),"",IF(COUNTIFS('Estimates'!$A$5:$A$2004,$A78,'Estimates'!$B$5:$B$2004,"MPS",'Estimates'!$C$5:$C$2004,'Status'!$G$5)=0,"",IF(COUNTIFS('Estimates'!$A$5:$A$2004,$A78,'Estimates'!$B$5:$B$2004,"MPS",'Estimates'!$C$5:$C$2004,'Status'!$G$5)&gt;1,"DUP",SUMIFS('Estimates'!$F$5:$F$2004,'Estimates'!$A$5:$A$2004,$A78,'Estimates'!$B$5:$B$2004,"MPS",'Estimates'!$C$5:$C$2004,'Status'!$G$5))))</x:f>
      </x:c>
      <x:c r="F78" s="14" t="str">
        <x:f>IF(COUNT(C78:E78)&lt;2,"",_xlfn.STDEV.S(C78:E78))</x:f>
      </x:c>
      <x:c r="G78" s="14" t="str">
        <x:f>IF(AND(ISNUMBER(D78),ISNUMBER(E78)),ABS(E78-D78),"")</x:f>
      </x:c>
      <x:c r="H78" s="15" t="str">
        <x:f>IF(AND(ISNUMBER(D78),ISNUMBER(E78)),IF(D78=0,"n.a.",ABS(E78-D78)/ABS(D78)),"")</x:f>
      </x:c>
      <x:c r="I78" s="2" t="str">
        <x:f>IF(COUNTA(A78)=0,"",IF(NOT(ISNUMBER('Status'!$B$6)),"Set tolerance",IF(COUNT(C78:E78)&lt;3,"Need 3 levels",IF(OR(C78=0,D78=0),"Use abs. Δ",IF(AND(ABS(D78-C78)/ABS(C78)&lt;='Status'!$B$6,H78&lt;='Status'!$B$6),"Yes","No")))))</x:f>
      </x:c>
      <x:c r="J78" s="14" t="str">
        <x:f>IF(OR(COUNTA($A78)=0,'Status'!$E$6=""),"",IF(COUNTIFS('Estimates'!$A$5:$A$2004,$A78,'Estimates'!$B$5:$B$2004,"PPS",'Estimates'!$D$5:$D$2004,'Status'!$E$6,'Estimates'!$E$5:$E$2004,'Status'!$E$7)=0,"",IF(COUNTIFS('Estimates'!$A$5:$A$2004,$A78,'Estimates'!$B$5:$B$2004,"PPS",'Estimates'!$D$5:$D$2004,'Status'!$E$6,'Estimates'!$E$5:$E$2004,'Status'!$E$7)&gt;1,"DUP",SUMIFS('Estimates'!$F$5:$F$2004,'Estimates'!$A$5:$A$2004,$A78,'Estimates'!$B$5:$B$2004,"PPS",'Estimates'!$D$5:$D$2004,'Status'!$E$6,'Estimates'!$E$5:$E$2004,'Status'!$E$7))))</x:f>
      </x:c>
      <x:c r="K78" s="14" t="str">
        <x:f>IF(OR(COUNTA($A78)=0,'Status'!$F$6=""),"",IF(COUNTIFS('Estimates'!$A$5:$A$2004,$A78,'Estimates'!$B$5:$B$2004,"PPS",'Estimates'!$D$5:$D$2004,'Status'!$F$6,'Estimates'!$E$5:$E$2004,'Status'!$E$7)=0,"",IF(COUNTIFS('Estimates'!$A$5:$A$2004,$A78,'Estimates'!$B$5:$B$2004,"PPS",'Estimates'!$D$5:$D$2004,'Status'!$F$6,'Estimates'!$E$5:$E$2004,'Status'!$E$7)&gt;1,"DUP",SUMIFS('Estimates'!$F$5:$F$2004,'Estimates'!$A$5:$A$2004,$A78,'Estimates'!$B$5:$B$2004,"PPS",'Estimates'!$D$5:$D$2004,'Status'!$F$6,'Estimates'!$E$5:$E$2004,'Status'!$E$7))))</x:f>
      </x:c>
      <x:c r="L78" s="14" t="str">
        <x:f>IF(OR(COUNTA($A78)=0,'Status'!$G$6=""),"",IF(COUNTIFS('Estimates'!$A$5:$A$2004,$A78,'Estimates'!$B$5:$B$2004,"PPS",'Estimates'!$D$5:$D$2004,'Status'!$G$6,'Estimates'!$E$5:$E$2004,'Status'!$E$7)=0,"",IF(COUNTIFS('Estimates'!$A$5:$A$2004,$A78,'Estimates'!$B$5:$B$2004,"PPS",'Estimates'!$D$5:$D$2004,'Status'!$G$6,'Estimates'!$E$5:$E$2004,'Status'!$E$7)&gt;1,"DUP",SUMIFS('Estimates'!$F$5:$F$2004,'Estimates'!$A$5:$A$2004,$A78,'Estimates'!$B$5:$B$2004,"PPS",'Estimates'!$D$5:$D$2004,'Status'!$G$6,'Estimates'!$E$5:$E$2004,'Status'!$E$7))))</x:f>
      </x:c>
      <x:c r="M78" s="14" t="str">
        <x:f>IF(COUNT(J78:L78)&lt;2,"",_xlfn.STDEV.S(J78:L78))</x:f>
      </x:c>
      <x:c r="N78" s="14" t="str">
        <x:f>IF(AND(ISNUMBER(K78),ISNUMBER(L78)),ABS(L78-K78),"")</x:f>
      </x:c>
      <x:c r="O78" s="15" t="str">
        <x:f>IF(AND(ISNUMBER(K78),ISNUMBER(L78)),IF(K78=0,"n.a.",ABS(L78-K78)/ABS(K78)),"")</x:f>
      </x:c>
      <x:c r="P78" s="2" t="str">
        <x:f>IF(COUNTA(A78)=0,"",IF(NOT(ISNUMBER('Status'!$B$6)),"Set tolerance",IF(COUNT(J78:L78)&lt;3,"Need 3 levels",IF(OR(J78=0,K78=0),"Use abs. Δ",IF(AND(ABS(K78-J78)/ABS(J78)&lt;='Status'!$B$6,O78&lt;='Status'!$B$6),"Yes","No")))))</x:f>
      </x:c>
      <x:c r="Q78" s="14" t="str">
        <x:f>IF(AND(ISNUMBER(E78),ISNUMBER(L78)),ABS(E78-L78),"")</x:f>
      </x:c>
      <x:c r="R78" s="2" t="str">
        <x:f>IF(COUNTA(A78)=0,"",IF(COUNT(C78:E78,J78:L78)&gt;0,1,0))</x:f>
      </x:c>
      <x:c r="S78" s="2" t="str">
        <x:f>IF(COUNTA(A78)=0,"",IF(COUNTIFS($A$6:$A$165,A78)&gt;1,"Duplicate target",""))</x:f>
      </x:c>
    </x:row>
    <x:row r="79">
      <x:c r="A79" s="6"/>
      <x:c r="B79" s="20"/>
      <x:c r="C79" s="14" t="str">
        <x:f>IF(OR(COUNTA($A79)=0,'Status'!$E$5=""),"",IF(COUNTIFS('Estimates'!$A$5:$A$2004,$A79,'Estimates'!$B$5:$B$2004,"MPS",'Estimates'!$C$5:$C$2004,'Status'!$E$5)=0,"",IF(COUNTIFS('Estimates'!$A$5:$A$2004,$A79,'Estimates'!$B$5:$B$2004,"MPS",'Estimates'!$C$5:$C$2004,'Status'!$E$5)&gt;1,"DUP",SUMIFS('Estimates'!$F$5:$F$2004,'Estimates'!$A$5:$A$2004,$A79,'Estimates'!$B$5:$B$2004,"MPS",'Estimates'!$C$5:$C$2004,'Status'!$E$5))))</x:f>
      </x:c>
      <x:c r="D79" s="14" t="str">
        <x:f>IF(OR(COUNTA($A79)=0,'Status'!$F$5=""),"",IF(COUNTIFS('Estimates'!$A$5:$A$2004,$A79,'Estimates'!$B$5:$B$2004,"MPS",'Estimates'!$C$5:$C$2004,'Status'!$F$5)=0,"",IF(COUNTIFS('Estimates'!$A$5:$A$2004,$A79,'Estimates'!$B$5:$B$2004,"MPS",'Estimates'!$C$5:$C$2004,'Status'!$F$5)&gt;1,"DUP",SUMIFS('Estimates'!$F$5:$F$2004,'Estimates'!$A$5:$A$2004,$A79,'Estimates'!$B$5:$B$2004,"MPS",'Estimates'!$C$5:$C$2004,'Status'!$F$5))))</x:f>
      </x:c>
      <x:c r="E79" s="14" t="str">
        <x:f>IF(OR(COUNTA($A79)=0,'Status'!$G$5=""),"",IF(COUNTIFS('Estimates'!$A$5:$A$2004,$A79,'Estimates'!$B$5:$B$2004,"MPS",'Estimates'!$C$5:$C$2004,'Status'!$G$5)=0,"",IF(COUNTIFS('Estimates'!$A$5:$A$2004,$A79,'Estimates'!$B$5:$B$2004,"MPS",'Estimates'!$C$5:$C$2004,'Status'!$G$5)&gt;1,"DUP",SUMIFS('Estimates'!$F$5:$F$2004,'Estimates'!$A$5:$A$2004,$A79,'Estimates'!$B$5:$B$2004,"MPS",'Estimates'!$C$5:$C$2004,'Status'!$G$5))))</x:f>
      </x:c>
      <x:c r="F79" s="14" t="str">
        <x:f>IF(COUNT(C79:E79)&lt;2,"",_xlfn.STDEV.S(C79:E79))</x:f>
      </x:c>
      <x:c r="G79" s="14" t="str">
        <x:f>IF(AND(ISNUMBER(D79),ISNUMBER(E79)),ABS(E79-D79),"")</x:f>
      </x:c>
      <x:c r="H79" s="15" t="str">
        <x:f>IF(AND(ISNUMBER(D79),ISNUMBER(E79)),IF(D79=0,"n.a.",ABS(E79-D79)/ABS(D79)),"")</x:f>
      </x:c>
      <x:c r="I79" s="2" t="str">
        <x:f>IF(COUNTA(A79)=0,"",IF(NOT(ISNUMBER('Status'!$B$6)),"Set tolerance",IF(COUNT(C79:E79)&lt;3,"Need 3 levels",IF(OR(C79=0,D79=0),"Use abs. Δ",IF(AND(ABS(D79-C79)/ABS(C79)&lt;='Status'!$B$6,H79&lt;='Status'!$B$6),"Yes","No")))))</x:f>
      </x:c>
      <x:c r="J79" s="14" t="str">
        <x:f>IF(OR(COUNTA($A79)=0,'Status'!$E$6=""),"",IF(COUNTIFS('Estimates'!$A$5:$A$2004,$A79,'Estimates'!$B$5:$B$2004,"PPS",'Estimates'!$D$5:$D$2004,'Status'!$E$6,'Estimates'!$E$5:$E$2004,'Status'!$E$7)=0,"",IF(COUNTIFS('Estimates'!$A$5:$A$2004,$A79,'Estimates'!$B$5:$B$2004,"PPS",'Estimates'!$D$5:$D$2004,'Status'!$E$6,'Estimates'!$E$5:$E$2004,'Status'!$E$7)&gt;1,"DUP",SUMIFS('Estimates'!$F$5:$F$2004,'Estimates'!$A$5:$A$2004,$A79,'Estimates'!$B$5:$B$2004,"PPS",'Estimates'!$D$5:$D$2004,'Status'!$E$6,'Estimates'!$E$5:$E$2004,'Status'!$E$7))))</x:f>
      </x:c>
      <x:c r="K79" s="14" t="str">
        <x:f>IF(OR(COUNTA($A79)=0,'Status'!$F$6=""),"",IF(COUNTIFS('Estimates'!$A$5:$A$2004,$A79,'Estimates'!$B$5:$B$2004,"PPS",'Estimates'!$D$5:$D$2004,'Status'!$F$6,'Estimates'!$E$5:$E$2004,'Status'!$E$7)=0,"",IF(COUNTIFS('Estimates'!$A$5:$A$2004,$A79,'Estimates'!$B$5:$B$2004,"PPS",'Estimates'!$D$5:$D$2004,'Status'!$F$6,'Estimates'!$E$5:$E$2004,'Status'!$E$7)&gt;1,"DUP",SUMIFS('Estimates'!$F$5:$F$2004,'Estimates'!$A$5:$A$2004,$A79,'Estimates'!$B$5:$B$2004,"PPS",'Estimates'!$D$5:$D$2004,'Status'!$F$6,'Estimates'!$E$5:$E$2004,'Status'!$E$7))))</x:f>
      </x:c>
      <x:c r="L79" s="14" t="str">
        <x:f>IF(OR(COUNTA($A79)=0,'Status'!$G$6=""),"",IF(COUNTIFS('Estimates'!$A$5:$A$2004,$A79,'Estimates'!$B$5:$B$2004,"PPS",'Estimates'!$D$5:$D$2004,'Status'!$G$6,'Estimates'!$E$5:$E$2004,'Status'!$E$7)=0,"",IF(COUNTIFS('Estimates'!$A$5:$A$2004,$A79,'Estimates'!$B$5:$B$2004,"PPS",'Estimates'!$D$5:$D$2004,'Status'!$G$6,'Estimates'!$E$5:$E$2004,'Status'!$E$7)&gt;1,"DUP",SUMIFS('Estimates'!$F$5:$F$2004,'Estimates'!$A$5:$A$2004,$A79,'Estimates'!$B$5:$B$2004,"PPS",'Estimates'!$D$5:$D$2004,'Status'!$G$6,'Estimates'!$E$5:$E$2004,'Status'!$E$7))))</x:f>
      </x:c>
      <x:c r="M79" s="14" t="str">
        <x:f>IF(COUNT(J79:L79)&lt;2,"",_xlfn.STDEV.S(J79:L79))</x:f>
      </x:c>
      <x:c r="N79" s="14" t="str">
        <x:f>IF(AND(ISNUMBER(K79),ISNUMBER(L79)),ABS(L79-K79),"")</x:f>
      </x:c>
      <x:c r="O79" s="15" t="str">
        <x:f>IF(AND(ISNUMBER(K79),ISNUMBER(L79)),IF(K79=0,"n.a.",ABS(L79-K79)/ABS(K79)),"")</x:f>
      </x:c>
      <x:c r="P79" s="2" t="str">
        <x:f>IF(COUNTA(A79)=0,"",IF(NOT(ISNUMBER('Status'!$B$6)),"Set tolerance",IF(COUNT(J79:L79)&lt;3,"Need 3 levels",IF(OR(J79=0,K79=0),"Use abs. Δ",IF(AND(ABS(K79-J79)/ABS(J79)&lt;='Status'!$B$6,O79&lt;='Status'!$B$6),"Yes","No")))))</x:f>
      </x:c>
      <x:c r="Q79" s="14" t="str">
        <x:f>IF(AND(ISNUMBER(E79),ISNUMBER(L79)),ABS(E79-L79),"")</x:f>
      </x:c>
      <x:c r="R79" s="2" t="str">
        <x:f>IF(COUNTA(A79)=0,"",IF(COUNT(C79:E79,J79:L79)&gt;0,1,0))</x:f>
      </x:c>
      <x:c r="S79" s="2" t="str">
        <x:f>IF(COUNTA(A79)=0,"",IF(COUNTIFS($A$6:$A$165,A79)&gt;1,"Duplicate target",""))</x:f>
      </x:c>
    </x:row>
    <x:row r="80">
      <x:c r="A80" s="6"/>
      <x:c r="B80" s="20"/>
      <x:c r="C80" s="14" t="str">
        <x:f>IF(OR(COUNTA($A80)=0,'Status'!$E$5=""),"",IF(COUNTIFS('Estimates'!$A$5:$A$2004,$A80,'Estimates'!$B$5:$B$2004,"MPS",'Estimates'!$C$5:$C$2004,'Status'!$E$5)=0,"",IF(COUNTIFS('Estimates'!$A$5:$A$2004,$A80,'Estimates'!$B$5:$B$2004,"MPS",'Estimates'!$C$5:$C$2004,'Status'!$E$5)&gt;1,"DUP",SUMIFS('Estimates'!$F$5:$F$2004,'Estimates'!$A$5:$A$2004,$A80,'Estimates'!$B$5:$B$2004,"MPS",'Estimates'!$C$5:$C$2004,'Status'!$E$5))))</x:f>
      </x:c>
      <x:c r="D80" s="14" t="str">
        <x:f>IF(OR(COUNTA($A80)=0,'Status'!$F$5=""),"",IF(COUNTIFS('Estimates'!$A$5:$A$2004,$A80,'Estimates'!$B$5:$B$2004,"MPS",'Estimates'!$C$5:$C$2004,'Status'!$F$5)=0,"",IF(COUNTIFS('Estimates'!$A$5:$A$2004,$A80,'Estimates'!$B$5:$B$2004,"MPS",'Estimates'!$C$5:$C$2004,'Status'!$F$5)&gt;1,"DUP",SUMIFS('Estimates'!$F$5:$F$2004,'Estimates'!$A$5:$A$2004,$A80,'Estimates'!$B$5:$B$2004,"MPS",'Estimates'!$C$5:$C$2004,'Status'!$F$5))))</x:f>
      </x:c>
      <x:c r="E80" s="14" t="str">
        <x:f>IF(OR(COUNTA($A80)=0,'Status'!$G$5=""),"",IF(COUNTIFS('Estimates'!$A$5:$A$2004,$A80,'Estimates'!$B$5:$B$2004,"MPS",'Estimates'!$C$5:$C$2004,'Status'!$G$5)=0,"",IF(COUNTIFS('Estimates'!$A$5:$A$2004,$A80,'Estimates'!$B$5:$B$2004,"MPS",'Estimates'!$C$5:$C$2004,'Status'!$G$5)&gt;1,"DUP",SUMIFS('Estimates'!$F$5:$F$2004,'Estimates'!$A$5:$A$2004,$A80,'Estimates'!$B$5:$B$2004,"MPS",'Estimates'!$C$5:$C$2004,'Status'!$G$5))))</x:f>
      </x:c>
      <x:c r="F80" s="14" t="str">
        <x:f>IF(COUNT(C80:E80)&lt;2,"",_xlfn.STDEV.S(C80:E80))</x:f>
      </x:c>
      <x:c r="G80" s="14" t="str">
        <x:f>IF(AND(ISNUMBER(D80),ISNUMBER(E80)),ABS(E80-D80),"")</x:f>
      </x:c>
      <x:c r="H80" s="15" t="str">
        <x:f>IF(AND(ISNUMBER(D80),ISNUMBER(E80)),IF(D80=0,"n.a.",ABS(E80-D80)/ABS(D80)),"")</x:f>
      </x:c>
      <x:c r="I80" s="2" t="str">
        <x:f>IF(COUNTA(A80)=0,"",IF(NOT(ISNUMBER('Status'!$B$6)),"Set tolerance",IF(COUNT(C80:E80)&lt;3,"Need 3 levels",IF(OR(C80=0,D80=0),"Use abs. Δ",IF(AND(ABS(D80-C80)/ABS(C80)&lt;='Status'!$B$6,H80&lt;='Status'!$B$6),"Yes","No")))))</x:f>
      </x:c>
      <x:c r="J80" s="14" t="str">
        <x:f>IF(OR(COUNTA($A80)=0,'Status'!$E$6=""),"",IF(COUNTIFS('Estimates'!$A$5:$A$2004,$A80,'Estimates'!$B$5:$B$2004,"PPS",'Estimates'!$D$5:$D$2004,'Status'!$E$6,'Estimates'!$E$5:$E$2004,'Status'!$E$7)=0,"",IF(COUNTIFS('Estimates'!$A$5:$A$2004,$A80,'Estimates'!$B$5:$B$2004,"PPS",'Estimates'!$D$5:$D$2004,'Status'!$E$6,'Estimates'!$E$5:$E$2004,'Status'!$E$7)&gt;1,"DUP",SUMIFS('Estimates'!$F$5:$F$2004,'Estimates'!$A$5:$A$2004,$A80,'Estimates'!$B$5:$B$2004,"PPS",'Estimates'!$D$5:$D$2004,'Status'!$E$6,'Estimates'!$E$5:$E$2004,'Status'!$E$7))))</x:f>
      </x:c>
      <x:c r="K80" s="14" t="str">
        <x:f>IF(OR(COUNTA($A80)=0,'Status'!$F$6=""),"",IF(COUNTIFS('Estimates'!$A$5:$A$2004,$A80,'Estimates'!$B$5:$B$2004,"PPS",'Estimates'!$D$5:$D$2004,'Status'!$F$6,'Estimates'!$E$5:$E$2004,'Status'!$E$7)=0,"",IF(COUNTIFS('Estimates'!$A$5:$A$2004,$A80,'Estimates'!$B$5:$B$2004,"PPS",'Estimates'!$D$5:$D$2004,'Status'!$F$6,'Estimates'!$E$5:$E$2004,'Status'!$E$7)&gt;1,"DUP",SUMIFS('Estimates'!$F$5:$F$2004,'Estimates'!$A$5:$A$2004,$A80,'Estimates'!$B$5:$B$2004,"PPS",'Estimates'!$D$5:$D$2004,'Status'!$F$6,'Estimates'!$E$5:$E$2004,'Status'!$E$7))))</x:f>
      </x:c>
      <x:c r="L80" s="14" t="str">
        <x:f>IF(OR(COUNTA($A80)=0,'Status'!$G$6=""),"",IF(COUNTIFS('Estimates'!$A$5:$A$2004,$A80,'Estimates'!$B$5:$B$2004,"PPS",'Estimates'!$D$5:$D$2004,'Status'!$G$6,'Estimates'!$E$5:$E$2004,'Status'!$E$7)=0,"",IF(COUNTIFS('Estimates'!$A$5:$A$2004,$A80,'Estimates'!$B$5:$B$2004,"PPS",'Estimates'!$D$5:$D$2004,'Status'!$G$6,'Estimates'!$E$5:$E$2004,'Status'!$E$7)&gt;1,"DUP",SUMIFS('Estimates'!$F$5:$F$2004,'Estimates'!$A$5:$A$2004,$A80,'Estimates'!$B$5:$B$2004,"PPS",'Estimates'!$D$5:$D$2004,'Status'!$G$6,'Estimates'!$E$5:$E$2004,'Status'!$E$7))))</x:f>
      </x:c>
      <x:c r="M80" s="14" t="str">
        <x:f>IF(COUNT(J80:L80)&lt;2,"",_xlfn.STDEV.S(J80:L80))</x:f>
      </x:c>
      <x:c r="N80" s="14" t="str">
        <x:f>IF(AND(ISNUMBER(K80),ISNUMBER(L80)),ABS(L80-K80),"")</x:f>
      </x:c>
      <x:c r="O80" s="15" t="str">
        <x:f>IF(AND(ISNUMBER(K80),ISNUMBER(L80)),IF(K80=0,"n.a.",ABS(L80-K80)/ABS(K80)),"")</x:f>
      </x:c>
      <x:c r="P80" s="2" t="str">
        <x:f>IF(COUNTA(A80)=0,"",IF(NOT(ISNUMBER('Status'!$B$6)),"Set tolerance",IF(COUNT(J80:L80)&lt;3,"Need 3 levels",IF(OR(J80=0,K80=0),"Use abs. Δ",IF(AND(ABS(K80-J80)/ABS(J80)&lt;='Status'!$B$6,O80&lt;='Status'!$B$6),"Yes","No")))))</x:f>
      </x:c>
      <x:c r="Q80" s="14" t="str">
        <x:f>IF(AND(ISNUMBER(E80),ISNUMBER(L80)),ABS(E80-L80),"")</x:f>
      </x:c>
      <x:c r="R80" s="2" t="str">
        <x:f>IF(COUNTA(A80)=0,"",IF(COUNT(C80:E80,J80:L80)&gt;0,1,0))</x:f>
      </x:c>
      <x:c r="S80" s="2" t="str">
        <x:f>IF(COUNTA(A80)=0,"",IF(COUNTIFS($A$6:$A$165,A80)&gt;1,"Duplicate target",""))</x:f>
      </x:c>
    </x:row>
    <x:row r="81">
      <x:c r="A81" s="6"/>
      <x:c r="B81" s="20"/>
      <x:c r="C81" s="14" t="str">
        <x:f>IF(OR(COUNTA($A81)=0,'Status'!$E$5=""),"",IF(COUNTIFS('Estimates'!$A$5:$A$2004,$A81,'Estimates'!$B$5:$B$2004,"MPS",'Estimates'!$C$5:$C$2004,'Status'!$E$5)=0,"",IF(COUNTIFS('Estimates'!$A$5:$A$2004,$A81,'Estimates'!$B$5:$B$2004,"MPS",'Estimates'!$C$5:$C$2004,'Status'!$E$5)&gt;1,"DUP",SUMIFS('Estimates'!$F$5:$F$2004,'Estimates'!$A$5:$A$2004,$A81,'Estimates'!$B$5:$B$2004,"MPS",'Estimates'!$C$5:$C$2004,'Status'!$E$5))))</x:f>
      </x:c>
      <x:c r="D81" s="14" t="str">
        <x:f>IF(OR(COUNTA($A81)=0,'Status'!$F$5=""),"",IF(COUNTIFS('Estimates'!$A$5:$A$2004,$A81,'Estimates'!$B$5:$B$2004,"MPS",'Estimates'!$C$5:$C$2004,'Status'!$F$5)=0,"",IF(COUNTIFS('Estimates'!$A$5:$A$2004,$A81,'Estimates'!$B$5:$B$2004,"MPS",'Estimates'!$C$5:$C$2004,'Status'!$F$5)&gt;1,"DUP",SUMIFS('Estimates'!$F$5:$F$2004,'Estimates'!$A$5:$A$2004,$A81,'Estimates'!$B$5:$B$2004,"MPS",'Estimates'!$C$5:$C$2004,'Status'!$F$5))))</x:f>
      </x:c>
      <x:c r="E81" s="14" t="str">
        <x:f>IF(OR(COUNTA($A81)=0,'Status'!$G$5=""),"",IF(COUNTIFS('Estimates'!$A$5:$A$2004,$A81,'Estimates'!$B$5:$B$2004,"MPS",'Estimates'!$C$5:$C$2004,'Status'!$G$5)=0,"",IF(COUNTIFS('Estimates'!$A$5:$A$2004,$A81,'Estimates'!$B$5:$B$2004,"MPS",'Estimates'!$C$5:$C$2004,'Status'!$G$5)&gt;1,"DUP",SUMIFS('Estimates'!$F$5:$F$2004,'Estimates'!$A$5:$A$2004,$A81,'Estimates'!$B$5:$B$2004,"MPS",'Estimates'!$C$5:$C$2004,'Status'!$G$5))))</x:f>
      </x:c>
      <x:c r="F81" s="14" t="str">
        <x:f>IF(COUNT(C81:E81)&lt;2,"",_xlfn.STDEV.S(C81:E81))</x:f>
      </x:c>
      <x:c r="G81" s="14" t="str">
        <x:f>IF(AND(ISNUMBER(D81),ISNUMBER(E81)),ABS(E81-D81),"")</x:f>
      </x:c>
      <x:c r="H81" s="15" t="str">
        <x:f>IF(AND(ISNUMBER(D81),ISNUMBER(E81)),IF(D81=0,"n.a.",ABS(E81-D81)/ABS(D81)),"")</x:f>
      </x:c>
      <x:c r="I81" s="2" t="str">
        <x:f>IF(COUNTA(A81)=0,"",IF(NOT(ISNUMBER('Status'!$B$6)),"Set tolerance",IF(COUNT(C81:E81)&lt;3,"Need 3 levels",IF(OR(C81=0,D81=0),"Use abs. Δ",IF(AND(ABS(D81-C81)/ABS(C81)&lt;='Status'!$B$6,H81&lt;='Status'!$B$6),"Yes","No")))))</x:f>
      </x:c>
      <x:c r="J81" s="14" t="str">
        <x:f>IF(OR(COUNTA($A81)=0,'Status'!$E$6=""),"",IF(COUNTIFS('Estimates'!$A$5:$A$2004,$A81,'Estimates'!$B$5:$B$2004,"PPS",'Estimates'!$D$5:$D$2004,'Status'!$E$6,'Estimates'!$E$5:$E$2004,'Status'!$E$7)=0,"",IF(COUNTIFS('Estimates'!$A$5:$A$2004,$A81,'Estimates'!$B$5:$B$2004,"PPS",'Estimates'!$D$5:$D$2004,'Status'!$E$6,'Estimates'!$E$5:$E$2004,'Status'!$E$7)&gt;1,"DUP",SUMIFS('Estimates'!$F$5:$F$2004,'Estimates'!$A$5:$A$2004,$A81,'Estimates'!$B$5:$B$2004,"PPS",'Estimates'!$D$5:$D$2004,'Status'!$E$6,'Estimates'!$E$5:$E$2004,'Status'!$E$7))))</x:f>
      </x:c>
      <x:c r="K81" s="14" t="str">
        <x:f>IF(OR(COUNTA($A81)=0,'Status'!$F$6=""),"",IF(COUNTIFS('Estimates'!$A$5:$A$2004,$A81,'Estimates'!$B$5:$B$2004,"PPS",'Estimates'!$D$5:$D$2004,'Status'!$F$6,'Estimates'!$E$5:$E$2004,'Status'!$E$7)=0,"",IF(COUNTIFS('Estimates'!$A$5:$A$2004,$A81,'Estimates'!$B$5:$B$2004,"PPS",'Estimates'!$D$5:$D$2004,'Status'!$F$6,'Estimates'!$E$5:$E$2004,'Status'!$E$7)&gt;1,"DUP",SUMIFS('Estimates'!$F$5:$F$2004,'Estimates'!$A$5:$A$2004,$A81,'Estimates'!$B$5:$B$2004,"PPS",'Estimates'!$D$5:$D$2004,'Status'!$F$6,'Estimates'!$E$5:$E$2004,'Status'!$E$7))))</x:f>
      </x:c>
      <x:c r="L81" s="14" t="str">
        <x:f>IF(OR(COUNTA($A81)=0,'Status'!$G$6=""),"",IF(COUNTIFS('Estimates'!$A$5:$A$2004,$A81,'Estimates'!$B$5:$B$2004,"PPS",'Estimates'!$D$5:$D$2004,'Status'!$G$6,'Estimates'!$E$5:$E$2004,'Status'!$E$7)=0,"",IF(COUNTIFS('Estimates'!$A$5:$A$2004,$A81,'Estimates'!$B$5:$B$2004,"PPS",'Estimates'!$D$5:$D$2004,'Status'!$G$6,'Estimates'!$E$5:$E$2004,'Status'!$E$7)&gt;1,"DUP",SUMIFS('Estimates'!$F$5:$F$2004,'Estimates'!$A$5:$A$2004,$A81,'Estimates'!$B$5:$B$2004,"PPS",'Estimates'!$D$5:$D$2004,'Status'!$G$6,'Estimates'!$E$5:$E$2004,'Status'!$E$7))))</x:f>
      </x:c>
      <x:c r="M81" s="14" t="str">
        <x:f>IF(COUNT(J81:L81)&lt;2,"",_xlfn.STDEV.S(J81:L81))</x:f>
      </x:c>
      <x:c r="N81" s="14" t="str">
        <x:f>IF(AND(ISNUMBER(K81),ISNUMBER(L81)),ABS(L81-K81),"")</x:f>
      </x:c>
      <x:c r="O81" s="15" t="str">
        <x:f>IF(AND(ISNUMBER(K81),ISNUMBER(L81)),IF(K81=0,"n.a.",ABS(L81-K81)/ABS(K81)),"")</x:f>
      </x:c>
      <x:c r="P81" s="2" t="str">
        <x:f>IF(COUNTA(A81)=0,"",IF(NOT(ISNUMBER('Status'!$B$6)),"Set tolerance",IF(COUNT(J81:L81)&lt;3,"Need 3 levels",IF(OR(J81=0,K81=0),"Use abs. Δ",IF(AND(ABS(K81-J81)/ABS(J81)&lt;='Status'!$B$6,O81&lt;='Status'!$B$6),"Yes","No")))))</x:f>
      </x:c>
      <x:c r="Q81" s="14" t="str">
        <x:f>IF(AND(ISNUMBER(E81),ISNUMBER(L81)),ABS(E81-L81),"")</x:f>
      </x:c>
      <x:c r="R81" s="2" t="str">
        <x:f>IF(COUNTA(A81)=0,"",IF(COUNT(C81:E81,J81:L81)&gt;0,1,0))</x:f>
      </x:c>
      <x:c r="S81" s="2" t="str">
        <x:f>IF(COUNTA(A81)=0,"",IF(COUNTIFS($A$6:$A$165,A81)&gt;1,"Duplicate target",""))</x:f>
      </x:c>
    </x:row>
    <x:row r="82">
      <x:c r="A82" s="6"/>
      <x:c r="B82" s="20"/>
      <x:c r="C82" s="14" t="str">
        <x:f>IF(OR(COUNTA($A82)=0,'Status'!$E$5=""),"",IF(COUNTIFS('Estimates'!$A$5:$A$2004,$A82,'Estimates'!$B$5:$B$2004,"MPS",'Estimates'!$C$5:$C$2004,'Status'!$E$5)=0,"",IF(COUNTIFS('Estimates'!$A$5:$A$2004,$A82,'Estimates'!$B$5:$B$2004,"MPS",'Estimates'!$C$5:$C$2004,'Status'!$E$5)&gt;1,"DUP",SUMIFS('Estimates'!$F$5:$F$2004,'Estimates'!$A$5:$A$2004,$A82,'Estimates'!$B$5:$B$2004,"MPS",'Estimates'!$C$5:$C$2004,'Status'!$E$5))))</x:f>
      </x:c>
      <x:c r="D82" s="14" t="str">
        <x:f>IF(OR(COUNTA($A82)=0,'Status'!$F$5=""),"",IF(COUNTIFS('Estimates'!$A$5:$A$2004,$A82,'Estimates'!$B$5:$B$2004,"MPS",'Estimates'!$C$5:$C$2004,'Status'!$F$5)=0,"",IF(COUNTIFS('Estimates'!$A$5:$A$2004,$A82,'Estimates'!$B$5:$B$2004,"MPS",'Estimates'!$C$5:$C$2004,'Status'!$F$5)&gt;1,"DUP",SUMIFS('Estimates'!$F$5:$F$2004,'Estimates'!$A$5:$A$2004,$A82,'Estimates'!$B$5:$B$2004,"MPS",'Estimates'!$C$5:$C$2004,'Status'!$F$5))))</x:f>
      </x:c>
      <x:c r="E82" s="14" t="str">
        <x:f>IF(OR(COUNTA($A82)=0,'Status'!$G$5=""),"",IF(COUNTIFS('Estimates'!$A$5:$A$2004,$A82,'Estimates'!$B$5:$B$2004,"MPS",'Estimates'!$C$5:$C$2004,'Status'!$G$5)=0,"",IF(COUNTIFS('Estimates'!$A$5:$A$2004,$A82,'Estimates'!$B$5:$B$2004,"MPS",'Estimates'!$C$5:$C$2004,'Status'!$G$5)&gt;1,"DUP",SUMIFS('Estimates'!$F$5:$F$2004,'Estimates'!$A$5:$A$2004,$A82,'Estimates'!$B$5:$B$2004,"MPS",'Estimates'!$C$5:$C$2004,'Status'!$G$5))))</x:f>
      </x:c>
      <x:c r="F82" s="14" t="str">
        <x:f>IF(COUNT(C82:E82)&lt;2,"",_xlfn.STDEV.S(C82:E82))</x:f>
      </x:c>
      <x:c r="G82" s="14" t="str">
        <x:f>IF(AND(ISNUMBER(D82),ISNUMBER(E82)),ABS(E82-D82),"")</x:f>
      </x:c>
      <x:c r="H82" s="15" t="str">
        <x:f>IF(AND(ISNUMBER(D82),ISNUMBER(E82)),IF(D82=0,"n.a.",ABS(E82-D82)/ABS(D82)),"")</x:f>
      </x:c>
      <x:c r="I82" s="2" t="str">
        <x:f>IF(COUNTA(A82)=0,"",IF(NOT(ISNUMBER('Status'!$B$6)),"Set tolerance",IF(COUNT(C82:E82)&lt;3,"Need 3 levels",IF(OR(C82=0,D82=0),"Use abs. Δ",IF(AND(ABS(D82-C82)/ABS(C82)&lt;='Status'!$B$6,H82&lt;='Status'!$B$6),"Yes","No")))))</x:f>
      </x:c>
      <x:c r="J82" s="14" t="str">
        <x:f>IF(OR(COUNTA($A82)=0,'Status'!$E$6=""),"",IF(COUNTIFS('Estimates'!$A$5:$A$2004,$A82,'Estimates'!$B$5:$B$2004,"PPS",'Estimates'!$D$5:$D$2004,'Status'!$E$6,'Estimates'!$E$5:$E$2004,'Status'!$E$7)=0,"",IF(COUNTIFS('Estimates'!$A$5:$A$2004,$A82,'Estimates'!$B$5:$B$2004,"PPS",'Estimates'!$D$5:$D$2004,'Status'!$E$6,'Estimates'!$E$5:$E$2004,'Status'!$E$7)&gt;1,"DUP",SUMIFS('Estimates'!$F$5:$F$2004,'Estimates'!$A$5:$A$2004,$A82,'Estimates'!$B$5:$B$2004,"PPS",'Estimates'!$D$5:$D$2004,'Status'!$E$6,'Estimates'!$E$5:$E$2004,'Status'!$E$7))))</x:f>
      </x:c>
      <x:c r="K82" s="14" t="str">
        <x:f>IF(OR(COUNTA($A82)=0,'Status'!$F$6=""),"",IF(COUNTIFS('Estimates'!$A$5:$A$2004,$A82,'Estimates'!$B$5:$B$2004,"PPS",'Estimates'!$D$5:$D$2004,'Status'!$F$6,'Estimates'!$E$5:$E$2004,'Status'!$E$7)=0,"",IF(COUNTIFS('Estimates'!$A$5:$A$2004,$A82,'Estimates'!$B$5:$B$2004,"PPS",'Estimates'!$D$5:$D$2004,'Status'!$F$6,'Estimates'!$E$5:$E$2004,'Status'!$E$7)&gt;1,"DUP",SUMIFS('Estimates'!$F$5:$F$2004,'Estimates'!$A$5:$A$2004,$A82,'Estimates'!$B$5:$B$2004,"PPS",'Estimates'!$D$5:$D$2004,'Status'!$F$6,'Estimates'!$E$5:$E$2004,'Status'!$E$7))))</x:f>
      </x:c>
      <x:c r="L82" s="14" t="str">
        <x:f>IF(OR(COUNTA($A82)=0,'Status'!$G$6=""),"",IF(COUNTIFS('Estimates'!$A$5:$A$2004,$A82,'Estimates'!$B$5:$B$2004,"PPS",'Estimates'!$D$5:$D$2004,'Status'!$G$6,'Estimates'!$E$5:$E$2004,'Status'!$E$7)=0,"",IF(COUNTIFS('Estimates'!$A$5:$A$2004,$A82,'Estimates'!$B$5:$B$2004,"PPS",'Estimates'!$D$5:$D$2004,'Status'!$G$6,'Estimates'!$E$5:$E$2004,'Status'!$E$7)&gt;1,"DUP",SUMIFS('Estimates'!$F$5:$F$2004,'Estimates'!$A$5:$A$2004,$A82,'Estimates'!$B$5:$B$2004,"PPS",'Estimates'!$D$5:$D$2004,'Status'!$G$6,'Estimates'!$E$5:$E$2004,'Status'!$E$7))))</x:f>
      </x:c>
      <x:c r="M82" s="14" t="str">
        <x:f>IF(COUNT(J82:L82)&lt;2,"",_xlfn.STDEV.S(J82:L82))</x:f>
      </x:c>
      <x:c r="N82" s="14" t="str">
        <x:f>IF(AND(ISNUMBER(K82),ISNUMBER(L82)),ABS(L82-K82),"")</x:f>
      </x:c>
      <x:c r="O82" s="15" t="str">
        <x:f>IF(AND(ISNUMBER(K82),ISNUMBER(L82)),IF(K82=0,"n.a.",ABS(L82-K82)/ABS(K82)),"")</x:f>
      </x:c>
      <x:c r="P82" s="2" t="str">
        <x:f>IF(COUNTA(A82)=0,"",IF(NOT(ISNUMBER('Status'!$B$6)),"Set tolerance",IF(COUNT(J82:L82)&lt;3,"Need 3 levels",IF(OR(J82=0,K82=0),"Use abs. Δ",IF(AND(ABS(K82-J82)/ABS(J82)&lt;='Status'!$B$6,O82&lt;='Status'!$B$6),"Yes","No")))))</x:f>
      </x:c>
      <x:c r="Q82" s="14" t="str">
        <x:f>IF(AND(ISNUMBER(E82),ISNUMBER(L82)),ABS(E82-L82),"")</x:f>
      </x:c>
      <x:c r="R82" s="2" t="str">
        <x:f>IF(COUNTA(A82)=0,"",IF(COUNT(C82:E82,J82:L82)&gt;0,1,0))</x:f>
      </x:c>
      <x:c r="S82" s="2" t="str">
        <x:f>IF(COUNTA(A82)=0,"",IF(COUNTIFS($A$6:$A$165,A82)&gt;1,"Duplicate target",""))</x:f>
      </x:c>
    </x:row>
    <x:row r="83">
      <x:c r="A83" s="6"/>
      <x:c r="B83" s="20"/>
      <x:c r="C83" s="14" t="str">
        <x:f>IF(OR(COUNTA($A83)=0,'Status'!$E$5=""),"",IF(COUNTIFS('Estimates'!$A$5:$A$2004,$A83,'Estimates'!$B$5:$B$2004,"MPS",'Estimates'!$C$5:$C$2004,'Status'!$E$5)=0,"",IF(COUNTIFS('Estimates'!$A$5:$A$2004,$A83,'Estimates'!$B$5:$B$2004,"MPS",'Estimates'!$C$5:$C$2004,'Status'!$E$5)&gt;1,"DUP",SUMIFS('Estimates'!$F$5:$F$2004,'Estimates'!$A$5:$A$2004,$A83,'Estimates'!$B$5:$B$2004,"MPS",'Estimates'!$C$5:$C$2004,'Status'!$E$5))))</x:f>
      </x:c>
      <x:c r="D83" s="14" t="str">
        <x:f>IF(OR(COUNTA($A83)=0,'Status'!$F$5=""),"",IF(COUNTIFS('Estimates'!$A$5:$A$2004,$A83,'Estimates'!$B$5:$B$2004,"MPS",'Estimates'!$C$5:$C$2004,'Status'!$F$5)=0,"",IF(COUNTIFS('Estimates'!$A$5:$A$2004,$A83,'Estimates'!$B$5:$B$2004,"MPS",'Estimates'!$C$5:$C$2004,'Status'!$F$5)&gt;1,"DUP",SUMIFS('Estimates'!$F$5:$F$2004,'Estimates'!$A$5:$A$2004,$A83,'Estimates'!$B$5:$B$2004,"MPS",'Estimates'!$C$5:$C$2004,'Status'!$F$5))))</x:f>
      </x:c>
      <x:c r="E83" s="14" t="str">
        <x:f>IF(OR(COUNTA($A83)=0,'Status'!$G$5=""),"",IF(COUNTIFS('Estimates'!$A$5:$A$2004,$A83,'Estimates'!$B$5:$B$2004,"MPS",'Estimates'!$C$5:$C$2004,'Status'!$G$5)=0,"",IF(COUNTIFS('Estimates'!$A$5:$A$2004,$A83,'Estimates'!$B$5:$B$2004,"MPS",'Estimates'!$C$5:$C$2004,'Status'!$G$5)&gt;1,"DUP",SUMIFS('Estimates'!$F$5:$F$2004,'Estimates'!$A$5:$A$2004,$A83,'Estimates'!$B$5:$B$2004,"MPS",'Estimates'!$C$5:$C$2004,'Status'!$G$5))))</x:f>
      </x:c>
      <x:c r="F83" s="14" t="str">
        <x:f>IF(COUNT(C83:E83)&lt;2,"",_xlfn.STDEV.S(C83:E83))</x:f>
      </x:c>
      <x:c r="G83" s="14" t="str">
        <x:f>IF(AND(ISNUMBER(D83),ISNUMBER(E83)),ABS(E83-D83),"")</x:f>
      </x:c>
      <x:c r="H83" s="15" t="str">
        <x:f>IF(AND(ISNUMBER(D83),ISNUMBER(E83)),IF(D83=0,"n.a.",ABS(E83-D83)/ABS(D83)),"")</x:f>
      </x:c>
      <x:c r="I83" s="2" t="str">
        <x:f>IF(COUNTA(A83)=0,"",IF(NOT(ISNUMBER('Status'!$B$6)),"Set tolerance",IF(COUNT(C83:E83)&lt;3,"Need 3 levels",IF(OR(C83=0,D83=0),"Use abs. Δ",IF(AND(ABS(D83-C83)/ABS(C83)&lt;='Status'!$B$6,H83&lt;='Status'!$B$6),"Yes","No")))))</x:f>
      </x:c>
      <x:c r="J83" s="14" t="str">
        <x:f>IF(OR(COUNTA($A83)=0,'Status'!$E$6=""),"",IF(COUNTIFS('Estimates'!$A$5:$A$2004,$A83,'Estimates'!$B$5:$B$2004,"PPS",'Estimates'!$D$5:$D$2004,'Status'!$E$6,'Estimates'!$E$5:$E$2004,'Status'!$E$7)=0,"",IF(COUNTIFS('Estimates'!$A$5:$A$2004,$A83,'Estimates'!$B$5:$B$2004,"PPS",'Estimates'!$D$5:$D$2004,'Status'!$E$6,'Estimates'!$E$5:$E$2004,'Status'!$E$7)&gt;1,"DUP",SUMIFS('Estimates'!$F$5:$F$2004,'Estimates'!$A$5:$A$2004,$A83,'Estimates'!$B$5:$B$2004,"PPS",'Estimates'!$D$5:$D$2004,'Status'!$E$6,'Estimates'!$E$5:$E$2004,'Status'!$E$7))))</x:f>
      </x:c>
      <x:c r="K83" s="14" t="str">
        <x:f>IF(OR(COUNTA($A83)=0,'Status'!$F$6=""),"",IF(COUNTIFS('Estimates'!$A$5:$A$2004,$A83,'Estimates'!$B$5:$B$2004,"PPS",'Estimates'!$D$5:$D$2004,'Status'!$F$6,'Estimates'!$E$5:$E$2004,'Status'!$E$7)=0,"",IF(COUNTIFS('Estimates'!$A$5:$A$2004,$A83,'Estimates'!$B$5:$B$2004,"PPS",'Estimates'!$D$5:$D$2004,'Status'!$F$6,'Estimates'!$E$5:$E$2004,'Status'!$E$7)&gt;1,"DUP",SUMIFS('Estimates'!$F$5:$F$2004,'Estimates'!$A$5:$A$2004,$A83,'Estimates'!$B$5:$B$2004,"PPS",'Estimates'!$D$5:$D$2004,'Status'!$F$6,'Estimates'!$E$5:$E$2004,'Status'!$E$7))))</x:f>
      </x:c>
      <x:c r="L83" s="14" t="str">
        <x:f>IF(OR(COUNTA($A83)=0,'Status'!$G$6=""),"",IF(COUNTIFS('Estimates'!$A$5:$A$2004,$A83,'Estimates'!$B$5:$B$2004,"PPS",'Estimates'!$D$5:$D$2004,'Status'!$G$6,'Estimates'!$E$5:$E$2004,'Status'!$E$7)=0,"",IF(COUNTIFS('Estimates'!$A$5:$A$2004,$A83,'Estimates'!$B$5:$B$2004,"PPS",'Estimates'!$D$5:$D$2004,'Status'!$G$6,'Estimates'!$E$5:$E$2004,'Status'!$E$7)&gt;1,"DUP",SUMIFS('Estimates'!$F$5:$F$2004,'Estimates'!$A$5:$A$2004,$A83,'Estimates'!$B$5:$B$2004,"PPS",'Estimates'!$D$5:$D$2004,'Status'!$G$6,'Estimates'!$E$5:$E$2004,'Status'!$E$7))))</x:f>
      </x:c>
      <x:c r="M83" s="14" t="str">
        <x:f>IF(COUNT(J83:L83)&lt;2,"",_xlfn.STDEV.S(J83:L83))</x:f>
      </x:c>
      <x:c r="N83" s="14" t="str">
        <x:f>IF(AND(ISNUMBER(K83),ISNUMBER(L83)),ABS(L83-K83),"")</x:f>
      </x:c>
      <x:c r="O83" s="15" t="str">
        <x:f>IF(AND(ISNUMBER(K83),ISNUMBER(L83)),IF(K83=0,"n.a.",ABS(L83-K83)/ABS(K83)),"")</x:f>
      </x:c>
      <x:c r="P83" s="2" t="str">
        <x:f>IF(COUNTA(A83)=0,"",IF(NOT(ISNUMBER('Status'!$B$6)),"Set tolerance",IF(COUNT(J83:L83)&lt;3,"Need 3 levels",IF(OR(J83=0,K83=0),"Use abs. Δ",IF(AND(ABS(K83-J83)/ABS(J83)&lt;='Status'!$B$6,O83&lt;='Status'!$B$6),"Yes","No")))))</x:f>
      </x:c>
      <x:c r="Q83" s="14" t="str">
        <x:f>IF(AND(ISNUMBER(E83),ISNUMBER(L83)),ABS(E83-L83),"")</x:f>
      </x:c>
      <x:c r="R83" s="2" t="str">
        <x:f>IF(COUNTA(A83)=0,"",IF(COUNT(C83:E83,J83:L83)&gt;0,1,0))</x:f>
      </x:c>
      <x:c r="S83" s="2" t="str">
        <x:f>IF(COUNTA(A83)=0,"",IF(COUNTIFS($A$6:$A$165,A83)&gt;1,"Duplicate target",""))</x:f>
      </x:c>
    </x:row>
    <x:row r="84">
      <x:c r="A84" s="6"/>
      <x:c r="B84" s="20"/>
      <x:c r="C84" s="14" t="str">
        <x:f>IF(OR(COUNTA($A84)=0,'Status'!$E$5=""),"",IF(COUNTIFS('Estimates'!$A$5:$A$2004,$A84,'Estimates'!$B$5:$B$2004,"MPS",'Estimates'!$C$5:$C$2004,'Status'!$E$5)=0,"",IF(COUNTIFS('Estimates'!$A$5:$A$2004,$A84,'Estimates'!$B$5:$B$2004,"MPS",'Estimates'!$C$5:$C$2004,'Status'!$E$5)&gt;1,"DUP",SUMIFS('Estimates'!$F$5:$F$2004,'Estimates'!$A$5:$A$2004,$A84,'Estimates'!$B$5:$B$2004,"MPS",'Estimates'!$C$5:$C$2004,'Status'!$E$5))))</x:f>
      </x:c>
      <x:c r="D84" s="14" t="str">
        <x:f>IF(OR(COUNTA($A84)=0,'Status'!$F$5=""),"",IF(COUNTIFS('Estimates'!$A$5:$A$2004,$A84,'Estimates'!$B$5:$B$2004,"MPS",'Estimates'!$C$5:$C$2004,'Status'!$F$5)=0,"",IF(COUNTIFS('Estimates'!$A$5:$A$2004,$A84,'Estimates'!$B$5:$B$2004,"MPS",'Estimates'!$C$5:$C$2004,'Status'!$F$5)&gt;1,"DUP",SUMIFS('Estimates'!$F$5:$F$2004,'Estimates'!$A$5:$A$2004,$A84,'Estimates'!$B$5:$B$2004,"MPS",'Estimates'!$C$5:$C$2004,'Status'!$F$5))))</x:f>
      </x:c>
      <x:c r="E84" s="14" t="str">
        <x:f>IF(OR(COUNTA($A84)=0,'Status'!$G$5=""),"",IF(COUNTIFS('Estimates'!$A$5:$A$2004,$A84,'Estimates'!$B$5:$B$2004,"MPS",'Estimates'!$C$5:$C$2004,'Status'!$G$5)=0,"",IF(COUNTIFS('Estimates'!$A$5:$A$2004,$A84,'Estimates'!$B$5:$B$2004,"MPS",'Estimates'!$C$5:$C$2004,'Status'!$G$5)&gt;1,"DUP",SUMIFS('Estimates'!$F$5:$F$2004,'Estimates'!$A$5:$A$2004,$A84,'Estimates'!$B$5:$B$2004,"MPS",'Estimates'!$C$5:$C$2004,'Status'!$G$5))))</x:f>
      </x:c>
      <x:c r="F84" s="14" t="str">
        <x:f>IF(COUNT(C84:E84)&lt;2,"",_xlfn.STDEV.S(C84:E84))</x:f>
      </x:c>
      <x:c r="G84" s="14" t="str">
        <x:f>IF(AND(ISNUMBER(D84),ISNUMBER(E84)),ABS(E84-D84),"")</x:f>
      </x:c>
      <x:c r="H84" s="15" t="str">
        <x:f>IF(AND(ISNUMBER(D84),ISNUMBER(E84)),IF(D84=0,"n.a.",ABS(E84-D84)/ABS(D84)),"")</x:f>
      </x:c>
      <x:c r="I84" s="2" t="str">
        <x:f>IF(COUNTA(A84)=0,"",IF(NOT(ISNUMBER('Status'!$B$6)),"Set tolerance",IF(COUNT(C84:E84)&lt;3,"Need 3 levels",IF(OR(C84=0,D84=0),"Use abs. Δ",IF(AND(ABS(D84-C84)/ABS(C84)&lt;='Status'!$B$6,H84&lt;='Status'!$B$6),"Yes","No")))))</x:f>
      </x:c>
      <x:c r="J84" s="14" t="str">
        <x:f>IF(OR(COUNTA($A84)=0,'Status'!$E$6=""),"",IF(COUNTIFS('Estimates'!$A$5:$A$2004,$A84,'Estimates'!$B$5:$B$2004,"PPS",'Estimates'!$D$5:$D$2004,'Status'!$E$6,'Estimates'!$E$5:$E$2004,'Status'!$E$7)=0,"",IF(COUNTIFS('Estimates'!$A$5:$A$2004,$A84,'Estimates'!$B$5:$B$2004,"PPS",'Estimates'!$D$5:$D$2004,'Status'!$E$6,'Estimates'!$E$5:$E$2004,'Status'!$E$7)&gt;1,"DUP",SUMIFS('Estimates'!$F$5:$F$2004,'Estimates'!$A$5:$A$2004,$A84,'Estimates'!$B$5:$B$2004,"PPS",'Estimates'!$D$5:$D$2004,'Status'!$E$6,'Estimates'!$E$5:$E$2004,'Status'!$E$7))))</x:f>
      </x:c>
      <x:c r="K84" s="14" t="str">
        <x:f>IF(OR(COUNTA($A84)=0,'Status'!$F$6=""),"",IF(COUNTIFS('Estimates'!$A$5:$A$2004,$A84,'Estimates'!$B$5:$B$2004,"PPS",'Estimates'!$D$5:$D$2004,'Status'!$F$6,'Estimates'!$E$5:$E$2004,'Status'!$E$7)=0,"",IF(COUNTIFS('Estimates'!$A$5:$A$2004,$A84,'Estimates'!$B$5:$B$2004,"PPS",'Estimates'!$D$5:$D$2004,'Status'!$F$6,'Estimates'!$E$5:$E$2004,'Status'!$E$7)&gt;1,"DUP",SUMIFS('Estimates'!$F$5:$F$2004,'Estimates'!$A$5:$A$2004,$A84,'Estimates'!$B$5:$B$2004,"PPS",'Estimates'!$D$5:$D$2004,'Status'!$F$6,'Estimates'!$E$5:$E$2004,'Status'!$E$7))))</x:f>
      </x:c>
      <x:c r="L84" s="14" t="str">
        <x:f>IF(OR(COUNTA($A84)=0,'Status'!$G$6=""),"",IF(COUNTIFS('Estimates'!$A$5:$A$2004,$A84,'Estimates'!$B$5:$B$2004,"PPS",'Estimates'!$D$5:$D$2004,'Status'!$G$6,'Estimates'!$E$5:$E$2004,'Status'!$E$7)=0,"",IF(COUNTIFS('Estimates'!$A$5:$A$2004,$A84,'Estimates'!$B$5:$B$2004,"PPS",'Estimates'!$D$5:$D$2004,'Status'!$G$6,'Estimates'!$E$5:$E$2004,'Status'!$E$7)&gt;1,"DUP",SUMIFS('Estimates'!$F$5:$F$2004,'Estimates'!$A$5:$A$2004,$A84,'Estimates'!$B$5:$B$2004,"PPS",'Estimates'!$D$5:$D$2004,'Status'!$G$6,'Estimates'!$E$5:$E$2004,'Status'!$E$7))))</x:f>
      </x:c>
      <x:c r="M84" s="14" t="str">
        <x:f>IF(COUNT(J84:L84)&lt;2,"",_xlfn.STDEV.S(J84:L84))</x:f>
      </x:c>
      <x:c r="N84" s="14" t="str">
        <x:f>IF(AND(ISNUMBER(K84),ISNUMBER(L84)),ABS(L84-K84),"")</x:f>
      </x:c>
      <x:c r="O84" s="15" t="str">
        <x:f>IF(AND(ISNUMBER(K84),ISNUMBER(L84)),IF(K84=0,"n.a.",ABS(L84-K84)/ABS(K84)),"")</x:f>
      </x:c>
      <x:c r="P84" s="2" t="str">
        <x:f>IF(COUNTA(A84)=0,"",IF(NOT(ISNUMBER('Status'!$B$6)),"Set tolerance",IF(COUNT(J84:L84)&lt;3,"Need 3 levels",IF(OR(J84=0,K84=0),"Use abs. Δ",IF(AND(ABS(K84-J84)/ABS(J84)&lt;='Status'!$B$6,O84&lt;='Status'!$B$6),"Yes","No")))))</x:f>
      </x:c>
      <x:c r="Q84" s="14" t="str">
        <x:f>IF(AND(ISNUMBER(E84),ISNUMBER(L84)),ABS(E84-L84),"")</x:f>
      </x:c>
      <x:c r="R84" s="2" t="str">
        <x:f>IF(COUNTA(A84)=0,"",IF(COUNT(C84:E84,J84:L84)&gt;0,1,0))</x:f>
      </x:c>
      <x:c r="S84" s="2" t="str">
        <x:f>IF(COUNTA(A84)=0,"",IF(COUNTIFS($A$6:$A$165,A84)&gt;1,"Duplicate target",""))</x:f>
      </x:c>
    </x:row>
    <x:row r="85">
      <x:c r="A85" s="6"/>
      <x:c r="B85" s="20"/>
      <x:c r="C85" s="14" t="str">
        <x:f>IF(OR(COUNTA($A85)=0,'Status'!$E$5=""),"",IF(COUNTIFS('Estimates'!$A$5:$A$2004,$A85,'Estimates'!$B$5:$B$2004,"MPS",'Estimates'!$C$5:$C$2004,'Status'!$E$5)=0,"",IF(COUNTIFS('Estimates'!$A$5:$A$2004,$A85,'Estimates'!$B$5:$B$2004,"MPS",'Estimates'!$C$5:$C$2004,'Status'!$E$5)&gt;1,"DUP",SUMIFS('Estimates'!$F$5:$F$2004,'Estimates'!$A$5:$A$2004,$A85,'Estimates'!$B$5:$B$2004,"MPS",'Estimates'!$C$5:$C$2004,'Status'!$E$5))))</x:f>
      </x:c>
      <x:c r="D85" s="14" t="str">
        <x:f>IF(OR(COUNTA($A85)=0,'Status'!$F$5=""),"",IF(COUNTIFS('Estimates'!$A$5:$A$2004,$A85,'Estimates'!$B$5:$B$2004,"MPS",'Estimates'!$C$5:$C$2004,'Status'!$F$5)=0,"",IF(COUNTIFS('Estimates'!$A$5:$A$2004,$A85,'Estimates'!$B$5:$B$2004,"MPS",'Estimates'!$C$5:$C$2004,'Status'!$F$5)&gt;1,"DUP",SUMIFS('Estimates'!$F$5:$F$2004,'Estimates'!$A$5:$A$2004,$A85,'Estimates'!$B$5:$B$2004,"MPS",'Estimates'!$C$5:$C$2004,'Status'!$F$5))))</x:f>
      </x:c>
      <x:c r="E85" s="14" t="str">
        <x:f>IF(OR(COUNTA($A85)=0,'Status'!$G$5=""),"",IF(COUNTIFS('Estimates'!$A$5:$A$2004,$A85,'Estimates'!$B$5:$B$2004,"MPS",'Estimates'!$C$5:$C$2004,'Status'!$G$5)=0,"",IF(COUNTIFS('Estimates'!$A$5:$A$2004,$A85,'Estimates'!$B$5:$B$2004,"MPS",'Estimates'!$C$5:$C$2004,'Status'!$G$5)&gt;1,"DUP",SUMIFS('Estimates'!$F$5:$F$2004,'Estimates'!$A$5:$A$2004,$A85,'Estimates'!$B$5:$B$2004,"MPS",'Estimates'!$C$5:$C$2004,'Status'!$G$5))))</x:f>
      </x:c>
      <x:c r="F85" s="14" t="str">
        <x:f>IF(COUNT(C85:E85)&lt;2,"",_xlfn.STDEV.S(C85:E85))</x:f>
      </x:c>
      <x:c r="G85" s="14" t="str">
        <x:f>IF(AND(ISNUMBER(D85),ISNUMBER(E85)),ABS(E85-D85),"")</x:f>
      </x:c>
      <x:c r="H85" s="15" t="str">
        <x:f>IF(AND(ISNUMBER(D85),ISNUMBER(E85)),IF(D85=0,"n.a.",ABS(E85-D85)/ABS(D85)),"")</x:f>
      </x:c>
      <x:c r="I85" s="2" t="str">
        <x:f>IF(COUNTA(A85)=0,"",IF(NOT(ISNUMBER('Status'!$B$6)),"Set tolerance",IF(COUNT(C85:E85)&lt;3,"Need 3 levels",IF(OR(C85=0,D85=0),"Use abs. Δ",IF(AND(ABS(D85-C85)/ABS(C85)&lt;='Status'!$B$6,H85&lt;='Status'!$B$6),"Yes","No")))))</x:f>
      </x:c>
      <x:c r="J85" s="14" t="str">
        <x:f>IF(OR(COUNTA($A85)=0,'Status'!$E$6=""),"",IF(COUNTIFS('Estimates'!$A$5:$A$2004,$A85,'Estimates'!$B$5:$B$2004,"PPS",'Estimates'!$D$5:$D$2004,'Status'!$E$6,'Estimates'!$E$5:$E$2004,'Status'!$E$7)=0,"",IF(COUNTIFS('Estimates'!$A$5:$A$2004,$A85,'Estimates'!$B$5:$B$2004,"PPS",'Estimates'!$D$5:$D$2004,'Status'!$E$6,'Estimates'!$E$5:$E$2004,'Status'!$E$7)&gt;1,"DUP",SUMIFS('Estimates'!$F$5:$F$2004,'Estimates'!$A$5:$A$2004,$A85,'Estimates'!$B$5:$B$2004,"PPS",'Estimates'!$D$5:$D$2004,'Status'!$E$6,'Estimates'!$E$5:$E$2004,'Status'!$E$7))))</x:f>
      </x:c>
      <x:c r="K85" s="14" t="str">
        <x:f>IF(OR(COUNTA($A85)=0,'Status'!$F$6=""),"",IF(COUNTIFS('Estimates'!$A$5:$A$2004,$A85,'Estimates'!$B$5:$B$2004,"PPS",'Estimates'!$D$5:$D$2004,'Status'!$F$6,'Estimates'!$E$5:$E$2004,'Status'!$E$7)=0,"",IF(COUNTIFS('Estimates'!$A$5:$A$2004,$A85,'Estimates'!$B$5:$B$2004,"PPS",'Estimates'!$D$5:$D$2004,'Status'!$F$6,'Estimates'!$E$5:$E$2004,'Status'!$E$7)&gt;1,"DUP",SUMIFS('Estimates'!$F$5:$F$2004,'Estimates'!$A$5:$A$2004,$A85,'Estimates'!$B$5:$B$2004,"PPS",'Estimates'!$D$5:$D$2004,'Status'!$F$6,'Estimates'!$E$5:$E$2004,'Status'!$E$7))))</x:f>
      </x:c>
      <x:c r="L85" s="14" t="str">
        <x:f>IF(OR(COUNTA($A85)=0,'Status'!$G$6=""),"",IF(COUNTIFS('Estimates'!$A$5:$A$2004,$A85,'Estimates'!$B$5:$B$2004,"PPS",'Estimates'!$D$5:$D$2004,'Status'!$G$6,'Estimates'!$E$5:$E$2004,'Status'!$E$7)=0,"",IF(COUNTIFS('Estimates'!$A$5:$A$2004,$A85,'Estimates'!$B$5:$B$2004,"PPS",'Estimates'!$D$5:$D$2004,'Status'!$G$6,'Estimates'!$E$5:$E$2004,'Status'!$E$7)&gt;1,"DUP",SUMIFS('Estimates'!$F$5:$F$2004,'Estimates'!$A$5:$A$2004,$A85,'Estimates'!$B$5:$B$2004,"PPS",'Estimates'!$D$5:$D$2004,'Status'!$G$6,'Estimates'!$E$5:$E$2004,'Status'!$E$7))))</x:f>
      </x:c>
      <x:c r="M85" s="14" t="str">
        <x:f>IF(COUNT(J85:L85)&lt;2,"",_xlfn.STDEV.S(J85:L85))</x:f>
      </x:c>
      <x:c r="N85" s="14" t="str">
        <x:f>IF(AND(ISNUMBER(K85),ISNUMBER(L85)),ABS(L85-K85),"")</x:f>
      </x:c>
      <x:c r="O85" s="15" t="str">
        <x:f>IF(AND(ISNUMBER(K85),ISNUMBER(L85)),IF(K85=0,"n.a.",ABS(L85-K85)/ABS(K85)),"")</x:f>
      </x:c>
      <x:c r="P85" s="2" t="str">
        <x:f>IF(COUNTA(A85)=0,"",IF(NOT(ISNUMBER('Status'!$B$6)),"Set tolerance",IF(COUNT(J85:L85)&lt;3,"Need 3 levels",IF(OR(J85=0,K85=0),"Use abs. Δ",IF(AND(ABS(K85-J85)/ABS(J85)&lt;='Status'!$B$6,O85&lt;='Status'!$B$6),"Yes","No")))))</x:f>
      </x:c>
      <x:c r="Q85" s="14" t="str">
        <x:f>IF(AND(ISNUMBER(E85),ISNUMBER(L85)),ABS(E85-L85),"")</x:f>
      </x:c>
      <x:c r="R85" s="2" t="str">
        <x:f>IF(COUNTA(A85)=0,"",IF(COUNT(C85:E85,J85:L85)&gt;0,1,0))</x:f>
      </x:c>
      <x:c r="S85" s="2" t="str">
        <x:f>IF(COUNTA(A85)=0,"",IF(COUNTIFS($A$6:$A$165,A85)&gt;1,"Duplicate target",""))</x:f>
      </x:c>
    </x:row>
    <x:row r="86">
      <x:c r="A86" s="6"/>
      <x:c r="B86" s="20"/>
      <x:c r="C86" s="14" t="str">
        <x:f>IF(OR(COUNTA($A86)=0,'Status'!$E$5=""),"",IF(COUNTIFS('Estimates'!$A$5:$A$2004,$A86,'Estimates'!$B$5:$B$2004,"MPS",'Estimates'!$C$5:$C$2004,'Status'!$E$5)=0,"",IF(COUNTIFS('Estimates'!$A$5:$A$2004,$A86,'Estimates'!$B$5:$B$2004,"MPS",'Estimates'!$C$5:$C$2004,'Status'!$E$5)&gt;1,"DUP",SUMIFS('Estimates'!$F$5:$F$2004,'Estimates'!$A$5:$A$2004,$A86,'Estimates'!$B$5:$B$2004,"MPS",'Estimates'!$C$5:$C$2004,'Status'!$E$5))))</x:f>
      </x:c>
      <x:c r="D86" s="14" t="str">
        <x:f>IF(OR(COUNTA($A86)=0,'Status'!$F$5=""),"",IF(COUNTIFS('Estimates'!$A$5:$A$2004,$A86,'Estimates'!$B$5:$B$2004,"MPS",'Estimates'!$C$5:$C$2004,'Status'!$F$5)=0,"",IF(COUNTIFS('Estimates'!$A$5:$A$2004,$A86,'Estimates'!$B$5:$B$2004,"MPS",'Estimates'!$C$5:$C$2004,'Status'!$F$5)&gt;1,"DUP",SUMIFS('Estimates'!$F$5:$F$2004,'Estimates'!$A$5:$A$2004,$A86,'Estimates'!$B$5:$B$2004,"MPS",'Estimates'!$C$5:$C$2004,'Status'!$F$5))))</x:f>
      </x:c>
      <x:c r="E86" s="14" t="str">
        <x:f>IF(OR(COUNTA($A86)=0,'Status'!$G$5=""),"",IF(COUNTIFS('Estimates'!$A$5:$A$2004,$A86,'Estimates'!$B$5:$B$2004,"MPS",'Estimates'!$C$5:$C$2004,'Status'!$G$5)=0,"",IF(COUNTIFS('Estimates'!$A$5:$A$2004,$A86,'Estimates'!$B$5:$B$2004,"MPS",'Estimates'!$C$5:$C$2004,'Status'!$G$5)&gt;1,"DUP",SUMIFS('Estimates'!$F$5:$F$2004,'Estimates'!$A$5:$A$2004,$A86,'Estimates'!$B$5:$B$2004,"MPS",'Estimates'!$C$5:$C$2004,'Status'!$G$5))))</x:f>
      </x:c>
      <x:c r="F86" s="14" t="str">
        <x:f>IF(COUNT(C86:E86)&lt;2,"",_xlfn.STDEV.S(C86:E86))</x:f>
      </x:c>
      <x:c r="G86" s="14" t="str">
        <x:f>IF(AND(ISNUMBER(D86),ISNUMBER(E86)),ABS(E86-D86),"")</x:f>
      </x:c>
      <x:c r="H86" s="15" t="str">
        <x:f>IF(AND(ISNUMBER(D86),ISNUMBER(E86)),IF(D86=0,"n.a.",ABS(E86-D86)/ABS(D86)),"")</x:f>
      </x:c>
      <x:c r="I86" s="2" t="str">
        <x:f>IF(COUNTA(A86)=0,"",IF(NOT(ISNUMBER('Status'!$B$6)),"Set tolerance",IF(COUNT(C86:E86)&lt;3,"Need 3 levels",IF(OR(C86=0,D86=0),"Use abs. Δ",IF(AND(ABS(D86-C86)/ABS(C86)&lt;='Status'!$B$6,H86&lt;='Status'!$B$6),"Yes","No")))))</x:f>
      </x:c>
      <x:c r="J86" s="14" t="str">
        <x:f>IF(OR(COUNTA($A86)=0,'Status'!$E$6=""),"",IF(COUNTIFS('Estimates'!$A$5:$A$2004,$A86,'Estimates'!$B$5:$B$2004,"PPS",'Estimates'!$D$5:$D$2004,'Status'!$E$6,'Estimates'!$E$5:$E$2004,'Status'!$E$7)=0,"",IF(COUNTIFS('Estimates'!$A$5:$A$2004,$A86,'Estimates'!$B$5:$B$2004,"PPS",'Estimates'!$D$5:$D$2004,'Status'!$E$6,'Estimates'!$E$5:$E$2004,'Status'!$E$7)&gt;1,"DUP",SUMIFS('Estimates'!$F$5:$F$2004,'Estimates'!$A$5:$A$2004,$A86,'Estimates'!$B$5:$B$2004,"PPS",'Estimates'!$D$5:$D$2004,'Status'!$E$6,'Estimates'!$E$5:$E$2004,'Status'!$E$7))))</x:f>
      </x:c>
      <x:c r="K86" s="14" t="str">
        <x:f>IF(OR(COUNTA($A86)=0,'Status'!$F$6=""),"",IF(COUNTIFS('Estimates'!$A$5:$A$2004,$A86,'Estimates'!$B$5:$B$2004,"PPS",'Estimates'!$D$5:$D$2004,'Status'!$F$6,'Estimates'!$E$5:$E$2004,'Status'!$E$7)=0,"",IF(COUNTIFS('Estimates'!$A$5:$A$2004,$A86,'Estimates'!$B$5:$B$2004,"PPS",'Estimates'!$D$5:$D$2004,'Status'!$F$6,'Estimates'!$E$5:$E$2004,'Status'!$E$7)&gt;1,"DUP",SUMIFS('Estimates'!$F$5:$F$2004,'Estimates'!$A$5:$A$2004,$A86,'Estimates'!$B$5:$B$2004,"PPS",'Estimates'!$D$5:$D$2004,'Status'!$F$6,'Estimates'!$E$5:$E$2004,'Status'!$E$7))))</x:f>
      </x:c>
      <x:c r="L86" s="14" t="str">
        <x:f>IF(OR(COUNTA($A86)=0,'Status'!$G$6=""),"",IF(COUNTIFS('Estimates'!$A$5:$A$2004,$A86,'Estimates'!$B$5:$B$2004,"PPS",'Estimates'!$D$5:$D$2004,'Status'!$G$6,'Estimates'!$E$5:$E$2004,'Status'!$E$7)=0,"",IF(COUNTIFS('Estimates'!$A$5:$A$2004,$A86,'Estimates'!$B$5:$B$2004,"PPS",'Estimates'!$D$5:$D$2004,'Status'!$G$6,'Estimates'!$E$5:$E$2004,'Status'!$E$7)&gt;1,"DUP",SUMIFS('Estimates'!$F$5:$F$2004,'Estimates'!$A$5:$A$2004,$A86,'Estimates'!$B$5:$B$2004,"PPS",'Estimates'!$D$5:$D$2004,'Status'!$G$6,'Estimates'!$E$5:$E$2004,'Status'!$E$7))))</x:f>
      </x:c>
      <x:c r="M86" s="14" t="str">
        <x:f>IF(COUNT(J86:L86)&lt;2,"",_xlfn.STDEV.S(J86:L86))</x:f>
      </x:c>
      <x:c r="N86" s="14" t="str">
        <x:f>IF(AND(ISNUMBER(K86),ISNUMBER(L86)),ABS(L86-K86),"")</x:f>
      </x:c>
      <x:c r="O86" s="15" t="str">
        <x:f>IF(AND(ISNUMBER(K86),ISNUMBER(L86)),IF(K86=0,"n.a.",ABS(L86-K86)/ABS(K86)),"")</x:f>
      </x:c>
      <x:c r="P86" s="2" t="str">
        <x:f>IF(COUNTA(A86)=0,"",IF(NOT(ISNUMBER('Status'!$B$6)),"Set tolerance",IF(COUNT(J86:L86)&lt;3,"Need 3 levels",IF(OR(J86=0,K86=0),"Use abs. Δ",IF(AND(ABS(K86-J86)/ABS(J86)&lt;='Status'!$B$6,O86&lt;='Status'!$B$6),"Yes","No")))))</x:f>
      </x:c>
      <x:c r="Q86" s="14" t="str">
        <x:f>IF(AND(ISNUMBER(E86),ISNUMBER(L86)),ABS(E86-L86),"")</x:f>
      </x:c>
      <x:c r="R86" s="2" t="str">
        <x:f>IF(COUNTA(A86)=0,"",IF(COUNT(C86:E86,J86:L86)&gt;0,1,0))</x:f>
      </x:c>
      <x:c r="S86" s="2" t="str">
        <x:f>IF(COUNTA(A86)=0,"",IF(COUNTIFS($A$6:$A$165,A86)&gt;1,"Duplicate target",""))</x:f>
      </x:c>
    </x:row>
    <x:row r="87">
      <x:c r="A87" s="6"/>
      <x:c r="B87" s="20"/>
      <x:c r="C87" s="14" t="str">
        <x:f>IF(OR(COUNTA($A87)=0,'Status'!$E$5=""),"",IF(COUNTIFS('Estimates'!$A$5:$A$2004,$A87,'Estimates'!$B$5:$B$2004,"MPS",'Estimates'!$C$5:$C$2004,'Status'!$E$5)=0,"",IF(COUNTIFS('Estimates'!$A$5:$A$2004,$A87,'Estimates'!$B$5:$B$2004,"MPS",'Estimates'!$C$5:$C$2004,'Status'!$E$5)&gt;1,"DUP",SUMIFS('Estimates'!$F$5:$F$2004,'Estimates'!$A$5:$A$2004,$A87,'Estimates'!$B$5:$B$2004,"MPS",'Estimates'!$C$5:$C$2004,'Status'!$E$5))))</x:f>
      </x:c>
      <x:c r="D87" s="14" t="str">
        <x:f>IF(OR(COUNTA($A87)=0,'Status'!$F$5=""),"",IF(COUNTIFS('Estimates'!$A$5:$A$2004,$A87,'Estimates'!$B$5:$B$2004,"MPS",'Estimates'!$C$5:$C$2004,'Status'!$F$5)=0,"",IF(COUNTIFS('Estimates'!$A$5:$A$2004,$A87,'Estimates'!$B$5:$B$2004,"MPS",'Estimates'!$C$5:$C$2004,'Status'!$F$5)&gt;1,"DUP",SUMIFS('Estimates'!$F$5:$F$2004,'Estimates'!$A$5:$A$2004,$A87,'Estimates'!$B$5:$B$2004,"MPS",'Estimates'!$C$5:$C$2004,'Status'!$F$5))))</x:f>
      </x:c>
      <x:c r="E87" s="14" t="str">
        <x:f>IF(OR(COUNTA($A87)=0,'Status'!$G$5=""),"",IF(COUNTIFS('Estimates'!$A$5:$A$2004,$A87,'Estimates'!$B$5:$B$2004,"MPS",'Estimates'!$C$5:$C$2004,'Status'!$G$5)=0,"",IF(COUNTIFS('Estimates'!$A$5:$A$2004,$A87,'Estimates'!$B$5:$B$2004,"MPS",'Estimates'!$C$5:$C$2004,'Status'!$G$5)&gt;1,"DUP",SUMIFS('Estimates'!$F$5:$F$2004,'Estimates'!$A$5:$A$2004,$A87,'Estimates'!$B$5:$B$2004,"MPS",'Estimates'!$C$5:$C$2004,'Status'!$G$5))))</x:f>
      </x:c>
      <x:c r="F87" s="14" t="str">
        <x:f>IF(COUNT(C87:E87)&lt;2,"",_xlfn.STDEV.S(C87:E87))</x:f>
      </x:c>
      <x:c r="G87" s="14" t="str">
        <x:f>IF(AND(ISNUMBER(D87),ISNUMBER(E87)),ABS(E87-D87),"")</x:f>
      </x:c>
      <x:c r="H87" s="15" t="str">
        <x:f>IF(AND(ISNUMBER(D87),ISNUMBER(E87)),IF(D87=0,"n.a.",ABS(E87-D87)/ABS(D87)),"")</x:f>
      </x:c>
      <x:c r="I87" s="2" t="str">
        <x:f>IF(COUNTA(A87)=0,"",IF(NOT(ISNUMBER('Status'!$B$6)),"Set tolerance",IF(COUNT(C87:E87)&lt;3,"Need 3 levels",IF(OR(C87=0,D87=0),"Use abs. Δ",IF(AND(ABS(D87-C87)/ABS(C87)&lt;='Status'!$B$6,H87&lt;='Status'!$B$6),"Yes","No")))))</x:f>
      </x:c>
      <x:c r="J87" s="14" t="str">
        <x:f>IF(OR(COUNTA($A87)=0,'Status'!$E$6=""),"",IF(COUNTIFS('Estimates'!$A$5:$A$2004,$A87,'Estimates'!$B$5:$B$2004,"PPS",'Estimates'!$D$5:$D$2004,'Status'!$E$6,'Estimates'!$E$5:$E$2004,'Status'!$E$7)=0,"",IF(COUNTIFS('Estimates'!$A$5:$A$2004,$A87,'Estimates'!$B$5:$B$2004,"PPS",'Estimates'!$D$5:$D$2004,'Status'!$E$6,'Estimates'!$E$5:$E$2004,'Status'!$E$7)&gt;1,"DUP",SUMIFS('Estimates'!$F$5:$F$2004,'Estimates'!$A$5:$A$2004,$A87,'Estimates'!$B$5:$B$2004,"PPS",'Estimates'!$D$5:$D$2004,'Status'!$E$6,'Estimates'!$E$5:$E$2004,'Status'!$E$7))))</x:f>
      </x:c>
      <x:c r="K87" s="14" t="str">
        <x:f>IF(OR(COUNTA($A87)=0,'Status'!$F$6=""),"",IF(COUNTIFS('Estimates'!$A$5:$A$2004,$A87,'Estimates'!$B$5:$B$2004,"PPS",'Estimates'!$D$5:$D$2004,'Status'!$F$6,'Estimates'!$E$5:$E$2004,'Status'!$E$7)=0,"",IF(COUNTIFS('Estimates'!$A$5:$A$2004,$A87,'Estimates'!$B$5:$B$2004,"PPS",'Estimates'!$D$5:$D$2004,'Status'!$F$6,'Estimates'!$E$5:$E$2004,'Status'!$E$7)&gt;1,"DUP",SUMIFS('Estimates'!$F$5:$F$2004,'Estimates'!$A$5:$A$2004,$A87,'Estimates'!$B$5:$B$2004,"PPS",'Estimates'!$D$5:$D$2004,'Status'!$F$6,'Estimates'!$E$5:$E$2004,'Status'!$E$7))))</x:f>
      </x:c>
      <x:c r="L87" s="14" t="str">
        <x:f>IF(OR(COUNTA($A87)=0,'Status'!$G$6=""),"",IF(COUNTIFS('Estimates'!$A$5:$A$2004,$A87,'Estimates'!$B$5:$B$2004,"PPS",'Estimates'!$D$5:$D$2004,'Status'!$G$6,'Estimates'!$E$5:$E$2004,'Status'!$E$7)=0,"",IF(COUNTIFS('Estimates'!$A$5:$A$2004,$A87,'Estimates'!$B$5:$B$2004,"PPS",'Estimates'!$D$5:$D$2004,'Status'!$G$6,'Estimates'!$E$5:$E$2004,'Status'!$E$7)&gt;1,"DUP",SUMIFS('Estimates'!$F$5:$F$2004,'Estimates'!$A$5:$A$2004,$A87,'Estimates'!$B$5:$B$2004,"PPS",'Estimates'!$D$5:$D$2004,'Status'!$G$6,'Estimates'!$E$5:$E$2004,'Status'!$E$7))))</x:f>
      </x:c>
      <x:c r="M87" s="14" t="str">
        <x:f>IF(COUNT(J87:L87)&lt;2,"",_xlfn.STDEV.S(J87:L87))</x:f>
      </x:c>
      <x:c r="N87" s="14" t="str">
        <x:f>IF(AND(ISNUMBER(K87),ISNUMBER(L87)),ABS(L87-K87),"")</x:f>
      </x:c>
      <x:c r="O87" s="15" t="str">
        <x:f>IF(AND(ISNUMBER(K87),ISNUMBER(L87)),IF(K87=0,"n.a.",ABS(L87-K87)/ABS(K87)),"")</x:f>
      </x:c>
      <x:c r="P87" s="2" t="str">
        <x:f>IF(COUNTA(A87)=0,"",IF(NOT(ISNUMBER('Status'!$B$6)),"Set tolerance",IF(COUNT(J87:L87)&lt;3,"Need 3 levels",IF(OR(J87=0,K87=0),"Use abs. Δ",IF(AND(ABS(K87-J87)/ABS(J87)&lt;='Status'!$B$6,O87&lt;='Status'!$B$6),"Yes","No")))))</x:f>
      </x:c>
      <x:c r="Q87" s="14" t="str">
        <x:f>IF(AND(ISNUMBER(E87),ISNUMBER(L87)),ABS(E87-L87),"")</x:f>
      </x:c>
      <x:c r="R87" s="2" t="str">
        <x:f>IF(COUNTA(A87)=0,"",IF(COUNT(C87:E87,J87:L87)&gt;0,1,0))</x:f>
      </x:c>
      <x:c r="S87" s="2" t="str">
        <x:f>IF(COUNTA(A87)=0,"",IF(COUNTIFS($A$6:$A$165,A87)&gt;1,"Duplicate target",""))</x:f>
      </x:c>
    </x:row>
    <x:row r="88">
      <x:c r="A88" s="6"/>
      <x:c r="B88" s="20"/>
      <x:c r="C88" s="14" t="str">
        <x:f>IF(OR(COUNTA($A88)=0,'Status'!$E$5=""),"",IF(COUNTIFS('Estimates'!$A$5:$A$2004,$A88,'Estimates'!$B$5:$B$2004,"MPS",'Estimates'!$C$5:$C$2004,'Status'!$E$5)=0,"",IF(COUNTIFS('Estimates'!$A$5:$A$2004,$A88,'Estimates'!$B$5:$B$2004,"MPS",'Estimates'!$C$5:$C$2004,'Status'!$E$5)&gt;1,"DUP",SUMIFS('Estimates'!$F$5:$F$2004,'Estimates'!$A$5:$A$2004,$A88,'Estimates'!$B$5:$B$2004,"MPS",'Estimates'!$C$5:$C$2004,'Status'!$E$5))))</x:f>
      </x:c>
      <x:c r="D88" s="14" t="str">
        <x:f>IF(OR(COUNTA($A88)=0,'Status'!$F$5=""),"",IF(COUNTIFS('Estimates'!$A$5:$A$2004,$A88,'Estimates'!$B$5:$B$2004,"MPS",'Estimates'!$C$5:$C$2004,'Status'!$F$5)=0,"",IF(COUNTIFS('Estimates'!$A$5:$A$2004,$A88,'Estimates'!$B$5:$B$2004,"MPS",'Estimates'!$C$5:$C$2004,'Status'!$F$5)&gt;1,"DUP",SUMIFS('Estimates'!$F$5:$F$2004,'Estimates'!$A$5:$A$2004,$A88,'Estimates'!$B$5:$B$2004,"MPS",'Estimates'!$C$5:$C$2004,'Status'!$F$5))))</x:f>
      </x:c>
      <x:c r="E88" s="14" t="str">
        <x:f>IF(OR(COUNTA($A88)=0,'Status'!$G$5=""),"",IF(COUNTIFS('Estimates'!$A$5:$A$2004,$A88,'Estimates'!$B$5:$B$2004,"MPS",'Estimates'!$C$5:$C$2004,'Status'!$G$5)=0,"",IF(COUNTIFS('Estimates'!$A$5:$A$2004,$A88,'Estimates'!$B$5:$B$2004,"MPS",'Estimates'!$C$5:$C$2004,'Status'!$G$5)&gt;1,"DUP",SUMIFS('Estimates'!$F$5:$F$2004,'Estimates'!$A$5:$A$2004,$A88,'Estimates'!$B$5:$B$2004,"MPS",'Estimates'!$C$5:$C$2004,'Status'!$G$5))))</x:f>
      </x:c>
      <x:c r="F88" s="14" t="str">
        <x:f>IF(COUNT(C88:E88)&lt;2,"",_xlfn.STDEV.S(C88:E88))</x:f>
      </x:c>
      <x:c r="G88" s="14" t="str">
        <x:f>IF(AND(ISNUMBER(D88),ISNUMBER(E88)),ABS(E88-D88),"")</x:f>
      </x:c>
      <x:c r="H88" s="15" t="str">
        <x:f>IF(AND(ISNUMBER(D88),ISNUMBER(E88)),IF(D88=0,"n.a.",ABS(E88-D88)/ABS(D88)),"")</x:f>
      </x:c>
      <x:c r="I88" s="2" t="str">
        <x:f>IF(COUNTA(A88)=0,"",IF(NOT(ISNUMBER('Status'!$B$6)),"Set tolerance",IF(COUNT(C88:E88)&lt;3,"Need 3 levels",IF(OR(C88=0,D88=0),"Use abs. Δ",IF(AND(ABS(D88-C88)/ABS(C88)&lt;='Status'!$B$6,H88&lt;='Status'!$B$6),"Yes","No")))))</x:f>
      </x:c>
      <x:c r="J88" s="14" t="str">
        <x:f>IF(OR(COUNTA($A88)=0,'Status'!$E$6=""),"",IF(COUNTIFS('Estimates'!$A$5:$A$2004,$A88,'Estimates'!$B$5:$B$2004,"PPS",'Estimates'!$D$5:$D$2004,'Status'!$E$6,'Estimates'!$E$5:$E$2004,'Status'!$E$7)=0,"",IF(COUNTIFS('Estimates'!$A$5:$A$2004,$A88,'Estimates'!$B$5:$B$2004,"PPS",'Estimates'!$D$5:$D$2004,'Status'!$E$6,'Estimates'!$E$5:$E$2004,'Status'!$E$7)&gt;1,"DUP",SUMIFS('Estimates'!$F$5:$F$2004,'Estimates'!$A$5:$A$2004,$A88,'Estimates'!$B$5:$B$2004,"PPS",'Estimates'!$D$5:$D$2004,'Status'!$E$6,'Estimates'!$E$5:$E$2004,'Status'!$E$7))))</x:f>
      </x:c>
      <x:c r="K88" s="14" t="str">
        <x:f>IF(OR(COUNTA($A88)=0,'Status'!$F$6=""),"",IF(COUNTIFS('Estimates'!$A$5:$A$2004,$A88,'Estimates'!$B$5:$B$2004,"PPS",'Estimates'!$D$5:$D$2004,'Status'!$F$6,'Estimates'!$E$5:$E$2004,'Status'!$E$7)=0,"",IF(COUNTIFS('Estimates'!$A$5:$A$2004,$A88,'Estimates'!$B$5:$B$2004,"PPS",'Estimates'!$D$5:$D$2004,'Status'!$F$6,'Estimates'!$E$5:$E$2004,'Status'!$E$7)&gt;1,"DUP",SUMIFS('Estimates'!$F$5:$F$2004,'Estimates'!$A$5:$A$2004,$A88,'Estimates'!$B$5:$B$2004,"PPS",'Estimates'!$D$5:$D$2004,'Status'!$F$6,'Estimates'!$E$5:$E$2004,'Status'!$E$7))))</x:f>
      </x:c>
      <x:c r="L88" s="14" t="str">
        <x:f>IF(OR(COUNTA($A88)=0,'Status'!$G$6=""),"",IF(COUNTIFS('Estimates'!$A$5:$A$2004,$A88,'Estimates'!$B$5:$B$2004,"PPS",'Estimates'!$D$5:$D$2004,'Status'!$G$6,'Estimates'!$E$5:$E$2004,'Status'!$E$7)=0,"",IF(COUNTIFS('Estimates'!$A$5:$A$2004,$A88,'Estimates'!$B$5:$B$2004,"PPS",'Estimates'!$D$5:$D$2004,'Status'!$G$6,'Estimates'!$E$5:$E$2004,'Status'!$E$7)&gt;1,"DUP",SUMIFS('Estimates'!$F$5:$F$2004,'Estimates'!$A$5:$A$2004,$A88,'Estimates'!$B$5:$B$2004,"PPS",'Estimates'!$D$5:$D$2004,'Status'!$G$6,'Estimates'!$E$5:$E$2004,'Status'!$E$7))))</x:f>
      </x:c>
      <x:c r="M88" s="14" t="str">
        <x:f>IF(COUNT(J88:L88)&lt;2,"",_xlfn.STDEV.S(J88:L88))</x:f>
      </x:c>
      <x:c r="N88" s="14" t="str">
        <x:f>IF(AND(ISNUMBER(K88),ISNUMBER(L88)),ABS(L88-K88),"")</x:f>
      </x:c>
      <x:c r="O88" s="15" t="str">
        <x:f>IF(AND(ISNUMBER(K88),ISNUMBER(L88)),IF(K88=0,"n.a.",ABS(L88-K88)/ABS(K88)),"")</x:f>
      </x:c>
      <x:c r="P88" s="2" t="str">
        <x:f>IF(COUNTA(A88)=0,"",IF(NOT(ISNUMBER('Status'!$B$6)),"Set tolerance",IF(COUNT(J88:L88)&lt;3,"Need 3 levels",IF(OR(J88=0,K88=0),"Use abs. Δ",IF(AND(ABS(K88-J88)/ABS(J88)&lt;='Status'!$B$6,O88&lt;='Status'!$B$6),"Yes","No")))))</x:f>
      </x:c>
      <x:c r="Q88" s="14" t="str">
        <x:f>IF(AND(ISNUMBER(E88),ISNUMBER(L88)),ABS(E88-L88),"")</x:f>
      </x:c>
      <x:c r="R88" s="2" t="str">
        <x:f>IF(COUNTA(A88)=0,"",IF(COUNT(C88:E88,J88:L88)&gt;0,1,0))</x:f>
      </x:c>
      <x:c r="S88" s="2" t="str">
        <x:f>IF(COUNTA(A88)=0,"",IF(COUNTIFS($A$6:$A$165,A88)&gt;1,"Duplicate target",""))</x:f>
      </x:c>
    </x:row>
    <x:row r="89">
      <x:c r="A89" s="6"/>
      <x:c r="B89" s="20"/>
      <x:c r="C89" s="14" t="str">
        <x:f>IF(OR(COUNTA($A89)=0,'Status'!$E$5=""),"",IF(COUNTIFS('Estimates'!$A$5:$A$2004,$A89,'Estimates'!$B$5:$B$2004,"MPS",'Estimates'!$C$5:$C$2004,'Status'!$E$5)=0,"",IF(COUNTIFS('Estimates'!$A$5:$A$2004,$A89,'Estimates'!$B$5:$B$2004,"MPS",'Estimates'!$C$5:$C$2004,'Status'!$E$5)&gt;1,"DUP",SUMIFS('Estimates'!$F$5:$F$2004,'Estimates'!$A$5:$A$2004,$A89,'Estimates'!$B$5:$B$2004,"MPS",'Estimates'!$C$5:$C$2004,'Status'!$E$5))))</x:f>
      </x:c>
      <x:c r="D89" s="14" t="str">
        <x:f>IF(OR(COUNTA($A89)=0,'Status'!$F$5=""),"",IF(COUNTIFS('Estimates'!$A$5:$A$2004,$A89,'Estimates'!$B$5:$B$2004,"MPS",'Estimates'!$C$5:$C$2004,'Status'!$F$5)=0,"",IF(COUNTIFS('Estimates'!$A$5:$A$2004,$A89,'Estimates'!$B$5:$B$2004,"MPS",'Estimates'!$C$5:$C$2004,'Status'!$F$5)&gt;1,"DUP",SUMIFS('Estimates'!$F$5:$F$2004,'Estimates'!$A$5:$A$2004,$A89,'Estimates'!$B$5:$B$2004,"MPS",'Estimates'!$C$5:$C$2004,'Status'!$F$5))))</x:f>
      </x:c>
      <x:c r="E89" s="14" t="str">
        <x:f>IF(OR(COUNTA($A89)=0,'Status'!$G$5=""),"",IF(COUNTIFS('Estimates'!$A$5:$A$2004,$A89,'Estimates'!$B$5:$B$2004,"MPS",'Estimates'!$C$5:$C$2004,'Status'!$G$5)=0,"",IF(COUNTIFS('Estimates'!$A$5:$A$2004,$A89,'Estimates'!$B$5:$B$2004,"MPS",'Estimates'!$C$5:$C$2004,'Status'!$G$5)&gt;1,"DUP",SUMIFS('Estimates'!$F$5:$F$2004,'Estimates'!$A$5:$A$2004,$A89,'Estimates'!$B$5:$B$2004,"MPS",'Estimates'!$C$5:$C$2004,'Status'!$G$5))))</x:f>
      </x:c>
      <x:c r="F89" s="14" t="str">
        <x:f>IF(COUNT(C89:E89)&lt;2,"",_xlfn.STDEV.S(C89:E89))</x:f>
      </x:c>
      <x:c r="G89" s="14" t="str">
        <x:f>IF(AND(ISNUMBER(D89),ISNUMBER(E89)),ABS(E89-D89),"")</x:f>
      </x:c>
      <x:c r="H89" s="15" t="str">
        <x:f>IF(AND(ISNUMBER(D89),ISNUMBER(E89)),IF(D89=0,"n.a.",ABS(E89-D89)/ABS(D89)),"")</x:f>
      </x:c>
      <x:c r="I89" s="2" t="str">
        <x:f>IF(COUNTA(A89)=0,"",IF(NOT(ISNUMBER('Status'!$B$6)),"Set tolerance",IF(COUNT(C89:E89)&lt;3,"Need 3 levels",IF(OR(C89=0,D89=0),"Use abs. Δ",IF(AND(ABS(D89-C89)/ABS(C89)&lt;='Status'!$B$6,H89&lt;='Status'!$B$6),"Yes","No")))))</x:f>
      </x:c>
      <x:c r="J89" s="14" t="str">
        <x:f>IF(OR(COUNTA($A89)=0,'Status'!$E$6=""),"",IF(COUNTIFS('Estimates'!$A$5:$A$2004,$A89,'Estimates'!$B$5:$B$2004,"PPS",'Estimates'!$D$5:$D$2004,'Status'!$E$6,'Estimates'!$E$5:$E$2004,'Status'!$E$7)=0,"",IF(COUNTIFS('Estimates'!$A$5:$A$2004,$A89,'Estimates'!$B$5:$B$2004,"PPS",'Estimates'!$D$5:$D$2004,'Status'!$E$6,'Estimates'!$E$5:$E$2004,'Status'!$E$7)&gt;1,"DUP",SUMIFS('Estimates'!$F$5:$F$2004,'Estimates'!$A$5:$A$2004,$A89,'Estimates'!$B$5:$B$2004,"PPS",'Estimates'!$D$5:$D$2004,'Status'!$E$6,'Estimates'!$E$5:$E$2004,'Status'!$E$7))))</x:f>
      </x:c>
      <x:c r="K89" s="14" t="str">
        <x:f>IF(OR(COUNTA($A89)=0,'Status'!$F$6=""),"",IF(COUNTIFS('Estimates'!$A$5:$A$2004,$A89,'Estimates'!$B$5:$B$2004,"PPS",'Estimates'!$D$5:$D$2004,'Status'!$F$6,'Estimates'!$E$5:$E$2004,'Status'!$E$7)=0,"",IF(COUNTIFS('Estimates'!$A$5:$A$2004,$A89,'Estimates'!$B$5:$B$2004,"PPS",'Estimates'!$D$5:$D$2004,'Status'!$F$6,'Estimates'!$E$5:$E$2004,'Status'!$E$7)&gt;1,"DUP",SUMIFS('Estimates'!$F$5:$F$2004,'Estimates'!$A$5:$A$2004,$A89,'Estimates'!$B$5:$B$2004,"PPS",'Estimates'!$D$5:$D$2004,'Status'!$F$6,'Estimates'!$E$5:$E$2004,'Status'!$E$7))))</x:f>
      </x:c>
      <x:c r="L89" s="14" t="str">
        <x:f>IF(OR(COUNTA($A89)=0,'Status'!$G$6=""),"",IF(COUNTIFS('Estimates'!$A$5:$A$2004,$A89,'Estimates'!$B$5:$B$2004,"PPS",'Estimates'!$D$5:$D$2004,'Status'!$G$6,'Estimates'!$E$5:$E$2004,'Status'!$E$7)=0,"",IF(COUNTIFS('Estimates'!$A$5:$A$2004,$A89,'Estimates'!$B$5:$B$2004,"PPS",'Estimates'!$D$5:$D$2004,'Status'!$G$6,'Estimates'!$E$5:$E$2004,'Status'!$E$7)&gt;1,"DUP",SUMIFS('Estimates'!$F$5:$F$2004,'Estimates'!$A$5:$A$2004,$A89,'Estimates'!$B$5:$B$2004,"PPS",'Estimates'!$D$5:$D$2004,'Status'!$G$6,'Estimates'!$E$5:$E$2004,'Status'!$E$7))))</x:f>
      </x:c>
      <x:c r="M89" s="14" t="str">
        <x:f>IF(COUNT(J89:L89)&lt;2,"",_xlfn.STDEV.S(J89:L89))</x:f>
      </x:c>
      <x:c r="N89" s="14" t="str">
        <x:f>IF(AND(ISNUMBER(K89),ISNUMBER(L89)),ABS(L89-K89),"")</x:f>
      </x:c>
      <x:c r="O89" s="15" t="str">
        <x:f>IF(AND(ISNUMBER(K89),ISNUMBER(L89)),IF(K89=0,"n.a.",ABS(L89-K89)/ABS(K89)),"")</x:f>
      </x:c>
      <x:c r="P89" s="2" t="str">
        <x:f>IF(COUNTA(A89)=0,"",IF(NOT(ISNUMBER('Status'!$B$6)),"Set tolerance",IF(COUNT(J89:L89)&lt;3,"Need 3 levels",IF(OR(J89=0,K89=0),"Use abs. Δ",IF(AND(ABS(K89-J89)/ABS(J89)&lt;='Status'!$B$6,O89&lt;='Status'!$B$6),"Yes","No")))))</x:f>
      </x:c>
      <x:c r="Q89" s="14" t="str">
        <x:f>IF(AND(ISNUMBER(E89),ISNUMBER(L89)),ABS(E89-L89),"")</x:f>
      </x:c>
      <x:c r="R89" s="2" t="str">
        <x:f>IF(COUNTA(A89)=0,"",IF(COUNT(C89:E89,J89:L89)&gt;0,1,0))</x:f>
      </x:c>
      <x:c r="S89" s="2" t="str">
        <x:f>IF(COUNTA(A89)=0,"",IF(COUNTIFS($A$6:$A$165,A89)&gt;1,"Duplicate target",""))</x:f>
      </x:c>
    </x:row>
    <x:row r="90">
      <x:c r="A90" s="6"/>
      <x:c r="B90" s="20"/>
      <x:c r="C90" s="14" t="str">
        <x:f>IF(OR(COUNTA($A90)=0,'Status'!$E$5=""),"",IF(COUNTIFS('Estimates'!$A$5:$A$2004,$A90,'Estimates'!$B$5:$B$2004,"MPS",'Estimates'!$C$5:$C$2004,'Status'!$E$5)=0,"",IF(COUNTIFS('Estimates'!$A$5:$A$2004,$A90,'Estimates'!$B$5:$B$2004,"MPS",'Estimates'!$C$5:$C$2004,'Status'!$E$5)&gt;1,"DUP",SUMIFS('Estimates'!$F$5:$F$2004,'Estimates'!$A$5:$A$2004,$A90,'Estimates'!$B$5:$B$2004,"MPS",'Estimates'!$C$5:$C$2004,'Status'!$E$5))))</x:f>
      </x:c>
      <x:c r="D90" s="14" t="str">
        <x:f>IF(OR(COUNTA($A90)=0,'Status'!$F$5=""),"",IF(COUNTIFS('Estimates'!$A$5:$A$2004,$A90,'Estimates'!$B$5:$B$2004,"MPS",'Estimates'!$C$5:$C$2004,'Status'!$F$5)=0,"",IF(COUNTIFS('Estimates'!$A$5:$A$2004,$A90,'Estimates'!$B$5:$B$2004,"MPS",'Estimates'!$C$5:$C$2004,'Status'!$F$5)&gt;1,"DUP",SUMIFS('Estimates'!$F$5:$F$2004,'Estimates'!$A$5:$A$2004,$A90,'Estimates'!$B$5:$B$2004,"MPS",'Estimates'!$C$5:$C$2004,'Status'!$F$5))))</x:f>
      </x:c>
      <x:c r="E90" s="14" t="str">
        <x:f>IF(OR(COUNTA($A90)=0,'Status'!$G$5=""),"",IF(COUNTIFS('Estimates'!$A$5:$A$2004,$A90,'Estimates'!$B$5:$B$2004,"MPS",'Estimates'!$C$5:$C$2004,'Status'!$G$5)=0,"",IF(COUNTIFS('Estimates'!$A$5:$A$2004,$A90,'Estimates'!$B$5:$B$2004,"MPS",'Estimates'!$C$5:$C$2004,'Status'!$G$5)&gt;1,"DUP",SUMIFS('Estimates'!$F$5:$F$2004,'Estimates'!$A$5:$A$2004,$A90,'Estimates'!$B$5:$B$2004,"MPS",'Estimates'!$C$5:$C$2004,'Status'!$G$5))))</x:f>
      </x:c>
      <x:c r="F90" s="14" t="str">
        <x:f>IF(COUNT(C90:E90)&lt;2,"",_xlfn.STDEV.S(C90:E90))</x:f>
      </x:c>
      <x:c r="G90" s="14" t="str">
        <x:f>IF(AND(ISNUMBER(D90),ISNUMBER(E90)),ABS(E90-D90),"")</x:f>
      </x:c>
      <x:c r="H90" s="15" t="str">
        <x:f>IF(AND(ISNUMBER(D90),ISNUMBER(E90)),IF(D90=0,"n.a.",ABS(E90-D90)/ABS(D90)),"")</x:f>
      </x:c>
      <x:c r="I90" s="2" t="str">
        <x:f>IF(COUNTA(A90)=0,"",IF(NOT(ISNUMBER('Status'!$B$6)),"Set tolerance",IF(COUNT(C90:E90)&lt;3,"Need 3 levels",IF(OR(C90=0,D90=0),"Use abs. Δ",IF(AND(ABS(D90-C90)/ABS(C90)&lt;='Status'!$B$6,H90&lt;='Status'!$B$6),"Yes","No")))))</x:f>
      </x:c>
      <x:c r="J90" s="14" t="str">
        <x:f>IF(OR(COUNTA($A90)=0,'Status'!$E$6=""),"",IF(COUNTIFS('Estimates'!$A$5:$A$2004,$A90,'Estimates'!$B$5:$B$2004,"PPS",'Estimates'!$D$5:$D$2004,'Status'!$E$6,'Estimates'!$E$5:$E$2004,'Status'!$E$7)=0,"",IF(COUNTIFS('Estimates'!$A$5:$A$2004,$A90,'Estimates'!$B$5:$B$2004,"PPS",'Estimates'!$D$5:$D$2004,'Status'!$E$6,'Estimates'!$E$5:$E$2004,'Status'!$E$7)&gt;1,"DUP",SUMIFS('Estimates'!$F$5:$F$2004,'Estimates'!$A$5:$A$2004,$A90,'Estimates'!$B$5:$B$2004,"PPS",'Estimates'!$D$5:$D$2004,'Status'!$E$6,'Estimates'!$E$5:$E$2004,'Status'!$E$7))))</x:f>
      </x:c>
      <x:c r="K90" s="14" t="str">
        <x:f>IF(OR(COUNTA($A90)=0,'Status'!$F$6=""),"",IF(COUNTIFS('Estimates'!$A$5:$A$2004,$A90,'Estimates'!$B$5:$B$2004,"PPS",'Estimates'!$D$5:$D$2004,'Status'!$F$6,'Estimates'!$E$5:$E$2004,'Status'!$E$7)=0,"",IF(COUNTIFS('Estimates'!$A$5:$A$2004,$A90,'Estimates'!$B$5:$B$2004,"PPS",'Estimates'!$D$5:$D$2004,'Status'!$F$6,'Estimates'!$E$5:$E$2004,'Status'!$E$7)&gt;1,"DUP",SUMIFS('Estimates'!$F$5:$F$2004,'Estimates'!$A$5:$A$2004,$A90,'Estimates'!$B$5:$B$2004,"PPS",'Estimates'!$D$5:$D$2004,'Status'!$F$6,'Estimates'!$E$5:$E$2004,'Status'!$E$7))))</x:f>
      </x:c>
      <x:c r="L90" s="14" t="str">
        <x:f>IF(OR(COUNTA($A90)=0,'Status'!$G$6=""),"",IF(COUNTIFS('Estimates'!$A$5:$A$2004,$A90,'Estimates'!$B$5:$B$2004,"PPS",'Estimates'!$D$5:$D$2004,'Status'!$G$6,'Estimates'!$E$5:$E$2004,'Status'!$E$7)=0,"",IF(COUNTIFS('Estimates'!$A$5:$A$2004,$A90,'Estimates'!$B$5:$B$2004,"PPS",'Estimates'!$D$5:$D$2004,'Status'!$G$6,'Estimates'!$E$5:$E$2004,'Status'!$E$7)&gt;1,"DUP",SUMIFS('Estimates'!$F$5:$F$2004,'Estimates'!$A$5:$A$2004,$A90,'Estimates'!$B$5:$B$2004,"PPS",'Estimates'!$D$5:$D$2004,'Status'!$G$6,'Estimates'!$E$5:$E$2004,'Status'!$E$7))))</x:f>
      </x:c>
      <x:c r="M90" s="14" t="str">
        <x:f>IF(COUNT(J90:L90)&lt;2,"",_xlfn.STDEV.S(J90:L90))</x:f>
      </x:c>
      <x:c r="N90" s="14" t="str">
        <x:f>IF(AND(ISNUMBER(K90),ISNUMBER(L90)),ABS(L90-K90),"")</x:f>
      </x:c>
      <x:c r="O90" s="15" t="str">
        <x:f>IF(AND(ISNUMBER(K90),ISNUMBER(L90)),IF(K90=0,"n.a.",ABS(L90-K90)/ABS(K90)),"")</x:f>
      </x:c>
      <x:c r="P90" s="2" t="str">
        <x:f>IF(COUNTA(A90)=0,"",IF(NOT(ISNUMBER('Status'!$B$6)),"Set tolerance",IF(COUNT(J90:L90)&lt;3,"Need 3 levels",IF(OR(J90=0,K90=0),"Use abs. Δ",IF(AND(ABS(K90-J90)/ABS(J90)&lt;='Status'!$B$6,O90&lt;='Status'!$B$6),"Yes","No")))))</x:f>
      </x:c>
      <x:c r="Q90" s="14" t="str">
        <x:f>IF(AND(ISNUMBER(E90),ISNUMBER(L90)),ABS(E90-L90),"")</x:f>
      </x:c>
      <x:c r="R90" s="2" t="str">
        <x:f>IF(COUNTA(A90)=0,"",IF(COUNT(C90:E90,J90:L90)&gt;0,1,0))</x:f>
      </x:c>
      <x:c r="S90" s="2" t="str">
        <x:f>IF(COUNTA(A90)=0,"",IF(COUNTIFS($A$6:$A$165,A90)&gt;1,"Duplicate target",""))</x:f>
      </x:c>
    </x:row>
    <x:row r="91">
      <x:c r="A91" s="6"/>
      <x:c r="B91" s="20"/>
      <x:c r="C91" s="14" t="str">
        <x:f>IF(OR(COUNTA($A91)=0,'Status'!$E$5=""),"",IF(COUNTIFS('Estimates'!$A$5:$A$2004,$A91,'Estimates'!$B$5:$B$2004,"MPS",'Estimates'!$C$5:$C$2004,'Status'!$E$5)=0,"",IF(COUNTIFS('Estimates'!$A$5:$A$2004,$A91,'Estimates'!$B$5:$B$2004,"MPS",'Estimates'!$C$5:$C$2004,'Status'!$E$5)&gt;1,"DUP",SUMIFS('Estimates'!$F$5:$F$2004,'Estimates'!$A$5:$A$2004,$A91,'Estimates'!$B$5:$B$2004,"MPS",'Estimates'!$C$5:$C$2004,'Status'!$E$5))))</x:f>
      </x:c>
      <x:c r="D91" s="14" t="str">
        <x:f>IF(OR(COUNTA($A91)=0,'Status'!$F$5=""),"",IF(COUNTIFS('Estimates'!$A$5:$A$2004,$A91,'Estimates'!$B$5:$B$2004,"MPS",'Estimates'!$C$5:$C$2004,'Status'!$F$5)=0,"",IF(COUNTIFS('Estimates'!$A$5:$A$2004,$A91,'Estimates'!$B$5:$B$2004,"MPS",'Estimates'!$C$5:$C$2004,'Status'!$F$5)&gt;1,"DUP",SUMIFS('Estimates'!$F$5:$F$2004,'Estimates'!$A$5:$A$2004,$A91,'Estimates'!$B$5:$B$2004,"MPS",'Estimates'!$C$5:$C$2004,'Status'!$F$5))))</x:f>
      </x:c>
      <x:c r="E91" s="14" t="str">
        <x:f>IF(OR(COUNTA($A91)=0,'Status'!$G$5=""),"",IF(COUNTIFS('Estimates'!$A$5:$A$2004,$A91,'Estimates'!$B$5:$B$2004,"MPS",'Estimates'!$C$5:$C$2004,'Status'!$G$5)=0,"",IF(COUNTIFS('Estimates'!$A$5:$A$2004,$A91,'Estimates'!$B$5:$B$2004,"MPS",'Estimates'!$C$5:$C$2004,'Status'!$G$5)&gt;1,"DUP",SUMIFS('Estimates'!$F$5:$F$2004,'Estimates'!$A$5:$A$2004,$A91,'Estimates'!$B$5:$B$2004,"MPS",'Estimates'!$C$5:$C$2004,'Status'!$G$5))))</x:f>
      </x:c>
      <x:c r="F91" s="14" t="str">
        <x:f>IF(COUNT(C91:E91)&lt;2,"",_xlfn.STDEV.S(C91:E91))</x:f>
      </x:c>
      <x:c r="G91" s="14" t="str">
        <x:f>IF(AND(ISNUMBER(D91),ISNUMBER(E91)),ABS(E91-D91),"")</x:f>
      </x:c>
      <x:c r="H91" s="15" t="str">
        <x:f>IF(AND(ISNUMBER(D91),ISNUMBER(E91)),IF(D91=0,"n.a.",ABS(E91-D91)/ABS(D91)),"")</x:f>
      </x:c>
      <x:c r="I91" s="2" t="str">
        <x:f>IF(COUNTA(A91)=0,"",IF(NOT(ISNUMBER('Status'!$B$6)),"Set tolerance",IF(COUNT(C91:E91)&lt;3,"Need 3 levels",IF(OR(C91=0,D91=0),"Use abs. Δ",IF(AND(ABS(D91-C91)/ABS(C91)&lt;='Status'!$B$6,H91&lt;='Status'!$B$6),"Yes","No")))))</x:f>
      </x:c>
      <x:c r="J91" s="14" t="str">
        <x:f>IF(OR(COUNTA($A91)=0,'Status'!$E$6=""),"",IF(COUNTIFS('Estimates'!$A$5:$A$2004,$A91,'Estimates'!$B$5:$B$2004,"PPS",'Estimates'!$D$5:$D$2004,'Status'!$E$6,'Estimates'!$E$5:$E$2004,'Status'!$E$7)=0,"",IF(COUNTIFS('Estimates'!$A$5:$A$2004,$A91,'Estimates'!$B$5:$B$2004,"PPS",'Estimates'!$D$5:$D$2004,'Status'!$E$6,'Estimates'!$E$5:$E$2004,'Status'!$E$7)&gt;1,"DUP",SUMIFS('Estimates'!$F$5:$F$2004,'Estimates'!$A$5:$A$2004,$A91,'Estimates'!$B$5:$B$2004,"PPS",'Estimates'!$D$5:$D$2004,'Status'!$E$6,'Estimates'!$E$5:$E$2004,'Status'!$E$7))))</x:f>
      </x:c>
      <x:c r="K91" s="14" t="str">
        <x:f>IF(OR(COUNTA($A91)=0,'Status'!$F$6=""),"",IF(COUNTIFS('Estimates'!$A$5:$A$2004,$A91,'Estimates'!$B$5:$B$2004,"PPS",'Estimates'!$D$5:$D$2004,'Status'!$F$6,'Estimates'!$E$5:$E$2004,'Status'!$E$7)=0,"",IF(COUNTIFS('Estimates'!$A$5:$A$2004,$A91,'Estimates'!$B$5:$B$2004,"PPS",'Estimates'!$D$5:$D$2004,'Status'!$F$6,'Estimates'!$E$5:$E$2004,'Status'!$E$7)&gt;1,"DUP",SUMIFS('Estimates'!$F$5:$F$2004,'Estimates'!$A$5:$A$2004,$A91,'Estimates'!$B$5:$B$2004,"PPS",'Estimates'!$D$5:$D$2004,'Status'!$F$6,'Estimates'!$E$5:$E$2004,'Status'!$E$7))))</x:f>
      </x:c>
      <x:c r="L91" s="14" t="str">
        <x:f>IF(OR(COUNTA($A91)=0,'Status'!$G$6=""),"",IF(COUNTIFS('Estimates'!$A$5:$A$2004,$A91,'Estimates'!$B$5:$B$2004,"PPS",'Estimates'!$D$5:$D$2004,'Status'!$G$6,'Estimates'!$E$5:$E$2004,'Status'!$E$7)=0,"",IF(COUNTIFS('Estimates'!$A$5:$A$2004,$A91,'Estimates'!$B$5:$B$2004,"PPS",'Estimates'!$D$5:$D$2004,'Status'!$G$6,'Estimates'!$E$5:$E$2004,'Status'!$E$7)&gt;1,"DUP",SUMIFS('Estimates'!$F$5:$F$2004,'Estimates'!$A$5:$A$2004,$A91,'Estimates'!$B$5:$B$2004,"PPS",'Estimates'!$D$5:$D$2004,'Status'!$G$6,'Estimates'!$E$5:$E$2004,'Status'!$E$7))))</x:f>
      </x:c>
      <x:c r="M91" s="14" t="str">
        <x:f>IF(COUNT(J91:L91)&lt;2,"",_xlfn.STDEV.S(J91:L91))</x:f>
      </x:c>
      <x:c r="N91" s="14" t="str">
        <x:f>IF(AND(ISNUMBER(K91),ISNUMBER(L91)),ABS(L91-K91),"")</x:f>
      </x:c>
      <x:c r="O91" s="15" t="str">
        <x:f>IF(AND(ISNUMBER(K91),ISNUMBER(L91)),IF(K91=0,"n.a.",ABS(L91-K91)/ABS(K91)),"")</x:f>
      </x:c>
      <x:c r="P91" s="2" t="str">
        <x:f>IF(COUNTA(A91)=0,"",IF(NOT(ISNUMBER('Status'!$B$6)),"Set tolerance",IF(COUNT(J91:L91)&lt;3,"Need 3 levels",IF(OR(J91=0,K91=0),"Use abs. Δ",IF(AND(ABS(K91-J91)/ABS(J91)&lt;='Status'!$B$6,O91&lt;='Status'!$B$6),"Yes","No")))))</x:f>
      </x:c>
      <x:c r="Q91" s="14" t="str">
        <x:f>IF(AND(ISNUMBER(E91),ISNUMBER(L91)),ABS(E91-L91),"")</x:f>
      </x:c>
      <x:c r="R91" s="2" t="str">
        <x:f>IF(COUNTA(A91)=0,"",IF(COUNT(C91:E91,J91:L91)&gt;0,1,0))</x:f>
      </x:c>
      <x:c r="S91" s="2" t="str">
        <x:f>IF(COUNTA(A91)=0,"",IF(COUNTIFS($A$6:$A$165,A91)&gt;1,"Duplicate target",""))</x:f>
      </x:c>
    </x:row>
    <x:row r="92">
      <x:c r="A92" s="6"/>
      <x:c r="B92" s="20"/>
      <x:c r="C92" s="14" t="str">
        <x:f>IF(OR(COUNTA($A92)=0,'Status'!$E$5=""),"",IF(COUNTIFS('Estimates'!$A$5:$A$2004,$A92,'Estimates'!$B$5:$B$2004,"MPS",'Estimates'!$C$5:$C$2004,'Status'!$E$5)=0,"",IF(COUNTIFS('Estimates'!$A$5:$A$2004,$A92,'Estimates'!$B$5:$B$2004,"MPS",'Estimates'!$C$5:$C$2004,'Status'!$E$5)&gt;1,"DUP",SUMIFS('Estimates'!$F$5:$F$2004,'Estimates'!$A$5:$A$2004,$A92,'Estimates'!$B$5:$B$2004,"MPS",'Estimates'!$C$5:$C$2004,'Status'!$E$5))))</x:f>
      </x:c>
      <x:c r="D92" s="14" t="str">
        <x:f>IF(OR(COUNTA($A92)=0,'Status'!$F$5=""),"",IF(COUNTIFS('Estimates'!$A$5:$A$2004,$A92,'Estimates'!$B$5:$B$2004,"MPS",'Estimates'!$C$5:$C$2004,'Status'!$F$5)=0,"",IF(COUNTIFS('Estimates'!$A$5:$A$2004,$A92,'Estimates'!$B$5:$B$2004,"MPS",'Estimates'!$C$5:$C$2004,'Status'!$F$5)&gt;1,"DUP",SUMIFS('Estimates'!$F$5:$F$2004,'Estimates'!$A$5:$A$2004,$A92,'Estimates'!$B$5:$B$2004,"MPS",'Estimates'!$C$5:$C$2004,'Status'!$F$5))))</x:f>
      </x:c>
      <x:c r="E92" s="14" t="str">
        <x:f>IF(OR(COUNTA($A92)=0,'Status'!$G$5=""),"",IF(COUNTIFS('Estimates'!$A$5:$A$2004,$A92,'Estimates'!$B$5:$B$2004,"MPS",'Estimates'!$C$5:$C$2004,'Status'!$G$5)=0,"",IF(COUNTIFS('Estimates'!$A$5:$A$2004,$A92,'Estimates'!$B$5:$B$2004,"MPS",'Estimates'!$C$5:$C$2004,'Status'!$G$5)&gt;1,"DUP",SUMIFS('Estimates'!$F$5:$F$2004,'Estimates'!$A$5:$A$2004,$A92,'Estimates'!$B$5:$B$2004,"MPS",'Estimates'!$C$5:$C$2004,'Status'!$G$5))))</x:f>
      </x:c>
      <x:c r="F92" s="14" t="str">
        <x:f>IF(COUNT(C92:E92)&lt;2,"",_xlfn.STDEV.S(C92:E92))</x:f>
      </x:c>
      <x:c r="G92" s="14" t="str">
        <x:f>IF(AND(ISNUMBER(D92),ISNUMBER(E92)),ABS(E92-D92),"")</x:f>
      </x:c>
      <x:c r="H92" s="15" t="str">
        <x:f>IF(AND(ISNUMBER(D92),ISNUMBER(E92)),IF(D92=0,"n.a.",ABS(E92-D92)/ABS(D92)),"")</x:f>
      </x:c>
      <x:c r="I92" s="2" t="str">
        <x:f>IF(COUNTA(A92)=0,"",IF(NOT(ISNUMBER('Status'!$B$6)),"Set tolerance",IF(COUNT(C92:E92)&lt;3,"Need 3 levels",IF(OR(C92=0,D92=0),"Use abs. Δ",IF(AND(ABS(D92-C92)/ABS(C92)&lt;='Status'!$B$6,H92&lt;='Status'!$B$6),"Yes","No")))))</x:f>
      </x:c>
      <x:c r="J92" s="14" t="str">
        <x:f>IF(OR(COUNTA($A92)=0,'Status'!$E$6=""),"",IF(COUNTIFS('Estimates'!$A$5:$A$2004,$A92,'Estimates'!$B$5:$B$2004,"PPS",'Estimates'!$D$5:$D$2004,'Status'!$E$6,'Estimates'!$E$5:$E$2004,'Status'!$E$7)=0,"",IF(COUNTIFS('Estimates'!$A$5:$A$2004,$A92,'Estimates'!$B$5:$B$2004,"PPS",'Estimates'!$D$5:$D$2004,'Status'!$E$6,'Estimates'!$E$5:$E$2004,'Status'!$E$7)&gt;1,"DUP",SUMIFS('Estimates'!$F$5:$F$2004,'Estimates'!$A$5:$A$2004,$A92,'Estimates'!$B$5:$B$2004,"PPS",'Estimates'!$D$5:$D$2004,'Status'!$E$6,'Estimates'!$E$5:$E$2004,'Status'!$E$7))))</x:f>
      </x:c>
      <x:c r="K92" s="14" t="str">
        <x:f>IF(OR(COUNTA($A92)=0,'Status'!$F$6=""),"",IF(COUNTIFS('Estimates'!$A$5:$A$2004,$A92,'Estimates'!$B$5:$B$2004,"PPS",'Estimates'!$D$5:$D$2004,'Status'!$F$6,'Estimates'!$E$5:$E$2004,'Status'!$E$7)=0,"",IF(COUNTIFS('Estimates'!$A$5:$A$2004,$A92,'Estimates'!$B$5:$B$2004,"PPS",'Estimates'!$D$5:$D$2004,'Status'!$F$6,'Estimates'!$E$5:$E$2004,'Status'!$E$7)&gt;1,"DUP",SUMIFS('Estimates'!$F$5:$F$2004,'Estimates'!$A$5:$A$2004,$A92,'Estimates'!$B$5:$B$2004,"PPS",'Estimates'!$D$5:$D$2004,'Status'!$F$6,'Estimates'!$E$5:$E$2004,'Status'!$E$7))))</x:f>
      </x:c>
      <x:c r="L92" s="14" t="str">
        <x:f>IF(OR(COUNTA($A92)=0,'Status'!$G$6=""),"",IF(COUNTIFS('Estimates'!$A$5:$A$2004,$A92,'Estimates'!$B$5:$B$2004,"PPS",'Estimates'!$D$5:$D$2004,'Status'!$G$6,'Estimates'!$E$5:$E$2004,'Status'!$E$7)=0,"",IF(COUNTIFS('Estimates'!$A$5:$A$2004,$A92,'Estimates'!$B$5:$B$2004,"PPS",'Estimates'!$D$5:$D$2004,'Status'!$G$6,'Estimates'!$E$5:$E$2004,'Status'!$E$7)&gt;1,"DUP",SUMIFS('Estimates'!$F$5:$F$2004,'Estimates'!$A$5:$A$2004,$A92,'Estimates'!$B$5:$B$2004,"PPS",'Estimates'!$D$5:$D$2004,'Status'!$G$6,'Estimates'!$E$5:$E$2004,'Status'!$E$7))))</x:f>
      </x:c>
      <x:c r="M92" s="14" t="str">
        <x:f>IF(COUNT(J92:L92)&lt;2,"",_xlfn.STDEV.S(J92:L92))</x:f>
      </x:c>
      <x:c r="N92" s="14" t="str">
        <x:f>IF(AND(ISNUMBER(K92),ISNUMBER(L92)),ABS(L92-K92),"")</x:f>
      </x:c>
      <x:c r="O92" s="15" t="str">
        <x:f>IF(AND(ISNUMBER(K92),ISNUMBER(L92)),IF(K92=0,"n.a.",ABS(L92-K92)/ABS(K92)),"")</x:f>
      </x:c>
      <x:c r="P92" s="2" t="str">
        <x:f>IF(COUNTA(A92)=0,"",IF(NOT(ISNUMBER('Status'!$B$6)),"Set tolerance",IF(COUNT(J92:L92)&lt;3,"Need 3 levels",IF(OR(J92=0,K92=0),"Use abs. Δ",IF(AND(ABS(K92-J92)/ABS(J92)&lt;='Status'!$B$6,O92&lt;='Status'!$B$6),"Yes","No")))))</x:f>
      </x:c>
      <x:c r="Q92" s="14" t="str">
        <x:f>IF(AND(ISNUMBER(E92),ISNUMBER(L92)),ABS(E92-L92),"")</x:f>
      </x:c>
      <x:c r="R92" s="2" t="str">
        <x:f>IF(COUNTA(A92)=0,"",IF(COUNT(C92:E92,J92:L92)&gt;0,1,0))</x:f>
      </x:c>
      <x:c r="S92" s="2" t="str">
        <x:f>IF(COUNTA(A92)=0,"",IF(COUNTIFS($A$6:$A$165,A92)&gt;1,"Duplicate target",""))</x:f>
      </x:c>
    </x:row>
    <x:row r="93">
      <x:c r="A93" s="6"/>
      <x:c r="B93" s="20"/>
      <x:c r="C93" s="14" t="str">
        <x:f>IF(OR(COUNTA($A93)=0,'Status'!$E$5=""),"",IF(COUNTIFS('Estimates'!$A$5:$A$2004,$A93,'Estimates'!$B$5:$B$2004,"MPS",'Estimates'!$C$5:$C$2004,'Status'!$E$5)=0,"",IF(COUNTIFS('Estimates'!$A$5:$A$2004,$A93,'Estimates'!$B$5:$B$2004,"MPS",'Estimates'!$C$5:$C$2004,'Status'!$E$5)&gt;1,"DUP",SUMIFS('Estimates'!$F$5:$F$2004,'Estimates'!$A$5:$A$2004,$A93,'Estimates'!$B$5:$B$2004,"MPS",'Estimates'!$C$5:$C$2004,'Status'!$E$5))))</x:f>
      </x:c>
      <x:c r="D93" s="14" t="str">
        <x:f>IF(OR(COUNTA($A93)=0,'Status'!$F$5=""),"",IF(COUNTIFS('Estimates'!$A$5:$A$2004,$A93,'Estimates'!$B$5:$B$2004,"MPS",'Estimates'!$C$5:$C$2004,'Status'!$F$5)=0,"",IF(COUNTIFS('Estimates'!$A$5:$A$2004,$A93,'Estimates'!$B$5:$B$2004,"MPS",'Estimates'!$C$5:$C$2004,'Status'!$F$5)&gt;1,"DUP",SUMIFS('Estimates'!$F$5:$F$2004,'Estimates'!$A$5:$A$2004,$A93,'Estimates'!$B$5:$B$2004,"MPS",'Estimates'!$C$5:$C$2004,'Status'!$F$5))))</x:f>
      </x:c>
      <x:c r="E93" s="14" t="str">
        <x:f>IF(OR(COUNTA($A93)=0,'Status'!$G$5=""),"",IF(COUNTIFS('Estimates'!$A$5:$A$2004,$A93,'Estimates'!$B$5:$B$2004,"MPS",'Estimates'!$C$5:$C$2004,'Status'!$G$5)=0,"",IF(COUNTIFS('Estimates'!$A$5:$A$2004,$A93,'Estimates'!$B$5:$B$2004,"MPS",'Estimates'!$C$5:$C$2004,'Status'!$G$5)&gt;1,"DUP",SUMIFS('Estimates'!$F$5:$F$2004,'Estimates'!$A$5:$A$2004,$A93,'Estimates'!$B$5:$B$2004,"MPS",'Estimates'!$C$5:$C$2004,'Status'!$G$5))))</x:f>
      </x:c>
      <x:c r="F93" s="14" t="str">
        <x:f>IF(COUNT(C93:E93)&lt;2,"",_xlfn.STDEV.S(C93:E93))</x:f>
      </x:c>
      <x:c r="G93" s="14" t="str">
        <x:f>IF(AND(ISNUMBER(D93),ISNUMBER(E93)),ABS(E93-D93),"")</x:f>
      </x:c>
      <x:c r="H93" s="15" t="str">
        <x:f>IF(AND(ISNUMBER(D93),ISNUMBER(E93)),IF(D93=0,"n.a.",ABS(E93-D93)/ABS(D93)),"")</x:f>
      </x:c>
      <x:c r="I93" s="2" t="str">
        <x:f>IF(COUNTA(A93)=0,"",IF(NOT(ISNUMBER('Status'!$B$6)),"Set tolerance",IF(COUNT(C93:E93)&lt;3,"Need 3 levels",IF(OR(C93=0,D93=0),"Use abs. Δ",IF(AND(ABS(D93-C93)/ABS(C93)&lt;='Status'!$B$6,H93&lt;='Status'!$B$6),"Yes","No")))))</x:f>
      </x:c>
      <x:c r="J93" s="14" t="str">
        <x:f>IF(OR(COUNTA($A93)=0,'Status'!$E$6=""),"",IF(COUNTIFS('Estimates'!$A$5:$A$2004,$A93,'Estimates'!$B$5:$B$2004,"PPS",'Estimates'!$D$5:$D$2004,'Status'!$E$6,'Estimates'!$E$5:$E$2004,'Status'!$E$7)=0,"",IF(COUNTIFS('Estimates'!$A$5:$A$2004,$A93,'Estimates'!$B$5:$B$2004,"PPS",'Estimates'!$D$5:$D$2004,'Status'!$E$6,'Estimates'!$E$5:$E$2004,'Status'!$E$7)&gt;1,"DUP",SUMIFS('Estimates'!$F$5:$F$2004,'Estimates'!$A$5:$A$2004,$A93,'Estimates'!$B$5:$B$2004,"PPS",'Estimates'!$D$5:$D$2004,'Status'!$E$6,'Estimates'!$E$5:$E$2004,'Status'!$E$7))))</x:f>
      </x:c>
      <x:c r="K93" s="14" t="str">
        <x:f>IF(OR(COUNTA($A93)=0,'Status'!$F$6=""),"",IF(COUNTIFS('Estimates'!$A$5:$A$2004,$A93,'Estimates'!$B$5:$B$2004,"PPS",'Estimates'!$D$5:$D$2004,'Status'!$F$6,'Estimates'!$E$5:$E$2004,'Status'!$E$7)=0,"",IF(COUNTIFS('Estimates'!$A$5:$A$2004,$A93,'Estimates'!$B$5:$B$2004,"PPS",'Estimates'!$D$5:$D$2004,'Status'!$F$6,'Estimates'!$E$5:$E$2004,'Status'!$E$7)&gt;1,"DUP",SUMIFS('Estimates'!$F$5:$F$2004,'Estimates'!$A$5:$A$2004,$A93,'Estimates'!$B$5:$B$2004,"PPS",'Estimates'!$D$5:$D$2004,'Status'!$F$6,'Estimates'!$E$5:$E$2004,'Status'!$E$7))))</x:f>
      </x:c>
      <x:c r="L93" s="14" t="str">
        <x:f>IF(OR(COUNTA($A93)=0,'Status'!$G$6=""),"",IF(COUNTIFS('Estimates'!$A$5:$A$2004,$A93,'Estimates'!$B$5:$B$2004,"PPS",'Estimates'!$D$5:$D$2004,'Status'!$G$6,'Estimates'!$E$5:$E$2004,'Status'!$E$7)=0,"",IF(COUNTIFS('Estimates'!$A$5:$A$2004,$A93,'Estimates'!$B$5:$B$2004,"PPS",'Estimates'!$D$5:$D$2004,'Status'!$G$6,'Estimates'!$E$5:$E$2004,'Status'!$E$7)&gt;1,"DUP",SUMIFS('Estimates'!$F$5:$F$2004,'Estimates'!$A$5:$A$2004,$A93,'Estimates'!$B$5:$B$2004,"PPS",'Estimates'!$D$5:$D$2004,'Status'!$G$6,'Estimates'!$E$5:$E$2004,'Status'!$E$7))))</x:f>
      </x:c>
      <x:c r="M93" s="14" t="str">
        <x:f>IF(COUNT(J93:L93)&lt;2,"",_xlfn.STDEV.S(J93:L93))</x:f>
      </x:c>
      <x:c r="N93" s="14" t="str">
        <x:f>IF(AND(ISNUMBER(K93),ISNUMBER(L93)),ABS(L93-K93),"")</x:f>
      </x:c>
      <x:c r="O93" s="15" t="str">
        <x:f>IF(AND(ISNUMBER(K93),ISNUMBER(L93)),IF(K93=0,"n.a.",ABS(L93-K93)/ABS(K93)),"")</x:f>
      </x:c>
      <x:c r="P93" s="2" t="str">
        <x:f>IF(COUNTA(A93)=0,"",IF(NOT(ISNUMBER('Status'!$B$6)),"Set tolerance",IF(COUNT(J93:L93)&lt;3,"Need 3 levels",IF(OR(J93=0,K93=0),"Use abs. Δ",IF(AND(ABS(K93-J93)/ABS(J93)&lt;='Status'!$B$6,O93&lt;='Status'!$B$6),"Yes","No")))))</x:f>
      </x:c>
      <x:c r="Q93" s="14" t="str">
        <x:f>IF(AND(ISNUMBER(E93),ISNUMBER(L93)),ABS(E93-L93),"")</x:f>
      </x:c>
      <x:c r="R93" s="2" t="str">
        <x:f>IF(COUNTA(A93)=0,"",IF(COUNT(C93:E93,J93:L93)&gt;0,1,0))</x:f>
      </x:c>
      <x:c r="S93" s="2" t="str">
        <x:f>IF(COUNTA(A93)=0,"",IF(COUNTIFS($A$6:$A$165,A93)&gt;1,"Duplicate target",""))</x:f>
      </x:c>
    </x:row>
    <x:row r="94">
      <x:c r="A94" s="6"/>
      <x:c r="B94" s="20"/>
      <x:c r="C94" s="14" t="str">
        <x:f>IF(OR(COUNTA($A94)=0,'Status'!$E$5=""),"",IF(COUNTIFS('Estimates'!$A$5:$A$2004,$A94,'Estimates'!$B$5:$B$2004,"MPS",'Estimates'!$C$5:$C$2004,'Status'!$E$5)=0,"",IF(COUNTIFS('Estimates'!$A$5:$A$2004,$A94,'Estimates'!$B$5:$B$2004,"MPS",'Estimates'!$C$5:$C$2004,'Status'!$E$5)&gt;1,"DUP",SUMIFS('Estimates'!$F$5:$F$2004,'Estimates'!$A$5:$A$2004,$A94,'Estimates'!$B$5:$B$2004,"MPS",'Estimates'!$C$5:$C$2004,'Status'!$E$5))))</x:f>
      </x:c>
      <x:c r="D94" s="14" t="str">
        <x:f>IF(OR(COUNTA($A94)=0,'Status'!$F$5=""),"",IF(COUNTIFS('Estimates'!$A$5:$A$2004,$A94,'Estimates'!$B$5:$B$2004,"MPS",'Estimates'!$C$5:$C$2004,'Status'!$F$5)=0,"",IF(COUNTIFS('Estimates'!$A$5:$A$2004,$A94,'Estimates'!$B$5:$B$2004,"MPS",'Estimates'!$C$5:$C$2004,'Status'!$F$5)&gt;1,"DUP",SUMIFS('Estimates'!$F$5:$F$2004,'Estimates'!$A$5:$A$2004,$A94,'Estimates'!$B$5:$B$2004,"MPS",'Estimates'!$C$5:$C$2004,'Status'!$F$5))))</x:f>
      </x:c>
      <x:c r="E94" s="14" t="str">
        <x:f>IF(OR(COUNTA($A94)=0,'Status'!$G$5=""),"",IF(COUNTIFS('Estimates'!$A$5:$A$2004,$A94,'Estimates'!$B$5:$B$2004,"MPS",'Estimates'!$C$5:$C$2004,'Status'!$G$5)=0,"",IF(COUNTIFS('Estimates'!$A$5:$A$2004,$A94,'Estimates'!$B$5:$B$2004,"MPS",'Estimates'!$C$5:$C$2004,'Status'!$G$5)&gt;1,"DUP",SUMIFS('Estimates'!$F$5:$F$2004,'Estimates'!$A$5:$A$2004,$A94,'Estimates'!$B$5:$B$2004,"MPS",'Estimates'!$C$5:$C$2004,'Status'!$G$5))))</x:f>
      </x:c>
      <x:c r="F94" s="14" t="str">
        <x:f>IF(COUNT(C94:E94)&lt;2,"",_xlfn.STDEV.S(C94:E94))</x:f>
      </x:c>
      <x:c r="G94" s="14" t="str">
        <x:f>IF(AND(ISNUMBER(D94),ISNUMBER(E94)),ABS(E94-D94),"")</x:f>
      </x:c>
      <x:c r="H94" s="15" t="str">
        <x:f>IF(AND(ISNUMBER(D94),ISNUMBER(E94)),IF(D94=0,"n.a.",ABS(E94-D94)/ABS(D94)),"")</x:f>
      </x:c>
      <x:c r="I94" s="2" t="str">
        <x:f>IF(COUNTA(A94)=0,"",IF(NOT(ISNUMBER('Status'!$B$6)),"Set tolerance",IF(COUNT(C94:E94)&lt;3,"Need 3 levels",IF(OR(C94=0,D94=0),"Use abs. Δ",IF(AND(ABS(D94-C94)/ABS(C94)&lt;='Status'!$B$6,H94&lt;='Status'!$B$6),"Yes","No")))))</x:f>
      </x:c>
      <x:c r="J94" s="14" t="str">
        <x:f>IF(OR(COUNTA($A94)=0,'Status'!$E$6=""),"",IF(COUNTIFS('Estimates'!$A$5:$A$2004,$A94,'Estimates'!$B$5:$B$2004,"PPS",'Estimates'!$D$5:$D$2004,'Status'!$E$6,'Estimates'!$E$5:$E$2004,'Status'!$E$7)=0,"",IF(COUNTIFS('Estimates'!$A$5:$A$2004,$A94,'Estimates'!$B$5:$B$2004,"PPS",'Estimates'!$D$5:$D$2004,'Status'!$E$6,'Estimates'!$E$5:$E$2004,'Status'!$E$7)&gt;1,"DUP",SUMIFS('Estimates'!$F$5:$F$2004,'Estimates'!$A$5:$A$2004,$A94,'Estimates'!$B$5:$B$2004,"PPS",'Estimates'!$D$5:$D$2004,'Status'!$E$6,'Estimates'!$E$5:$E$2004,'Status'!$E$7))))</x:f>
      </x:c>
      <x:c r="K94" s="14" t="str">
        <x:f>IF(OR(COUNTA($A94)=0,'Status'!$F$6=""),"",IF(COUNTIFS('Estimates'!$A$5:$A$2004,$A94,'Estimates'!$B$5:$B$2004,"PPS",'Estimates'!$D$5:$D$2004,'Status'!$F$6,'Estimates'!$E$5:$E$2004,'Status'!$E$7)=0,"",IF(COUNTIFS('Estimates'!$A$5:$A$2004,$A94,'Estimates'!$B$5:$B$2004,"PPS",'Estimates'!$D$5:$D$2004,'Status'!$F$6,'Estimates'!$E$5:$E$2004,'Status'!$E$7)&gt;1,"DUP",SUMIFS('Estimates'!$F$5:$F$2004,'Estimates'!$A$5:$A$2004,$A94,'Estimates'!$B$5:$B$2004,"PPS",'Estimates'!$D$5:$D$2004,'Status'!$F$6,'Estimates'!$E$5:$E$2004,'Status'!$E$7))))</x:f>
      </x:c>
      <x:c r="L94" s="14" t="str">
        <x:f>IF(OR(COUNTA($A94)=0,'Status'!$G$6=""),"",IF(COUNTIFS('Estimates'!$A$5:$A$2004,$A94,'Estimates'!$B$5:$B$2004,"PPS",'Estimates'!$D$5:$D$2004,'Status'!$G$6,'Estimates'!$E$5:$E$2004,'Status'!$E$7)=0,"",IF(COUNTIFS('Estimates'!$A$5:$A$2004,$A94,'Estimates'!$B$5:$B$2004,"PPS",'Estimates'!$D$5:$D$2004,'Status'!$G$6,'Estimates'!$E$5:$E$2004,'Status'!$E$7)&gt;1,"DUP",SUMIFS('Estimates'!$F$5:$F$2004,'Estimates'!$A$5:$A$2004,$A94,'Estimates'!$B$5:$B$2004,"PPS",'Estimates'!$D$5:$D$2004,'Status'!$G$6,'Estimates'!$E$5:$E$2004,'Status'!$E$7))))</x:f>
      </x:c>
      <x:c r="M94" s="14" t="str">
        <x:f>IF(COUNT(J94:L94)&lt;2,"",_xlfn.STDEV.S(J94:L94))</x:f>
      </x:c>
      <x:c r="N94" s="14" t="str">
        <x:f>IF(AND(ISNUMBER(K94),ISNUMBER(L94)),ABS(L94-K94),"")</x:f>
      </x:c>
      <x:c r="O94" s="15" t="str">
        <x:f>IF(AND(ISNUMBER(K94),ISNUMBER(L94)),IF(K94=0,"n.a.",ABS(L94-K94)/ABS(K94)),"")</x:f>
      </x:c>
      <x:c r="P94" s="2" t="str">
        <x:f>IF(COUNTA(A94)=0,"",IF(NOT(ISNUMBER('Status'!$B$6)),"Set tolerance",IF(COUNT(J94:L94)&lt;3,"Need 3 levels",IF(OR(J94=0,K94=0),"Use abs. Δ",IF(AND(ABS(K94-J94)/ABS(J94)&lt;='Status'!$B$6,O94&lt;='Status'!$B$6),"Yes","No")))))</x:f>
      </x:c>
      <x:c r="Q94" s="14" t="str">
        <x:f>IF(AND(ISNUMBER(E94),ISNUMBER(L94)),ABS(E94-L94),"")</x:f>
      </x:c>
      <x:c r="R94" s="2" t="str">
        <x:f>IF(COUNTA(A94)=0,"",IF(COUNT(C94:E94,J94:L94)&gt;0,1,0))</x:f>
      </x:c>
      <x:c r="S94" s="2" t="str">
        <x:f>IF(COUNTA(A94)=0,"",IF(COUNTIFS($A$6:$A$165,A94)&gt;1,"Duplicate target",""))</x:f>
      </x:c>
    </x:row>
    <x:row r="95">
      <x:c r="A95" s="6"/>
      <x:c r="B95" s="20"/>
      <x:c r="C95" s="14" t="str">
        <x:f>IF(OR(COUNTA($A95)=0,'Status'!$E$5=""),"",IF(COUNTIFS('Estimates'!$A$5:$A$2004,$A95,'Estimates'!$B$5:$B$2004,"MPS",'Estimates'!$C$5:$C$2004,'Status'!$E$5)=0,"",IF(COUNTIFS('Estimates'!$A$5:$A$2004,$A95,'Estimates'!$B$5:$B$2004,"MPS",'Estimates'!$C$5:$C$2004,'Status'!$E$5)&gt;1,"DUP",SUMIFS('Estimates'!$F$5:$F$2004,'Estimates'!$A$5:$A$2004,$A95,'Estimates'!$B$5:$B$2004,"MPS",'Estimates'!$C$5:$C$2004,'Status'!$E$5))))</x:f>
      </x:c>
      <x:c r="D95" s="14" t="str">
        <x:f>IF(OR(COUNTA($A95)=0,'Status'!$F$5=""),"",IF(COUNTIFS('Estimates'!$A$5:$A$2004,$A95,'Estimates'!$B$5:$B$2004,"MPS",'Estimates'!$C$5:$C$2004,'Status'!$F$5)=0,"",IF(COUNTIFS('Estimates'!$A$5:$A$2004,$A95,'Estimates'!$B$5:$B$2004,"MPS",'Estimates'!$C$5:$C$2004,'Status'!$F$5)&gt;1,"DUP",SUMIFS('Estimates'!$F$5:$F$2004,'Estimates'!$A$5:$A$2004,$A95,'Estimates'!$B$5:$B$2004,"MPS",'Estimates'!$C$5:$C$2004,'Status'!$F$5))))</x:f>
      </x:c>
      <x:c r="E95" s="14" t="str">
        <x:f>IF(OR(COUNTA($A95)=0,'Status'!$G$5=""),"",IF(COUNTIFS('Estimates'!$A$5:$A$2004,$A95,'Estimates'!$B$5:$B$2004,"MPS",'Estimates'!$C$5:$C$2004,'Status'!$G$5)=0,"",IF(COUNTIFS('Estimates'!$A$5:$A$2004,$A95,'Estimates'!$B$5:$B$2004,"MPS",'Estimates'!$C$5:$C$2004,'Status'!$G$5)&gt;1,"DUP",SUMIFS('Estimates'!$F$5:$F$2004,'Estimates'!$A$5:$A$2004,$A95,'Estimates'!$B$5:$B$2004,"MPS",'Estimates'!$C$5:$C$2004,'Status'!$G$5))))</x:f>
      </x:c>
      <x:c r="F95" s="14" t="str">
        <x:f>IF(COUNT(C95:E95)&lt;2,"",_xlfn.STDEV.S(C95:E95))</x:f>
      </x:c>
      <x:c r="G95" s="14" t="str">
        <x:f>IF(AND(ISNUMBER(D95),ISNUMBER(E95)),ABS(E95-D95),"")</x:f>
      </x:c>
      <x:c r="H95" s="15" t="str">
        <x:f>IF(AND(ISNUMBER(D95),ISNUMBER(E95)),IF(D95=0,"n.a.",ABS(E95-D95)/ABS(D95)),"")</x:f>
      </x:c>
      <x:c r="I95" s="2" t="str">
        <x:f>IF(COUNTA(A95)=0,"",IF(NOT(ISNUMBER('Status'!$B$6)),"Set tolerance",IF(COUNT(C95:E95)&lt;3,"Need 3 levels",IF(OR(C95=0,D95=0),"Use abs. Δ",IF(AND(ABS(D95-C95)/ABS(C95)&lt;='Status'!$B$6,H95&lt;='Status'!$B$6),"Yes","No")))))</x:f>
      </x:c>
      <x:c r="J95" s="14" t="str">
        <x:f>IF(OR(COUNTA($A95)=0,'Status'!$E$6=""),"",IF(COUNTIFS('Estimates'!$A$5:$A$2004,$A95,'Estimates'!$B$5:$B$2004,"PPS",'Estimates'!$D$5:$D$2004,'Status'!$E$6,'Estimates'!$E$5:$E$2004,'Status'!$E$7)=0,"",IF(COUNTIFS('Estimates'!$A$5:$A$2004,$A95,'Estimates'!$B$5:$B$2004,"PPS",'Estimates'!$D$5:$D$2004,'Status'!$E$6,'Estimates'!$E$5:$E$2004,'Status'!$E$7)&gt;1,"DUP",SUMIFS('Estimates'!$F$5:$F$2004,'Estimates'!$A$5:$A$2004,$A95,'Estimates'!$B$5:$B$2004,"PPS",'Estimates'!$D$5:$D$2004,'Status'!$E$6,'Estimates'!$E$5:$E$2004,'Status'!$E$7))))</x:f>
      </x:c>
      <x:c r="K95" s="14" t="str">
        <x:f>IF(OR(COUNTA($A95)=0,'Status'!$F$6=""),"",IF(COUNTIFS('Estimates'!$A$5:$A$2004,$A95,'Estimates'!$B$5:$B$2004,"PPS",'Estimates'!$D$5:$D$2004,'Status'!$F$6,'Estimates'!$E$5:$E$2004,'Status'!$E$7)=0,"",IF(COUNTIFS('Estimates'!$A$5:$A$2004,$A95,'Estimates'!$B$5:$B$2004,"PPS",'Estimates'!$D$5:$D$2004,'Status'!$F$6,'Estimates'!$E$5:$E$2004,'Status'!$E$7)&gt;1,"DUP",SUMIFS('Estimates'!$F$5:$F$2004,'Estimates'!$A$5:$A$2004,$A95,'Estimates'!$B$5:$B$2004,"PPS",'Estimates'!$D$5:$D$2004,'Status'!$F$6,'Estimates'!$E$5:$E$2004,'Status'!$E$7))))</x:f>
      </x:c>
      <x:c r="L95" s="14" t="str">
        <x:f>IF(OR(COUNTA($A95)=0,'Status'!$G$6=""),"",IF(COUNTIFS('Estimates'!$A$5:$A$2004,$A95,'Estimates'!$B$5:$B$2004,"PPS",'Estimates'!$D$5:$D$2004,'Status'!$G$6,'Estimates'!$E$5:$E$2004,'Status'!$E$7)=0,"",IF(COUNTIFS('Estimates'!$A$5:$A$2004,$A95,'Estimates'!$B$5:$B$2004,"PPS",'Estimates'!$D$5:$D$2004,'Status'!$G$6,'Estimates'!$E$5:$E$2004,'Status'!$E$7)&gt;1,"DUP",SUMIFS('Estimates'!$F$5:$F$2004,'Estimates'!$A$5:$A$2004,$A95,'Estimates'!$B$5:$B$2004,"PPS",'Estimates'!$D$5:$D$2004,'Status'!$G$6,'Estimates'!$E$5:$E$2004,'Status'!$E$7))))</x:f>
      </x:c>
      <x:c r="M95" s="14" t="str">
        <x:f>IF(COUNT(J95:L95)&lt;2,"",_xlfn.STDEV.S(J95:L95))</x:f>
      </x:c>
      <x:c r="N95" s="14" t="str">
        <x:f>IF(AND(ISNUMBER(K95),ISNUMBER(L95)),ABS(L95-K95),"")</x:f>
      </x:c>
      <x:c r="O95" s="15" t="str">
        <x:f>IF(AND(ISNUMBER(K95),ISNUMBER(L95)),IF(K95=0,"n.a.",ABS(L95-K95)/ABS(K95)),"")</x:f>
      </x:c>
      <x:c r="P95" s="2" t="str">
        <x:f>IF(COUNTA(A95)=0,"",IF(NOT(ISNUMBER('Status'!$B$6)),"Set tolerance",IF(COUNT(J95:L95)&lt;3,"Need 3 levels",IF(OR(J95=0,K95=0),"Use abs. Δ",IF(AND(ABS(K95-J95)/ABS(J95)&lt;='Status'!$B$6,O95&lt;='Status'!$B$6),"Yes","No")))))</x:f>
      </x:c>
      <x:c r="Q95" s="14" t="str">
        <x:f>IF(AND(ISNUMBER(E95),ISNUMBER(L95)),ABS(E95-L95),"")</x:f>
      </x:c>
      <x:c r="R95" s="2" t="str">
        <x:f>IF(COUNTA(A95)=0,"",IF(COUNT(C95:E95,J95:L95)&gt;0,1,0))</x:f>
      </x:c>
      <x:c r="S95" s="2" t="str">
        <x:f>IF(COUNTA(A95)=0,"",IF(COUNTIFS($A$6:$A$165,A95)&gt;1,"Duplicate target",""))</x:f>
      </x:c>
    </x:row>
    <x:row r="96">
      <x:c r="A96" s="6"/>
      <x:c r="B96" s="20"/>
      <x:c r="C96" s="14" t="str">
        <x:f>IF(OR(COUNTA($A96)=0,'Status'!$E$5=""),"",IF(COUNTIFS('Estimates'!$A$5:$A$2004,$A96,'Estimates'!$B$5:$B$2004,"MPS",'Estimates'!$C$5:$C$2004,'Status'!$E$5)=0,"",IF(COUNTIFS('Estimates'!$A$5:$A$2004,$A96,'Estimates'!$B$5:$B$2004,"MPS",'Estimates'!$C$5:$C$2004,'Status'!$E$5)&gt;1,"DUP",SUMIFS('Estimates'!$F$5:$F$2004,'Estimates'!$A$5:$A$2004,$A96,'Estimates'!$B$5:$B$2004,"MPS",'Estimates'!$C$5:$C$2004,'Status'!$E$5))))</x:f>
      </x:c>
      <x:c r="D96" s="14" t="str">
        <x:f>IF(OR(COUNTA($A96)=0,'Status'!$F$5=""),"",IF(COUNTIFS('Estimates'!$A$5:$A$2004,$A96,'Estimates'!$B$5:$B$2004,"MPS",'Estimates'!$C$5:$C$2004,'Status'!$F$5)=0,"",IF(COUNTIFS('Estimates'!$A$5:$A$2004,$A96,'Estimates'!$B$5:$B$2004,"MPS",'Estimates'!$C$5:$C$2004,'Status'!$F$5)&gt;1,"DUP",SUMIFS('Estimates'!$F$5:$F$2004,'Estimates'!$A$5:$A$2004,$A96,'Estimates'!$B$5:$B$2004,"MPS",'Estimates'!$C$5:$C$2004,'Status'!$F$5))))</x:f>
      </x:c>
      <x:c r="E96" s="14" t="str">
        <x:f>IF(OR(COUNTA($A96)=0,'Status'!$G$5=""),"",IF(COUNTIFS('Estimates'!$A$5:$A$2004,$A96,'Estimates'!$B$5:$B$2004,"MPS",'Estimates'!$C$5:$C$2004,'Status'!$G$5)=0,"",IF(COUNTIFS('Estimates'!$A$5:$A$2004,$A96,'Estimates'!$B$5:$B$2004,"MPS",'Estimates'!$C$5:$C$2004,'Status'!$G$5)&gt;1,"DUP",SUMIFS('Estimates'!$F$5:$F$2004,'Estimates'!$A$5:$A$2004,$A96,'Estimates'!$B$5:$B$2004,"MPS",'Estimates'!$C$5:$C$2004,'Status'!$G$5))))</x:f>
      </x:c>
      <x:c r="F96" s="14" t="str">
        <x:f>IF(COUNT(C96:E96)&lt;2,"",_xlfn.STDEV.S(C96:E96))</x:f>
      </x:c>
      <x:c r="G96" s="14" t="str">
        <x:f>IF(AND(ISNUMBER(D96),ISNUMBER(E96)),ABS(E96-D96),"")</x:f>
      </x:c>
      <x:c r="H96" s="15" t="str">
        <x:f>IF(AND(ISNUMBER(D96),ISNUMBER(E96)),IF(D96=0,"n.a.",ABS(E96-D96)/ABS(D96)),"")</x:f>
      </x:c>
      <x:c r="I96" s="2" t="str">
        <x:f>IF(COUNTA(A96)=0,"",IF(NOT(ISNUMBER('Status'!$B$6)),"Set tolerance",IF(COUNT(C96:E96)&lt;3,"Need 3 levels",IF(OR(C96=0,D96=0),"Use abs. Δ",IF(AND(ABS(D96-C96)/ABS(C96)&lt;='Status'!$B$6,H96&lt;='Status'!$B$6),"Yes","No")))))</x:f>
      </x:c>
      <x:c r="J96" s="14" t="str">
        <x:f>IF(OR(COUNTA($A96)=0,'Status'!$E$6=""),"",IF(COUNTIFS('Estimates'!$A$5:$A$2004,$A96,'Estimates'!$B$5:$B$2004,"PPS",'Estimates'!$D$5:$D$2004,'Status'!$E$6,'Estimates'!$E$5:$E$2004,'Status'!$E$7)=0,"",IF(COUNTIFS('Estimates'!$A$5:$A$2004,$A96,'Estimates'!$B$5:$B$2004,"PPS",'Estimates'!$D$5:$D$2004,'Status'!$E$6,'Estimates'!$E$5:$E$2004,'Status'!$E$7)&gt;1,"DUP",SUMIFS('Estimates'!$F$5:$F$2004,'Estimates'!$A$5:$A$2004,$A96,'Estimates'!$B$5:$B$2004,"PPS",'Estimates'!$D$5:$D$2004,'Status'!$E$6,'Estimates'!$E$5:$E$2004,'Status'!$E$7))))</x:f>
      </x:c>
      <x:c r="K96" s="14" t="str">
        <x:f>IF(OR(COUNTA($A96)=0,'Status'!$F$6=""),"",IF(COUNTIFS('Estimates'!$A$5:$A$2004,$A96,'Estimates'!$B$5:$B$2004,"PPS",'Estimates'!$D$5:$D$2004,'Status'!$F$6,'Estimates'!$E$5:$E$2004,'Status'!$E$7)=0,"",IF(COUNTIFS('Estimates'!$A$5:$A$2004,$A96,'Estimates'!$B$5:$B$2004,"PPS",'Estimates'!$D$5:$D$2004,'Status'!$F$6,'Estimates'!$E$5:$E$2004,'Status'!$E$7)&gt;1,"DUP",SUMIFS('Estimates'!$F$5:$F$2004,'Estimates'!$A$5:$A$2004,$A96,'Estimates'!$B$5:$B$2004,"PPS",'Estimates'!$D$5:$D$2004,'Status'!$F$6,'Estimates'!$E$5:$E$2004,'Status'!$E$7))))</x:f>
      </x:c>
      <x:c r="L96" s="14" t="str">
        <x:f>IF(OR(COUNTA($A96)=0,'Status'!$G$6=""),"",IF(COUNTIFS('Estimates'!$A$5:$A$2004,$A96,'Estimates'!$B$5:$B$2004,"PPS",'Estimates'!$D$5:$D$2004,'Status'!$G$6,'Estimates'!$E$5:$E$2004,'Status'!$E$7)=0,"",IF(COUNTIFS('Estimates'!$A$5:$A$2004,$A96,'Estimates'!$B$5:$B$2004,"PPS",'Estimates'!$D$5:$D$2004,'Status'!$G$6,'Estimates'!$E$5:$E$2004,'Status'!$E$7)&gt;1,"DUP",SUMIFS('Estimates'!$F$5:$F$2004,'Estimates'!$A$5:$A$2004,$A96,'Estimates'!$B$5:$B$2004,"PPS",'Estimates'!$D$5:$D$2004,'Status'!$G$6,'Estimates'!$E$5:$E$2004,'Status'!$E$7))))</x:f>
      </x:c>
      <x:c r="M96" s="14" t="str">
        <x:f>IF(COUNT(J96:L96)&lt;2,"",_xlfn.STDEV.S(J96:L96))</x:f>
      </x:c>
      <x:c r="N96" s="14" t="str">
        <x:f>IF(AND(ISNUMBER(K96),ISNUMBER(L96)),ABS(L96-K96),"")</x:f>
      </x:c>
      <x:c r="O96" s="15" t="str">
        <x:f>IF(AND(ISNUMBER(K96),ISNUMBER(L96)),IF(K96=0,"n.a.",ABS(L96-K96)/ABS(K96)),"")</x:f>
      </x:c>
      <x:c r="P96" s="2" t="str">
        <x:f>IF(COUNTA(A96)=0,"",IF(NOT(ISNUMBER('Status'!$B$6)),"Set tolerance",IF(COUNT(J96:L96)&lt;3,"Need 3 levels",IF(OR(J96=0,K96=0),"Use abs. Δ",IF(AND(ABS(K96-J96)/ABS(J96)&lt;='Status'!$B$6,O96&lt;='Status'!$B$6),"Yes","No")))))</x:f>
      </x:c>
      <x:c r="Q96" s="14" t="str">
        <x:f>IF(AND(ISNUMBER(E96),ISNUMBER(L96)),ABS(E96-L96),"")</x:f>
      </x:c>
      <x:c r="R96" s="2" t="str">
        <x:f>IF(COUNTA(A96)=0,"",IF(COUNT(C96:E96,J96:L96)&gt;0,1,0))</x:f>
      </x:c>
      <x:c r="S96" s="2" t="str">
        <x:f>IF(COUNTA(A96)=0,"",IF(COUNTIFS($A$6:$A$165,A96)&gt;1,"Duplicate target",""))</x:f>
      </x:c>
    </x:row>
    <x:row r="97">
      <x:c r="A97" s="6"/>
      <x:c r="B97" s="20"/>
      <x:c r="C97" s="14" t="str">
        <x:f>IF(OR(COUNTA($A97)=0,'Status'!$E$5=""),"",IF(COUNTIFS('Estimates'!$A$5:$A$2004,$A97,'Estimates'!$B$5:$B$2004,"MPS",'Estimates'!$C$5:$C$2004,'Status'!$E$5)=0,"",IF(COUNTIFS('Estimates'!$A$5:$A$2004,$A97,'Estimates'!$B$5:$B$2004,"MPS",'Estimates'!$C$5:$C$2004,'Status'!$E$5)&gt;1,"DUP",SUMIFS('Estimates'!$F$5:$F$2004,'Estimates'!$A$5:$A$2004,$A97,'Estimates'!$B$5:$B$2004,"MPS",'Estimates'!$C$5:$C$2004,'Status'!$E$5))))</x:f>
      </x:c>
      <x:c r="D97" s="14" t="str">
        <x:f>IF(OR(COUNTA($A97)=0,'Status'!$F$5=""),"",IF(COUNTIFS('Estimates'!$A$5:$A$2004,$A97,'Estimates'!$B$5:$B$2004,"MPS",'Estimates'!$C$5:$C$2004,'Status'!$F$5)=0,"",IF(COUNTIFS('Estimates'!$A$5:$A$2004,$A97,'Estimates'!$B$5:$B$2004,"MPS",'Estimates'!$C$5:$C$2004,'Status'!$F$5)&gt;1,"DUP",SUMIFS('Estimates'!$F$5:$F$2004,'Estimates'!$A$5:$A$2004,$A97,'Estimates'!$B$5:$B$2004,"MPS",'Estimates'!$C$5:$C$2004,'Status'!$F$5))))</x:f>
      </x:c>
      <x:c r="E97" s="14" t="str">
        <x:f>IF(OR(COUNTA($A97)=0,'Status'!$G$5=""),"",IF(COUNTIFS('Estimates'!$A$5:$A$2004,$A97,'Estimates'!$B$5:$B$2004,"MPS",'Estimates'!$C$5:$C$2004,'Status'!$G$5)=0,"",IF(COUNTIFS('Estimates'!$A$5:$A$2004,$A97,'Estimates'!$B$5:$B$2004,"MPS",'Estimates'!$C$5:$C$2004,'Status'!$G$5)&gt;1,"DUP",SUMIFS('Estimates'!$F$5:$F$2004,'Estimates'!$A$5:$A$2004,$A97,'Estimates'!$B$5:$B$2004,"MPS",'Estimates'!$C$5:$C$2004,'Status'!$G$5))))</x:f>
      </x:c>
      <x:c r="F97" s="14" t="str">
        <x:f>IF(COUNT(C97:E97)&lt;2,"",_xlfn.STDEV.S(C97:E97))</x:f>
      </x:c>
      <x:c r="G97" s="14" t="str">
        <x:f>IF(AND(ISNUMBER(D97),ISNUMBER(E97)),ABS(E97-D97),"")</x:f>
      </x:c>
      <x:c r="H97" s="15" t="str">
        <x:f>IF(AND(ISNUMBER(D97),ISNUMBER(E97)),IF(D97=0,"n.a.",ABS(E97-D97)/ABS(D97)),"")</x:f>
      </x:c>
      <x:c r="I97" s="2" t="str">
        <x:f>IF(COUNTA(A97)=0,"",IF(NOT(ISNUMBER('Status'!$B$6)),"Set tolerance",IF(COUNT(C97:E97)&lt;3,"Need 3 levels",IF(OR(C97=0,D97=0),"Use abs. Δ",IF(AND(ABS(D97-C97)/ABS(C97)&lt;='Status'!$B$6,H97&lt;='Status'!$B$6),"Yes","No")))))</x:f>
      </x:c>
      <x:c r="J97" s="14" t="str">
        <x:f>IF(OR(COUNTA($A97)=0,'Status'!$E$6=""),"",IF(COUNTIFS('Estimates'!$A$5:$A$2004,$A97,'Estimates'!$B$5:$B$2004,"PPS",'Estimates'!$D$5:$D$2004,'Status'!$E$6,'Estimates'!$E$5:$E$2004,'Status'!$E$7)=0,"",IF(COUNTIFS('Estimates'!$A$5:$A$2004,$A97,'Estimates'!$B$5:$B$2004,"PPS",'Estimates'!$D$5:$D$2004,'Status'!$E$6,'Estimates'!$E$5:$E$2004,'Status'!$E$7)&gt;1,"DUP",SUMIFS('Estimates'!$F$5:$F$2004,'Estimates'!$A$5:$A$2004,$A97,'Estimates'!$B$5:$B$2004,"PPS",'Estimates'!$D$5:$D$2004,'Status'!$E$6,'Estimates'!$E$5:$E$2004,'Status'!$E$7))))</x:f>
      </x:c>
      <x:c r="K97" s="14" t="str">
        <x:f>IF(OR(COUNTA($A97)=0,'Status'!$F$6=""),"",IF(COUNTIFS('Estimates'!$A$5:$A$2004,$A97,'Estimates'!$B$5:$B$2004,"PPS",'Estimates'!$D$5:$D$2004,'Status'!$F$6,'Estimates'!$E$5:$E$2004,'Status'!$E$7)=0,"",IF(COUNTIFS('Estimates'!$A$5:$A$2004,$A97,'Estimates'!$B$5:$B$2004,"PPS",'Estimates'!$D$5:$D$2004,'Status'!$F$6,'Estimates'!$E$5:$E$2004,'Status'!$E$7)&gt;1,"DUP",SUMIFS('Estimates'!$F$5:$F$2004,'Estimates'!$A$5:$A$2004,$A97,'Estimates'!$B$5:$B$2004,"PPS",'Estimates'!$D$5:$D$2004,'Status'!$F$6,'Estimates'!$E$5:$E$2004,'Status'!$E$7))))</x:f>
      </x:c>
      <x:c r="L97" s="14" t="str">
        <x:f>IF(OR(COUNTA($A97)=0,'Status'!$G$6=""),"",IF(COUNTIFS('Estimates'!$A$5:$A$2004,$A97,'Estimates'!$B$5:$B$2004,"PPS",'Estimates'!$D$5:$D$2004,'Status'!$G$6,'Estimates'!$E$5:$E$2004,'Status'!$E$7)=0,"",IF(COUNTIFS('Estimates'!$A$5:$A$2004,$A97,'Estimates'!$B$5:$B$2004,"PPS",'Estimates'!$D$5:$D$2004,'Status'!$G$6,'Estimates'!$E$5:$E$2004,'Status'!$E$7)&gt;1,"DUP",SUMIFS('Estimates'!$F$5:$F$2004,'Estimates'!$A$5:$A$2004,$A97,'Estimates'!$B$5:$B$2004,"PPS",'Estimates'!$D$5:$D$2004,'Status'!$G$6,'Estimates'!$E$5:$E$2004,'Status'!$E$7))))</x:f>
      </x:c>
      <x:c r="M97" s="14" t="str">
        <x:f>IF(COUNT(J97:L97)&lt;2,"",_xlfn.STDEV.S(J97:L97))</x:f>
      </x:c>
      <x:c r="N97" s="14" t="str">
        <x:f>IF(AND(ISNUMBER(K97),ISNUMBER(L97)),ABS(L97-K97),"")</x:f>
      </x:c>
      <x:c r="O97" s="15" t="str">
        <x:f>IF(AND(ISNUMBER(K97),ISNUMBER(L97)),IF(K97=0,"n.a.",ABS(L97-K97)/ABS(K97)),"")</x:f>
      </x:c>
      <x:c r="P97" s="2" t="str">
        <x:f>IF(COUNTA(A97)=0,"",IF(NOT(ISNUMBER('Status'!$B$6)),"Set tolerance",IF(COUNT(J97:L97)&lt;3,"Need 3 levels",IF(OR(J97=0,K97=0),"Use abs. Δ",IF(AND(ABS(K97-J97)/ABS(J97)&lt;='Status'!$B$6,O97&lt;='Status'!$B$6),"Yes","No")))))</x:f>
      </x:c>
      <x:c r="Q97" s="14" t="str">
        <x:f>IF(AND(ISNUMBER(E97),ISNUMBER(L97)),ABS(E97-L97),"")</x:f>
      </x:c>
      <x:c r="R97" s="2" t="str">
        <x:f>IF(COUNTA(A97)=0,"",IF(COUNT(C97:E97,J97:L97)&gt;0,1,0))</x:f>
      </x:c>
      <x:c r="S97" s="2" t="str">
        <x:f>IF(COUNTA(A97)=0,"",IF(COUNTIFS($A$6:$A$165,A97)&gt;1,"Duplicate target",""))</x:f>
      </x:c>
    </x:row>
    <x:row r="98">
      <x:c r="A98" s="6"/>
      <x:c r="B98" s="20"/>
      <x:c r="C98" s="14" t="str">
        <x:f>IF(OR(COUNTA($A98)=0,'Status'!$E$5=""),"",IF(COUNTIFS('Estimates'!$A$5:$A$2004,$A98,'Estimates'!$B$5:$B$2004,"MPS",'Estimates'!$C$5:$C$2004,'Status'!$E$5)=0,"",IF(COUNTIFS('Estimates'!$A$5:$A$2004,$A98,'Estimates'!$B$5:$B$2004,"MPS",'Estimates'!$C$5:$C$2004,'Status'!$E$5)&gt;1,"DUP",SUMIFS('Estimates'!$F$5:$F$2004,'Estimates'!$A$5:$A$2004,$A98,'Estimates'!$B$5:$B$2004,"MPS",'Estimates'!$C$5:$C$2004,'Status'!$E$5))))</x:f>
      </x:c>
      <x:c r="D98" s="14" t="str">
        <x:f>IF(OR(COUNTA($A98)=0,'Status'!$F$5=""),"",IF(COUNTIFS('Estimates'!$A$5:$A$2004,$A98,'Estimates'!$B$5:$B$2004,"MPS",'Estimates'!$C$5:$C$2004,'Status'!$F$5)=0,"",IF(COUNTIFS('Estimates'!$A$5:$A$2004,$A98,'Estimates'!$B$5:$B$2004,"MPS",'Estimates'!$C$5:$C$2004,'Status'!$F$5)&gt;1,"DUP",SUMIFS('Estimates'!$F$5:$F$2004,'Estimates'!$A$5:$A$2004,$A98,'Estimates'!$B$5:$B$2004,"MPS",'Estimates'!$C$5:$C$2004,'Status'!$F$5))))</x:f>
      </x:c>
      <x:c r="E98" s="14" t="str">
        <x:f>IF(OR(COUNTA($A98)=0,'Status'!$G$5=""),"",IF(COUNTIFS('Estimates'!$A$5:$A$2004,$A98,'Estimates'!$B$5:$B$2004,"MPS",'Estimates'!$C$5:$C$2004,'Status'!$G$5)=0,"",IF(COUNTIFS('Estimates'!$A$5:$A$2004,$A98,'Estimates'!$B$5:$B$2004,"MPS",'Estimates'!$C$5:$C$2004,'Status'!$G$5)&gt;1,"DUP",SUMIFS('Estimates'!$F$5:$F$2004,'Estimates'!$A$5:$A$2004,$A98,'Estimates'!$B$5:$B$2004,"MPS",'Estimates'!$C$5:$C$2004,'Status'!$G$5))))</x:f>
      </x:c>
      <x:c r="F98" s="14" t="str">
        <x:f>IF(COUNT(C98:E98)&lt;2,"",_xlfn.STDEV.S(C98:E98))</x:f>
      </x:c>
      <x:c r="G98" s="14" t="str">
        <x:f>IF(AND(ISNUMBER(D98),ISNUMBER(E98)),ABS(E98-D98),"")</x:f>
      </x:c>
      <x:c r="H98" s="15" t="str">
        <x:f>IF(AND(ISNUMBER(D98),ISNUMBER(E98)),IF(D98=0,"n.a.",ABS(E98-D98)/ABS(D98)),"")</x:f>
      </x:c>
      <x:c r="I98" s="2" t="str">
        <x:f>IF(COUNTA(A98)=0,"",IF(NOT(ISNUMBER('Status'!$B$6)),"Set tolerance",IF(COUNT(C98:E98)&lt;3,"Need 3 levels",IF(OR(C98=0,D98=0),"Use abs. Δ",IF(AND(ABS(D98-C98)/ABS(C98)&lt;='Status'!$B$6,H98&lt;='Status'!$B$6),"Yes","No")))))</x:f>
      </x:c>
      <x:c r="J98" s="14" t="str">
        <x:f>IF(OR(COUNTA($A98)=0,'Status'!$E$6=""),"",IF(COUNTIFS('Estimates'!$A$5:$A$2004,$A98,'Estimates'!$B$5:$B$2004,"PPS",'Estimates'!$D$5:$D$2004,'Status'!$E$6,'Estimates'!$E$5:$E$2004,'Status'!$E$7)=0,"",IF(COUNTIFS('Estimates'!$A$5:$A$2004,$A98,'Estimates'!$B$5:$B$2004,"PPS",'Estimates'!$D$5:$D$2004,'Status'!$E$6,'Estimates'!$E$5:$E$2004,'Status'!$E$7)&gt;1,"DUP",SUMIFS('Estimates'!$F$5:$F$2004,'Estimates'!$A$5:$A$2004,$A98,'Estimates'!$B$5:$B$2004,"PPS",'Estimates'!$D$5:$D$2004,'Status'!$E$6,'Estimates'!$E$5:$E$2004,'Status'!$E$7))))</x:f>
      </x:c>
      <x:c r="K98" s="14" t="str">
        <x:f>IF(OR(COUNTA($A98)=0,'Status'!$F$6=""),"",IF(COUNTIFS('Estimates'!$A$5:$A$2004,$A98,'Estimates'!$B$5:$B$2004,"PPS",'Estimates'!$D$5:$D$2004,'Status'!$F$6,'Estimates'!$E$5:$E$2004,'Status'!$E$7)=0,"",IF(COUNTIFS('Estimates'!$A$5:$A$2004,$A98,'Estimates'!$B$5:$B$2004,"PPS",'Estimates'!$D$5:$D$2004,'Status'!$F$6,'Estimates'!$E$5:$E$2004,'Status'!$E$7)&gt;1,"DUP",SUMIFS('Estimates'!$F$5:$F$2004,'Estimates'!$A$5:$A$2004,$A98,'Estimates'!$B$5:$B$2004,"PPS",'Estimates'!$D$5:$D$2004,'Status'!$F$6,'Estimates'!$E$5:$E$2004,'Status'!$E$7))))</x:f>
      </x:c>
      <x:c r="L98" s="14" t="str">
        <x:f>IF(OR(COUNTA($A98)=0,'Status'!$G$6=""),"",IF(COUNTIFS('Estimates'!$A$5:$A$2004,$A98,'Estimates'!$B$5:$B$2004,"PPS",'Estimates'!$D$5:$D$2004,'Status'!$G$6,'Estimates'!$E$5:$E$2004,'Status'!$E$7)=0,"",IF(COUNTIFS('Estimates'!$A$5:$A$2004,$A98,'Estimates'!$B$5:$B$2004,"PPS",'Estimates'!$D$5:$D$2004,'Status'!$G$6,'Estimates'!$E$5:$E$2004,'Status'!$E$7)&gt;1,"DUP",SUMIFS('Estimates'!$F$5:$F$2004,'Estimates'!$A$5:$A$2004,$A98,'Estimates'!$B$5:$B$2004,"PPS",'Estimates'!$D$5:$D$2004,'Status'!$G$6,'Estimates'!$E$5:$E$2004,'Status'!$E$7))))</x:f>
      </x:c>
      <x:c r="M98" s="14" t="str">
        <x:f>IF(COUNT(J98:L98)&lt;2,"",_xlfn.STDEV.S(J98:L98))</x:f>
      </x:c>
      <x:c r="N98" s="14" t="str">
        <x:f>IF(AND(ISNUMBER(K98),ISNUMBER(L98)),ABS(L98-K98),"")</x:f>
      </x:c>
      <x:c r="O98" s="15" t="str">
        <x:f>IF(AND(ISNUMBER(K98),ISNUMBER(L98)),IF(K98=0,"n.a.",ABS(L98-K98)/ABS(K98)),"")</x:f>
      </x:c>
      <x:c r="P98" s="2" t="str">
        <x:f>IF(COUNTA(A98)=0,"",IF(NOT(ISNUMBER('Status'!$B$6)),"Set tolerance",IF(COUNT(J98:L98)&lt;3,"Need 3 levels",IF(OR(J98=0,K98=0),"Use abs. Δ",IF(AND(ABS(K98-J98)/ABS(J98)&lt;='Status'!$B$6,O98&lt;='Status'!$B$6),"Yes","No")))))</x:f>
      </x:c>
      <x:c r="Q98" s="14" t="str">
        <x:f>IF(AND(ISNUMBER(E98),ISNUMBER(L98)),ABS(E98-L98),"")</x:f>
      </x:c>
      <x:c r="R98" s="2" t="str">
        <x:f>IF(COUNTA(A98)=0,"",IF(COUNT(C98:E98,J98:L98)&gt;0,1,0))</x:f>
      </x:c>
      <x:c r="S98" s="2" t="str">
        <x:f>IF(COUNTA(A98)=0,"",IF(COUNTIFS($A$6:$A$165,A98)&gt;1,"Duplicate target",""))</x:f>
      </x:c>
    </x:row>
    <x:row r="99">
      <x:c r="A99" s="6"/>
      <x:c r="B99" s="20"/>
      <x:c r="C99" s="14" t="str">
        <x:f>IF(OR(COUNTA($A99)=0,'Status'!$E$5=""),"",IF(COUNTIFS('Estimates'!$A$5:$A$2004,$A99,'Estimates'!$B$5:$B$2004,"MPS",'Estimates'!$C$5:$C$2004,'Status'!$E$5)=0,"",IF(COUNTIFS('Estimates'!$A$5:$A$2004,$A99,'Estimates'!$B$5:$B$2004,"MPS",'Estimates'!$C$5:$C$2004,'Status'!$E$5)&gt;1,"DUP",SUMIFS('Estimates'!$F$5:$F$2004,'Estimates'!$A$5:$A$2004,$A99,'Estimates'!$B$5:$B$2004,"MPS",'Estimates'!$C$5:$C$2004,'Status'!$E$5))))</x:f>
      </x:c>
      <x:c r="D99" s="14" t="str">
        <x:f>IF(OR(COUNTA($A99)=0,'Status'!$F$5=""),"",IF(COUNTIFS('Estimates'!$A$5:$A$2004,$A99,'Estimates'!$B$5:$B$2004,"MPS",'Estimates'!$C$5:$C$2004,'Status'!$F$5)=0,"",IF(COUNTIFS('Estimates'!$A$5:$A$2004,$A99,'Estimates'!$B$5:$B$2004,"MPS",'Estimates'!$C$5:$C$2004,'Status'!$F$5)&gt;1,"DUP",SUMIFS('Estimates'!$F$5:$F$2004,'Estimates'!$A$5:$A$2004,$A99,'Estimates'!$B$5:$B$2004,"MPS",'Estimates'!$C$5:$C$2004,'Status'!$F$5))))</x:f>
      </x:c>
      <x:c r="E99" s="14" t="str">
        <x:f>IF(OR(COUNTA($A99)=0,'Status'!$G$5=""),"",IF(COUNTIFS('Estimates'!$A$5:$A$2004,$A99,'Estimates'!$B$5:$B$2004,"MPS",'Estimates'!$C$5:$C$2004,'Status'!$G$5)=0,"",IF(COUNTIFS('Estimates'!$A$5:$A$2004,$A99,'Estimates'!$B$5:$B$2004,"MPS",'Estimates'!$C$5:$C$2004,'Status'!$G$5)&gt;1,"DUP",SUMIFS('Estimates'!$F$5:$F$2004,'Estimates'!$A$5:$A$2004,$A99,'Estimates'!$B$5:$B$2004,"MPS",'Estimates'!$C$5:$C$2004,'Status'!$G$5))))</x:f>
      </x:c>
      <x:c r="F99" s="14" t="str">
        <x:f>IF(COUNT(C99:E99)&lt;2,"",_xlfn.STDEV.S(C99:E99))</x:f>
      </x:c>
      <x:c r="G99" s="14" t="str">
        <x:f>IF(AND(ISNUMBER(D99),ISNUMBER(E99)),ABS(E99-D99),"")</x:f>
      </x:c>
      <x:c r="H99" s="15" t="str">
        <x:f>IF(AND(ISNUMBER(D99),ISNUMBER(E99)),IF(D99=0,"n.a.",ABS(E99-D99)/ABS(D99)),"")</x:f>
      </x:c>
      <x:c r="I99" s="2" t="str">
        <x:f>IF(COUNTA(A99)=0,"",IF(NOT(ISNUMBER('Status'!$B$6)),"Set tolerance",IF(COUNT(C99:E99)&lt;3,"Need 3 levels",IF(OR(C99=0,D99=0),"Use abs. Δ",IF(AND(ABS(D99-C99)/ABS(C99)&lt;='Status'!$B$6,H99&lt;='Status'!$B$6),"Yes","No")))))</x:f>
      </x:c>
      <x:c r="J99" s="14" t="str">
        <x:f>IF(OR(COUNTA($A99)=0,'Status'!$E$6=""),"",IF(COUNTIFS('Estimates'!$A$5:$A$2004,$A99,'Estimates'!$B$5:$B$2004,"PPS",'Estimates'!$D$5:$D$2004,'Status'!$E$6,'Estimates'!$E$5:$E$2004,'Status'!$E$7)=0,"",IF(COUNTIFS('Estimates'!$A$5:$A$2004,$A99,'Estimates'!$B$5:$B$2004,"PPS",'Estimates'!$D$5:$D$2004,'Status'!$E$6,'Estimates'!$E$5:$E$2004,'Status'!$E$7)&gt;1,"DUP",SUMIFS('Estimates'!$F$5:$F$2004,'Estimates'!$A$5:$A$2004,$A99,'Estimates'!$B$5:$B$2004,"PPS",'Estimates'!$D$5:$D$2004,'Status'!$E$6,'Estimates'!$E$5:$E$2004,'Status'!$E$7))))</x:f>
      </x:c>
      <x:c r="K99" s="14" t="str">
        <x:f>IF(OR(COUNTA($A99)=0,'Status'!$F$6=""),"",IF(COUNTIFS('Estimates'!$A$5:$A$2004,$A99,'Estimates'!$B$5:$B$2004,"PPS",'Estimates'!$D$5:$D$2004,'Status'!$F$6,'Estimates'!$E$5:$E$2004,'Status'!$E$7)=0,"",IF(COUNTIFS('Estimates'!$A$5:$A$2004,$A99,'Estimates'!$B$5:$B$2004,"PPS",'Estimates'!$D$5:$D$2004,'Status'!$F$6,'Estimates'!$E$5:$E$2004,'Status'!$E$7)&gt;1,"DUP",SUMIFS('Estimates'!$F$5:$F$2004,'Estimates'!$A$5:$A$2004,$A99,'Estimates'!$B$5:$B$2004,"PPS",'Estimates'!$D$5:$D$2004,'Status'!$F$6,'Estimates'!$E$5:$E$2004,'Status'!$E$7))))</x:f>
      </x:c>
      <x:c r="L99" s="14" t="str">
        <x:f>IF(OR(COUNTA($A99)=0,'Status'!$G$6=""),"",IF(COUNTIFS('Estimates'!$A$5:$A$2004,$A99,'Estimates'!$B$5:$B$2004,"PPS",'Estimates'!$D$5:$D$2004,'Status'!$G$6,'Estimates'!$E$5:$E$2004,'Status'!$E$7)=0,"",IF(COUNTIFS('Estimates'!$A$5:$A$2004,$A99,'Estimates'!$B$5:$B$2004,"PPS",'Estimates'!$D$5:$D$2004,'Status'!$G$6,'Estimates'!$E$5:$E$2004,'Status'!$E$7)&gt;1,"DUP",SUMIFS('Estimates'!$F$5:$F$2004,'Estimates'!$A$5:$A$2004,$A99,'Estimates'!$B$5:$B$2004,"PPS",'Estimates'!$D$5:$D$2004,'Status'!$G$6,'Estimates'!$E$5:$E$2004,'Status'!$E$7))))</x:f>
      </x:c>
      <x:c r="M99" s="14" t="str">
        <x:f>IF(COUNT(J99:L99)&lt;2,"",_xlfn.STDEV.S(J99:L99))</x:f>
      </x:c>
      <x:c r="N99" s="14" t="str">
        <x:f>IF(AND(ISNUMBER(K99),ISNUMBER(L99)),ABS(L99-K99),"")</x:f>
      </x:c>
      <x:c r="O99" s="15" t="str">
        <x:f>IF(AND(ISNUMBER(K99),ISNUMBER(L99)),IF(K99=0,"n.a.",ABS(L99-K99)/ABS(K99)),"")</x:f>
      </x:c>
      <x:c r="P99" s="2" t="str">
        <x:f>IF(COUNTA(A99)=0,"",IF(NOT(ISNUMBER('Status'!$B$6)),"Set tolerance",IF(COUNT(J99:L99)&lt;3,"Need 3 levels",IF(OR(J99=0,K99=0),"Use abs. Δ",IF(AND(ABS(K99-J99)/ABS(J99)&lt;='Status'!$B$6,O99&lt;='Status'!$B$6),"Yes","No")))))</x:f>
      </x:c>
      <x:c r="Q99" s="14" t="str">
        <x:f>IF(AND(ISNUMBER(E99),ISNUMBER(L99)),ABS(E99-L99),"")</x:f>
      </x:c>
      <x:c r="R99" s="2" t="str">
        <x:f>IF(COUNTA(A99)=0,"",IF(COUNT(C99:E99,J99:L99)&gt;0,1,0))</x:f>
      </x:c>
      <x:c r="S99" s="2" t="str">
        <x:f>IF(COUNTA(A99)=0,"",IF(COUNTIFS($A$6:$A$165,A99)&gt;1,"Duplicate target",""))</x:f>
      </x:c>
    </x:row>
    <x:row r="100">
      <x:c r="A100" s="6"/>
      <x:c r="B100" s="20"/>
      <x:c r="C100" s="14" t="str">
        <x:f>IF(OR(COUNTA($A100)=0,'Status'!$E$5=""),"",IF(COUNTIFS('Estimates'!$A$5:$A$2004,$A100,'Estimates'!$B$5:$B$2004,"MPS",'Estimates'!$C$5:$C$2004,'Status'!$E$5)=0,"",IF(COUNTIFS('Estimates'!$A$5:$A$2004,$A100,'Estimates'!$B$5:$B$2004,"MPS",'Estimates'!$C$5:$C$2004,'Status'!$E$5)&gt;1,"DUP",SUMIFS('Estimates'!$F$5:$F$2004,'Estimates'!$A$5:$A$2004,$A100,'Estimates'!$B$5:$B$2004,"MPS",'Estimates'!$C$5:$C$2004,'Status'!$E$5))))</x:f>
      </x:c>
      <x:c r="D100" s="14" t="str">
        <x:f>IF(OR(COUNTA($A100)=0,'Status'!$F$5=""),"",IF(COUNTIFS('Estimates'!$A$5:$A$2004,$A100,'Estimates'!$B$5:$B$2004,"MPS",'Estimates'!$C$5:$C$2004,'Status'!$F$5)=0,"",IF(COUNTIFS('Estimates'!$A$5:$A$2004,$A100,'Estimates'!$B$5:$B$2004,"MPS",'Estimates'!$C$5:$C$2004,'Status'!$F$5)&gt;1,"DUP",SUMIFS('Estimates'!$F$5:$F$2004,'Estimates'!$A$5:$A$2004,$A100,'Estimates'!$B$5:$B$2004,"MPS",'Estimates'!$C$5:$C$2004,'Status'!$F$5))))</x:f>
      </x:c>
      <x:c r="E100" s="14" t="str">
        <x:f>IF(OR(COUNTA($A100)=0,'Status'!$G$5=""),"",IF(COUNTIFS('Estimates'!$A$5:$A$2004,$A100,'Estimates'!$B$5:$B$2004,"MPS",'Estimates'!$C$5:$C$2004,'Status'!$G$5)=0,"",IF(COUNTIFS('Estimates'!$A$5:$A$2004,$A100,'Estimates'!$B$5:$B$2004,"MPS",'Estimates'!$C$5:$C$2004,'Status'!$G$5)&gt;1,"DUP",SUMIFS('Estimates'!$F$5:$F$2004,'Estimates'!$A$5:$A$2004,$A100,'Estimates'!$B$5:$B$2004,"MPS",'Estimates'!$C$5:$C$2004,'Status'!$G$5))))</x:f>
      </x:c>
      <x:c r="F100" s="14" t="str">
        <x:f>IF(COUNT(C100:E100)&lt;2,"",_xlfn.STDEV.S(C100:E100))</x:f>
      </x:c>
      <x:c r="G100" s="14" t="str">
        <x:f>IF(AND(ISNUMBER(D100),ISNUMBER(E100)),ABS(E100-D100),"")</x:f>
      </x:c>
      <x:c r="H100" s="15" t="str">
        <x:f>IF(AND(ISNUMBER(D100),ISNUMBER(E100)),IF(D100=0,"n.a.",ABS(E100-D100)/ABS(D100)),"")</x:f>
      </x:c>
      <x:c r="I100" s="2" t="str">
        <x:f>IF(COUNTA(A100)=0,"",IF(NOT(ISNUMBER('Status'!$B$6)),"Set tolerance",IF(COUNT(C100:E100)&lt;3,"Need 3 levels",IF(OR(C100=0,D100=0),"Use abs. Δ",IF(AND(ABS(D100-C100)/ABS(C100)&lt;='Status'!$B$6,H100&lt;='Status'!$B$6),"Yes","No")))))</x:f>
      </x:c>
      <x:c r="J100" s="14" t="str">
        <x:f>IF(OR(COUNTA($A100)=0,'Status'!$E$6=""),"",IF(COUNTIFS('Estimates'!$A$5:$A$2004,$A100,'Estimates'!$B$5:$B$2004,"PPS",'Estimates'!$D$5:$D$2004,'Status'!$E$6,'Estimates'!$E$5:$E$2004,'Status'!$E$7)=0,"",IF(COUNTIFS('Estimates'!$A$5:$A$2004,$A100,'Estimates'!$B$5:$B$2004,"PPS",'Estimates'!$D$5:$D$2004,'Status'!$E$6,'Estimates'!$E$5:$E$2004,'Status'!$E$7)&gt;1,"DUP",SUMIFS('Estimates'!$F$5:$F$2004,'Estimates'!$A$5:$A$2004,$A100,'Estimates'!$B$5:$B$2004,"PPS",'Estimates'!$D$5:$D$2004,'Status'!$E$6,'Estimates'!$E$5:$E$2004,'Status'!$E$7))))</x:f>
      </x:c>
      <x:c r="K100" s="14" t="str">
        <x:f>IF(OR(COUNTA($A100)=0,'Status'!$F$6=""),"",IF(COUNTIFS('Estimates'!$A$5:$A$2004,$A100,'Estimates'!$B$5:$B$2004,"PPS",'Estimates'!$D$5:$D$2004,'Status'!$F$6,'Estimates'!$E$5:$E$2004,'Status'!$E$7)=0,"",IF(COUNTIFS('Estimates'!$A$5:$A$2004,$A100,'Estimates'!$B$5:$B$2004,"PPS",'Estimates'!$D$5:$D$2004,'Status'!$F$6,'Estimates'!$E$5:$E$2004,'Status'!$E$7)&gt;1,"DUP",SUMIFS('Estimates'!$F$5:$F$2004,'Estimates'!$A$5:$A$2004,$A100,'Estimates'!$B$5:$B$2004,"PPS",'Estimates'!$D$5:$D$2004,'Status'!$F$6,'Estimates'!$E$5:$E$2004,'Status'!$E$7))))</x:f>
      </x:c>
      <x:c r="L100" s="14" t="str">
        <x:f>IF(OR(COUNTA($A100)=0,'Status'!$G$6=""),"",IF(COUNTIFS('Estimates'!$A$5:$A$2004,$A100,'Estimates'!$B$5:$B$2004,"PPS",'Estimates'!$D$5:$D$2004,'Status'!$G$6,'Estimates'!$E$5:$E$2004,'Status'!$E$7)=0,"",IF(COUNTIFS('Estimates'!$A$5:$A$2004,$A100,'Estimates'!$B$5:$B$2004,"PPS",'Estimates'!$D$5:$D$2004,'Status'!$G$6,'Estimates'!$E$5:$E$2004,'Status'!$E$7)&gt;1,"DUP",SUMIFS('Estimates'!$F$5:$F$2004,'Estimates'!$A$5:$A$2004,$A100,'Estimates'!$B$5:$B$2004,"PPS",'Estimates'!$D$5:$D$2004,'Status'!$G$6,'Estimates'!$E$5:$E$2004,'Status'!$E$7))))</x:f>
      </x:c>
      <x:c r="M100" s="14" t="str">
        <x:f>IF(COUNT(J100:L100)&lt;2,"",_xlfn.STDEV.S(J100:L100))</x:f>
      </x:c>
      <x:c r="N100" s="14" t="str">
        <x:f>IF(AND(ISNUMBER(K100),ISNUMBER(L100)),ABS(L100-K100),"")</x:f>
      </x:c>
      <x:c r="O100" s="15" t="str">
        <x:f>IF(AND(ISNUMBER(K100),ISNUMBER(L100)),IF(K100=0,"n.a.",ABS(L100-K100)/ABS(K100)),"")</x:f>
      </x:c>
      <x:c r="P100" s="2" t="str">
        <x:f>IF(COUNTA(A100)=0,"",IF(NOT(ISNUMBER('Status'!$B$6)),"Set tolerance",IF(COUNT(J100:L100)&lt;3,"Need 3 levels",IF(OR(J100=0,K100=0),"Use abs. Δ",IF(AND(ABS(K100-J100)/ABS(J100)&lt;='Status'!$B$6,O100&lt;='Status'!$B$6),"Yes","No")))))</x:f>
      </x:c>
      <x:c r="Q100" s="14" t="str">
        <x:f>IF(AND(ISNUMBER(E100),ISNUMBER(L100)),ABS(E100-L100),"")</x:f>
      </x:c>
      <x:c r="R100" s="2" t="str">
        <x:f>IF(COUNTA(A100)=0,"",IF(COUNT(C100:E100,J100:L100)&gt;0,1,0))</x:f>
      </x:c>
      <x:c r="S100" s="2" t="str">
        <x:f>IF(COUNTA(A100)=0,"",IF(COUNTIFS($A$6:$A$165,A100)&gt;1,"Duplicate target",""))</x:f>
      </x:c>
    </x:row>
    <x:row r="101">
      <x:c r="A101" s="6"/>
      <x:c r="B101" s="20"/>
      <x:c r="C101" s="14" t="str">
        <x:f>IF(OR(COUNTA($A101)=0,'Status'!$E$5=""),"",IF(COUNTIFS('Estimates'!$A$5:$A$2004,$A101,'Estimates'!$B$5:$B$2004,"MPS",'Estimates'!$C$5:$C$2004,'Status'!$E$5)=0,"",IF(COUNTIFS('Estimates'!$A$5:$A$2004,$A101,'Estimates'!$B$5:$B$2004,"MPS",'Estimates'!$C$5:$C$2004,'Status'!$E$5)&gt;1,"DUP",SUMIFS('Estimates'!$F$5:$F$2004,'Estimates'!$A$5:$A$2004,$A101,'Estimates'!$B$5:$B$2004,"MPS",'Estimates'!$C$5:$C$2004,'Status'!$E$5))))</x:f>
      </x:c>
      <x:c r="D101" s="14" t="str">
        <x:f>IF(OR(COUNTA($A101)=0,'Status'!$F$5=""),"",IF(COUNTIFS('Estimates'!$A$5:$A$2004,$A101,'Estimates'!$B$5:$B$2004,"MPS",'Estimates'!$C$5:$C$2004,'Status'!$F$5)=0,"",IF(COUNTIFS('Estimates'!$A$5:$A$2004,$A101,'Estimates'!$B$5:$B$2004,"MPS",'Estimates'!$C$5:$C$2004,'Status'!$F$5)&gt;1,"DUP",SUMIFS('Estimates'!$F$5:$F$2004,'Estimates'!$A$5:$A$2004,$A101,'Estimates'!$B$5:$B$2004,"MPS",'Estimates'!$C$5:$C$2004,'Status'!$F$5))))</x:f>
      </x:c>
      <x:c r="E101" s="14" t="str">
        <x:f>IF(OR(COUNTA($A101)=0,'Status'!$G$5=""),"",IF(COUNTIFS('Estimates'!$A$5:$A$2004,$A101,'Estimates'!$B$5:$B$2004,"MPS",'Estimates'!$C$5:$C$2004,'Status'!$G$5)=0,"",IF(COUNTIFS('Estimates'!$A$5:$A$2004,$A101,'Estimates'!$B$5:$B$2004,"MPS",'Estimates'!$C$5:$C$2004,'Status'!$G$5)&gt;1,"DUP",SUMIFS('Estimates'!$F$5:$F$2004,'Estimates'!$A$5:$A$2004,$A101,'Estimates'!$B$5:$B$2004,"MPS",'Estimates'!$C$5:$C$2004,'Status'!$G$5))))</x:f>
      </x:c>
      <x:c r="F101" s="14" t="str">
        <x:f>IF(COUNT(C101:E101)&lt;2,"",_xlfn.STDEV.S(C101:E101))</x:f>
      </x:c>
      <x:c r="G101" s="14" t="str">
        <x:f>IF(AND(ISNUMBER(D101),ISNUMBER(E101)),ABS(E101-D101),"")</x:f>
      </x:c>
      <x:c r="H101" s="15" t="str">
        <x:f>IF(AND(ISNUMBER(D101),ISNUMBER(E101)),IF(D101=0,"n.a.",ABS(E101-D101)/ABS(D101)),"")</x:f>
      </x:c>
      <x:c r="I101" s="2" t="str">
        <x:f>IF(COUNTA(A101)=0,"",IF(NOT(ISNUMBER('Status'!$B$6)),"Set tolerance",IF(COUNT(C101:E101)&lt;3,"Need 3 levels",IF(OR(C101=0,D101=0),"Use abs. Δ",IF(AND(ABS(D101-C101)/ABS(C101)&lt;='Status'!$B$6,H101&lt;='Status'!$B$6),"Yes","No")))))</x:f>
      </x:c>
      <x:c r="J101" s="14" t="str">
        <x:f>IF(OR(COUNTA($A101)=0,'Status'!$E$6=""),"",IF(COUNTIFS('Estimates'!$A$5:$A$2004,$A101,'Estimates'!$B$5:$B$2004,"PPS",'Estimates'!$D$5:$D$2004,'Status'!$E$6,'Estimates'!$E$5:$E$2004,'Status'!$E$7)=0,"",IF(COUNTIFS('Estimates'!$A$5:$A$2004,$A101,'Estimates'!$B$5:$B$2004,"PPS",'Estimates'!$D$5:$D$2004,'Status'!$E$6,'Estimates'!$E$5:$E$2004,'Status'!$E$7)&gt;1,"DUP",SUMIFS('Estimates'!$F$5:$F$2004,'Estimates'!$A$5:$A$2004,$A101,'Estimates'!$B$5:$B$2004,"PPS",'Estimates'!$D$5:$D$2004,'Status'!$E$6,'Estimates'!$E$5:$E$2004,'Status'!$E$7))))</x:f>
      </x:c>
      <x:c r="K101" s="14" t="str">
        <x:f>IF(OR(COUNTA($A101)=0,'Status'!$F$6=""),"",IF(COUNTIFS('Estimates'!$A$5:$A$2004,$A101,'Estimates'!$B$5:$B$2004,"PPS",'Estimates'!$D$5:$D$2004,'Status'!$F$6,'Estimates'!$E$5:$E$2004,'Status'!$E$7)=0,"",IF(COUNTIFS('Estimates'!$A$5:$A$2004,$A101,'Estimates'!$B$5:$B$2004,"PPS",'Estimates'!$D$5:$D$2004,'Status'!$F$6,'Estimates'!$E$5:$E$2004,'Status'!$E$7)&gt;1,"DUP",SUMIFS('Estimates'!$F$5:$F$2004,'Estimates'!$A$5:$A$2004,$A101,'Estimates'!$B$5:$B$2004,"PPS",'Estimates'!$D$5:$D$2004,'Status'!$F$6,'Estimates'!$E$5:$E$2004,'Status'!$E$7))))</x:f>
      </x:c>
      <x:c r="L101" s="14" t="str">
        <x:f>IF(OR(COUNTA($A101)=0,'Status'!$G$6=""),"",IF(COUNTIFS('Estimates'!$A$5:$A$2004,$A101,'Estimates'!$B$5:$B$2004,"PPS",'Estimates'!$D$5:$D$2004,'Status'!$G$6,'Estimates'!$E$5:$E$2004,'Status'!$E$7)=0,"",IF(COUNTIFS('Estimates'!$A$5:$A$2004,$A101,'Estimates'!$B$5:$B$2004,"PPS",'Estimates'!$D$5:$D$2004,'Status'!$G$6,'Estimates'!$E$5:$E$2004,'Status'!$E$7)&gt;1,"DUP",SUMIFS('Estimates'!$F$5:$F$2004,'Estimates'!$A$5:$A$2004,$A101,'Estimates'!$B$5:$B$2004,"PPS",'Estimates'!$D$5:$D$2004,'Status'!$G$6,'Estimates'!$E$5:$E$2004,'Status'!$E$7))))</x:f>
      </x:c>
      <x:c r="M101" s="14" t="str">
        <x:f>IF(COUNT(J101:L101)&lt;2,"",_xlfn.STDEV.S(J101:L101))</x:f>
      </x:c>
      <x:c r="N101" s="14" t="str">
        <x:f>IF(AND(ISNUMBER(K101),ISNUMBER(L101)),ABS(L101-K101),"")</x:f>
      </x:c>
      <x:c r="O101" s="15" t="str">
        <x:f>IF(AND(ISNUMBER(K101),ISNUMBER(L101)),IF(K101=0,"n.a.",ABS(L101-K101)/ABS(K101)),"")</x:f>
      </x:c>
      <x:c r="P101" s="2" t="str">
        <x:f>IF(COUNTA(A101)=0,"",IF(NOT(ISNUMBER('Status'!$B$6)),"Set tolerance",IF(COUNT(J101:L101)&lt;3,"Need 3 levels",IF(OR(J101=0,K101=0),"Use abs. Δ",IF(AND(ABS(K101-J101)/ABS(J101)&lt;='Status'!$B$6,O101&lt;='Status'!$B$6),"Yes","No")))))</x:f>
      </x:c>
      <x:c r="Q101" s="14" t="str">
        <x:f>IF(AND(ISNUMBER(E101),ISNUMBER(L101)),ABS(E101-L101),"")</x:f>
      </x:c>
      <x:c r="R101" s="2" t="str">
        <x:f>IF(COUNTA(A101)=0,"",IF(COUNT(C101:E101,J101:L101)&gt;0,1,0))</x:f>
      </x:c>
      <x:c r="S101" s="2" t="str">
        <x:f>IF(COUNTA(A101)=0,"",IF(COUNTIFS($A$6:$A$165,A101)&gt;1,"Duplicate target",""))</x:f>
      </x:c>
    </x:row>
    <x:row r="102">
      <x:c r="A102" s="6"/>
      <x:c r="B102" s="20"/>
      <x:c r="C102" s="14" t="str">
        <x:f>IF(OR(COUNTA($A102)=0,'Status'!$E$5=""),"",IF(COUNTIFS('Estimates'!$A$5:$A$2004,$A102,'Estimates'!$B$5:$B$2004,"MPS",'Estimates'!$C$5:$C$2004,'Status'!$E$5)=0,"",IF(COUNTIFS('Estimates'!$A$5:$A$2004,$A102,'Estimates'!$B$5:$B$2004,"MPS",'Estimates'!$C$5:$C$2004,'Status'!$E$5)&gt;1,"DUP",SUMIFS('Estimates'!$F$5:$F$2004,'Estimates'!$A$5:$A$2004,$A102,'Estimates'!$B$5:$B$2004,"MPS",'Estimates'!$C$5:$C$2004,'Status'!$E$5))))</x:f>
      </x:c>
      <x:c r="D102" s="14" t="str">
        <x:f>IF(OR(COUNTA($A102)=0,'Status'!$F$5=""),"",IF(COUNTIFS('Estimates'!$A$5:$A$2004,$A102,'Estimates'!$B$5:$B$2004,"MPS",'Estimates'!$C$5:$C$2004,'Status'!$F$5)=0,"",IF(COUNTIFS('Estimates'!$A$5:$A$2004,$A102,'Estimates'!$B$5:$B$2004,"MPS",'Estimates'!$C$5:$C$2004,'Status'!$F$5)&gt;1,"DUP",SUMIFS('Estimates'!$F$5:$F$2004,'Estimates'!$A$5:$A$2004,$A102,'Estimates'!$B$5:$B$2004,"MPS",'Estimates'!$C$5:$C$2004,'Status'!$F$5))))</x:f>
      </x:c>
      <x:c r="E102" s="14" t="str">
        <x:f>IF(OR(COUNTA($A102)=0,'Status'!$G$5=""),"",IF(COUNTIFS('Estimates'!$A$5:$A$2004,$A102,'Estimates'!$B$5:$B$2004,"MPS",'Estimates'!$C$5:$C$2004,'Status'!$G$5)=0,"",IF(COUNTIFS('Estimates'!$A$5:$A$2004,$A102,'Estimates'!$B$5:$B$2004,"MPS",'Estimates'!$C$5:$C$2004,'Status'!$G$5)&gt;1,"DUP",SUMIFS('Estimates'!$F$5:$F$2004,'Estimates'!$A$5:$A$2004,$A102,'Estimates'!$B$5:$B$2004,"MPS",'Estimates'!$C$5:$C$2004,'Status'!$G$5))))</x:f>
      </x:c>
      <x:c r="F102" s="14" t="str">
        <x:f>IF(COUNT(C102:E102)&lt;2,"",_xlfn.STDEV.S(C102:E102))</x:f>
      </x:c>
      <x:c r="G102" s="14" t="str">
        <x:f>IF(AND(ISNUMBER(D102),ISNUMBER(E102)),ABS(E102-D102),"")</x:f>
      </x:c>
      <x:c r="H102" s="15" t="str">
        <x:f>IF(AND(ISNUMBER(D102),ISNUMBER(E102)),IF(D102=0,"n.a.",ABS(E102-D102)/ABS(D102)),"")</x:f>
      </x:c>
      <x:c r="I102" s="2" t="str">
        <x:f>IF(COUNTA(A102)=0,"",IF(NOT(ISNUMBER('Status'!$B$6)),"Set tolerance",IF(COUNT(C102:E102)&lt;3,"Need 3 levels",IF(OR(C102=0,D102=0),"Use abs. Δ",IF(AND(ABS(D102-C102)/ABS(C102)&lt;='Status'!$B$6,H102&lt;='Status'!$B$6),"Yes","No")))))</x:f>
      </x:c>
      <x:c r="J102" s="14" t="str">
        <x:f>IF(OR(COUNTA($A102)=0,'Status'!$E$6=""),"",IF(COUNTIFS('Estimates'!$A$5:$A$2004,$A102,'Estimates'!$B$5:$B$2004,"PPS",'Estimates'!$D$5:$D$2004,'Status'!$E$6,'Estimates'!$E$5:$E$2004,'Status'!$E$7)=0,"",IF(COUNTIFS('Estimates'!$A$5:$A$2004,$A102,'Estimates'!$B$5:$B$2004,"PPS",'Estimates'!$D$5:$D$2004,'Status'!$E$6,'Estimates'!$E$5:$E$2004,'Status'!$E$7)&gt;1,"DUP",SUMIFS('Estimates'!$F$5:$F$2004,'Estimates'!$A$5:$A$2004,$A102,'Estimates'!$B$5:$B$2004,"PPS",'Estimates'!$D$5:$D$2004,'Status'!$E$6,'Estimates'!$E$5:$E$2004,'Status'!$E$7))))</x:f>
      </x:c>
      <x:c r="K102" s="14" t="str">
        <x:f>IF(OR(COUNTA($A102)=0,'Status'!$F$6=""),"",IF(COUNTIFS('Estimates'!$A$5:$A$2004,$A102,'Estimates'!$B$5:$B$2004,"PPS",'Estimates'!$D$5:$D$2004,'Status'!$F$6,'Estimates'!$E$5:$E$2004,'Status'!$E$7)=0,"",IF(COUNTIFS('Estimates'!$A$5:$A$2004,$A102,'Estimates'!$B$5:$B$2004,"PPS",'Estimates'!$D$5:$D$2004,'Status'!$F$6,'Estimates'!$E$5:$E$2004,'Status'!$E$7)&gt;1,"DUP",SUMIFS('Estimates'!$F$5:$F$2004,'Estimates'!$A$5:$A$2004,$A102,'Estimates'!$B$5:$B$2004,"PPS",'Estimates'!$D$5:$D$2004,'Status'!$F$6,'Estimates'!$E$5:$E$2004,'Status'!$E$7))))</x:f>
      </x:c>
      <x:c r="L102" s="14" t="str">
        <x:f>IF(OR(COUNTA($A102)=0,'Status'!$G$6=""),"",IF(COUNTIFS('Estimates'!$A$5:$A$2004,$A102,'Estimates'!$B$5:$B$2004,"PPS",'Estimates'!$D$5:$D$2004,'Status'!$G$6,'Estimates'!$E$5:$E$2004,'Status'!$E$7)=0,"",IF(COUNTIFS('Estimates'!$A$5:$A$2004,$A102,'Estimates'!$B$5:$B$2004,"PPS",'Estimates'!$D$5:$D$2004,'Status'!$G$6,'Estimates'!$E$5:$E$2004,'Status'!$E$7)&gt;1,"DUP",SUMIFS('Estimates'!$F$5:$F$2004,'Estimates'!$A$5:$A$2004,$A102,'Estimates'!$B$5:$B$2004,"PPS",'Estimates'!$D$5:$D$2004,'Status'!$G$6,'Estimates'!$E$5:$E$2004,'Status'!$E$7))))</x:f>
      </x:c>
      <x:c r="M102" s="14" t="str">
        <x:f>IF(COUNT(J102:L102)&lt;2,"",_xlfn.STDEV.S(J102:L102))</x:f>
      </x:c>
      <x:c r="N102" s="14" t="str">
        <x:f>IF(AND(ISNUMBER(K102),ISNUMBER(L102)),ABS(L102-K102),"")</x:f>
      </x:c>
      <x:c r="O102" s="15" t="str">
        <x:f>IF(AND(ISNUMBER(K102),ISNUMBER(L102)),IF(K102=0,"n.a.",ABS(L102-K102)/ABS(K102)),"")</x:f>
      </x:c>
      <x:c r="P102" s="2" t="str">
        <x:f>IF(COUNTA(A102)=0,"",IF(NOT(ISNUMBER('Status'!$B$6)),"Set tolerance",IF(COUNT(J102:L102)&lt;3,"Need 3 levels",IF(OR(J102=0,K102=0),"Use abs. Δ",IF(AND(ABS(K102-J102)/ABS(J102)&lt;='Status'!$B$6,O102&lt;='Status'!$B$6),"Yes","No")))))</x:f>
      </x:c>
      <x:c r="Q102" s="14" t="str">
        <x:f>IF(AND(ISNUMBER(E102),ISNUMBER(L102)),ABS(E102-L102),"")</x:f>
      </x:c>
      <x:c r="R102" s="2" t="str">
        <x:f>IF(COUNTA(A102)=0,"",IF(COUNT(C102:E102,J102:L102)&gt;0,1,0))</x:f>
      </x:c>
      <x:c r="S102" s="2" t="str">
        <x:f>IF(COUNTA(A102)=0,"",IF(COUNTIFS($A$6:$A$165,A102)&gt;1,"Duplicate target",""))</x:f>
      </x:c>
    </x:row>
    <x:row r="103">
      <x:c r="A103" s="6"/>
      <x:c r="B103" s="20"/>
      <x:c r="C103" s="14" t="str">
        <x:f>IF(OR(COUNTA($A103)=0,'Status'!$E$5=""),"",IF(COUNTIFS('Estimates'!$A$5:$A$2004,$A103,'Estimates'!$B$5:$B$2004,"MPS",'Estimates'!$C$5:$C$2004,'Status'!$E$5)=0,"",IF(COUNTIFS('Estimates'!$A$5:$A$2004,$A103,'Estimates'!$B$5:$B$2004,"MPS",'Estimates'!$C$5:$C$2004,'Status'!$E$5)&gt;1,"DUP",SUMIFS('Estimates'!$F$5:$F$2004,'Estimates'!$A$5:$A$2004,$A103,'Estimates'!$B$5:$B$2004,"MPS",'Estimates'!$C$5:$C$2004,'Status'!$E$5))))</x:f>
      </x:c>
      <x:c r="D103" s="14" t="str">
        <x:f>IF(OR(COUNTA($A103)=0,'Status'!$F$5=""),"",IF(COUNTIFS('Estimates'!$A$5:$A$2004,$A103,'Estimates'!$B$5:$B$2004,"MPS",'Estimates'!$C$5:$C$2004,'Status'!$F$5)=0,"",IF(COUNTIFS('Estimates'!$A$5:$A$2004,$A103,'Estimates'!$B$5:$B$2004,"MPS",'Estimates'!$C$5:$C$2004,'Status'!$F$5)&gt;1,"DUP",SUMIFS('Estimates'!$F$5:$F$2004,'Estimates'!$A$5:$A$2004,$A103,'Estimates'!$B$5:$B$2004,"MPS",'Estimates'!$C$5:$C$2004,'Status'!$F$5))))</x:f>
      </x:c>
      <x:c r="E103" s="14" t="str">
        <x:f>IF(OR(COUNTA($A103)=0,'Status'!$G$5=""),"",IF(COUNTIFS('Estimates'!$A$5:$A$2004,$A103,'Estimates'!$B$5:$B$2004,"MPS",'Estimates'!$C$5:$C$2004,'Status'!$G$5)=0,"",IF(COUNTIFS('Estimates'!$A$5:$A$2004,$A103,'Estimates'!$B$5:$B$2004,"MPS",'Estimates'!$C$5:$C$2004,'Status'!$G$5)&gt;1,"DUP",SUMIFS('Estimates'!$F$5:$F$2004,'Estimates'!$A$5:$A$2004,$A103,'Estimates'!$B$5:$B$2004,"MPS",'Estimates'!$C$5:$C$2004,'Status'!$G$5))))</x:f>
      </x:c>
      <x:c r="F103" s="14" t="str">
        <x:f>IF(COUNT(C103:E103)&lt;2,"",_xlfn.STDEV.S(C103:E103))</x:f>
      </x:c>
      <x:c r="G103" s="14" t="str">
        <x:f>IF(AND(ISNUMBER(D103),ISNUMBER(E103)),ABS(E103-D103),"")</x:f>
      </x:c>
      <x:c r="H103" s="15" t="str">
        <x:f>IF(AND(ISNUMBER(D103),ISNUMBER(E103)),IF(D103=0,"n.a.",ABS(E103-D103)/ABS(D103)),"")</x:f>
      </x:c>
      <x:c r="I103" s="2" t="str">
        <x:f>IF(COUNTA(A103)=0,"",IF(NOT(ISNUMBER('Status'!$B$6)),"Set tolerance",IF(COUNT(C103:E103)&lt;3,"Need 3 levels",IF(OR(C103=0,D103=0),"Use abs. Δ",IF(AND(ABS(D103-C103)/ABS(C103)&lt;='Status'!$B$6,H103&lt;='Status'!$B$6),"Yes","No")))))</x:f>
      </x:c>
      <x:c r="J103" s="14" t="str">
        <x:f>IF(OR(COUNTA($A103)=0,'Status'!$E$6=""),"",IF(COUNTIFS('Estimates'!$A$5:$A$2004,$A103,'Estimates'!$B$5:$B$2004,"PPS",'Estimates'!$D$5:$D$2004,'Status'!$E$6,'Estimates'!$E$5:$E$2004,'Status'!$E$7)=0,"",IF(COUNTIFS('Estimates'!$A$5:$A$2004,$A103,'Estimates'!$B$5:$B$2004,"PPS",'Estimates'!$D$5:$D$2004,'Status'!$E$6,'Estimates'!$E$5:$E$2004,'Status'!$E$7)&gt;1,"DUP",SUMIFS('Estimates'!$F$5:$F$2004,'Estimates'!$A$5:$A$2004,$A103,'Estimates'!$B$5:$B$2004,"PPS",'Estimates'!$D$5:$D$2004,'Status'!$E$6,'Estimates'!$E$5:$E$2004,'Status'!$E$7))))</x:f>
      </x:c>
      <x:c r="K103" s="14" t="str">
        <x:f>IF(OR(COUNTA($A103)=0,'Status'!$F$6=""),"",IF(COUNTIFS('Estimates'!$A$5:$A$2004,$A103,'Estimates'!$B$5:$B$2004,"PPS",'Estimates'!$D$5:$D$2004,'Status'!$F$6,'Estimates'!$E$5:$E$2004,'Status'!$E$7)=0,"",IF(COUNTIFS('Estimates'!$A$5:$A$2004,$A103,'Estimates'!$B$5:$B$2004,"PPS",'Estimates'!$D$5:$D$2004,'Status'!$F$6,'Estimates'!$E$5:$E$2004,'Status'!$E$7)&gt;1,"DUP",SUMIFS('Estimates'!$F$5:$F$2004,'Estimates'!$A$5:$A$2004,$A103,'Estimates'!$B$5:$B$2004,"PPS",'Estimates'!$D$5:$D$2004,'Status'!$F$6,'Estimates'!$E$5:$E$2004,'Status'!$E$7))))</x:f>
      </x:c>
      <x:c r="L103" s="14" t="str">
        <x:f>IF(OR(COUNTA($A103)=0,'Status'!$G$6=""),"",IF(COUNTIFS('Estimates'!$A$5:$A$2004,$A103,'Estimates'!$B$5:$B$2004,"PPS",'Estimates'!$D$5:$D$2004,'Status'!$G$6,'Estimates'!$E$5:$E$2004,'Status'!$E$7)=0,"",IF(COUNTIFS('Estimates'!$A$5:$A$2004,$A103,'Estimates'!$B$5:$B$2004,"PPS",'Estimates'!$D$5:$D$2004,'Status'!$G$6,'Estimates'!$E$5:$E$2004,'Status'!$E$7)&gt;1,"DUP",SUMIFS('Estimates'!$F$5:$F$2004,'Estimates'!$A$5:$A$2004,$A103,'Estimates'!$B$5:$B$2004,"PPS",'Estimates'!$D$5:$D$2004,'Status'!$G$6,'Estimates'!$E$5:$E$2004,'Status'!$E$7))))</x:f>
      </x:c>
      <x:c r="M103" s="14" t="str">
        <x:f>IF(COUNT(J103:L103)&lt;2,"",_xlfn.STDEV.S(J103:L103))</x:f>
      </x:c>
      <x:c r="N103" s="14" t="str">
        <x:f>IF(AND(ISNUMBER(K103),ISNUMBER(L103)),ABS(L103-K103),"")</x:f>
      </x:c>
      <x:c r="O103" s="15" t="str">
        <x:f>IF(AND(ISNUMBER(K103),ISNUMBER(L103)),IF(K103=0,"n.a.",ABS(L103-K103)/ABS(K103)),"")</x:f>
      </x:c>
      <x:c r="P103" s="2" t="str">
        <x:f>IF(COUNTA(A103)=0,"",IF(NOT(ISNUMBER('Status'!$B$6)),"Set tolerance",IF(COUNT(J103:L103)&lt;3,"Need 3 levels",IF(OR(J103=0,K103=0),"Use abs. Δ",IF(AND(ABS(K103-J103)/ABS(J103)&lt;='Status'!$B$6,O103&lt;='Status'!$B$6),"Yes","No")))))</x:f>
      </x:c>
      <x:c r="Q103" s="14" t="str">
        <x:f>IF(AND(ISNUMBER(E103),ISNUMBER(L103)),ABS(E103-L103),"")</x:f>
      </x:c>
      <x:c r="R103" s="2" t="str">
        <x:f>IF(COUNTA(A103)=0,"",IF(COUNT(C103:E103,J103:L103)&gt;0,1,0))</x:f>
      </x:c>
      <x:c r="S103" s="2" t="str">
        <x:f>IF(COUNTA(A103)=0,"",IF(COUNTIFS($A$6:$A$165,A103)&gt;1,"Duplicate target",""))</x:f>
      </x:c>
    </x:row>
    <x:row r="104">
      <x:c r="A104" s="6"/>
      <x:c r="B104" s="20"/>
      <x:c r="C104" s="14" t="str">
        <x:f>IF(OR(COUNTA($A104)=0,'Status'!$E$5=""),"",IF(COUNTIFS('Estimates'!$A$5:$A$2004,$A104,'Estimates'!$B$5:$B$2004,"MPS",'Estimates'!$C$5:$C$2004,'Status'!$E$5)=0,"",IF(COUNTIFS('Estimates'!$A$5:$A$2004,$A104,'Estimates'!$B$5:$B$2004,"MPS",'Estimates'!$C$5:$C$2004,'Status'!$E$5)&gt;1,"DUP",SUMIFS('Estimates'!$F$5:$F$2004,'Estimates'!$A$5:$A$2004,$A104,'Estimates'!$B$5:$B$2004,"MPS",'Estimates'!$C$5:$C$2004,'Status'!$E$5))))</x:f>
      </x:c>
      <x:c r="D104" s="14" t="str">
        <x:f>IF(OR(COUNTA($A104)=0,'Status'!$F$5=""),"",IF(COUNTIFS('Estimates'!$A$5:$A$2004,$A104,'Estimates'!$B$5:$B$2004,"MPS",'Estimates'!$C$5:$C$2004,'Status'!$F$5)=0,"",IF(COUNTIFS('Estimates'!$A$5:$A$2004,$A104,'Estimates'!$B$5:$B$2004,"MPS",'Estimates'!$C$5:$C$2004,'Status'!$F$5)&gt;1,"DUP",SUMIFS('Estimates'!$F$5:$F$2004,'Estimates'!$A$5:$A$2004,$A104,'Estimates'!$B$5:$B$2004,"MPS",'Estimates'!$C$5:$C$2004,'Status'!$F$5))))</x:f>
      </x:c>
      <x:c r="E104" s="14" t="str">
        <x:f>IF(OR(COUNTA($A104)=0,'Status'!$G$5=""),"",IF(COUNTIFS('Estimates'!$A$5:$A$2004,$A104,'Estimates'!$B$5:$B$2004,"MPS",'Estimates'!$C$5:$C$2004,'Status'!$G$5)=0,"",IF(COUNTIFS('Estimates'!$A$5:$A$2004,$A104,'Estimates'!$B$5:$B$2004,"MPS",'Estimates'!$C$5:$C$2004,'Status'!$G$5)&gt;1,"DUP",SUMIFS('Estimates'!$F$5:$F$2004,'Estimates'!$A$5:$A$2004,$A104,'Estimates'!$B$5:$B$2004,"MPS",'Estimates'!$C$5:$C$2004,'Status'!$G$5))))</x:f>
      </x:c>
      <x:c r="F104" s="14" t="str">
        <x:f>IF(COUNT(C104:E104)&lt;2,"",_xlfn.STDEV.S(C104:E104))</x:f>
      </x:c>
      <x:c r="G104" s="14" t="str">
        <x:f>IF(AND(ISNUMBER(D104),ISNUMBER(E104)),ABS(E104-D104),"")</x:f>
      </x:c>
      <x:c r="H104" s="15" t="str">
        <x:f>IF(AND(ISNUMBER(D104),ISNUMBER(E104)),IF(D104=0,"n.a.",ABS(E104-D104)/ABS(D104)),"")</x:f>
      </x:c>
      <x:c r="I104" s="2" t="str">
        <x:f>IF(COUNTA(A104)=0,"",IF(NOT(ISNUMBER('Status'!$B$6)),"Set tolerance",IF(COUNT(C104:E104)&lt;3,"Need 3 levels",IF(OR(C104=0,D104=0),"Use abs. Δ",IF(AND(ABS(D104-C104)/ABS(C104)&lt;='Status'!$B$6,H104&lt;='Status'!$B$6),"Yes","No")))))</x:f>
      </x:c>
      <x:c r="J104" s="14" t="str">
        <x:f>IF(OR(COUNTA($A104)=0,'Status'!$E$6=""),"",IF(COUNTIFS('Estimates'!$A$5:$A$2004,$A104,'Estimates'!$B$5:$B$2004,"PPS",'Estimates'!$D$5:$D$2004,'Status'!$E$6,'Estimates'!$E$5:$E$2004,'Status'!$E$7)=0,"",IF(COUNTIFS('Estimates'!$A$5:$A$2004,$A104,'Estimates'!$B$5:$B$2004,"PPS",'Estimates'!$D$5:$D$2004,'Status'!$E$6,'Estimates'!$E$5:$E$2004,'Status'!$E$7)&gt;1,"DUP",SUMIFS('Estimates'!$F$5:$F$2004,'Estimates'!$A$5:$A$2004,$A104,'Estimates'!$B$5:$B$2004,"PPS",'Estimates'!$D$5:$D$2004,'Status'!$E$6,'Estimates'!$E$5:$E$2004,'Status'!$E$7))))</x:f>
      </x:c>
      <x:c r="K104" s="14" t="str">
        <x:f>IF(OR(COUNTA($A104)=0,'Status'!$F$6=""),"",IF(COUNTIFS('Estimates'!$A$5:$A$2004,$A104,'Estimates'!$B$5:$B$2004,"PPS",'Estimates'!$D$5:$D$2004,'Status'!$F$6,'Estimates'!$E$5:$E$2004,'Status'!$E$7)=0,"",IF(COUNTIFS('Estimates'!$A$5:$A$2004,$A104,'Estimates'!$B$5:$B$2004,"PPS",'Estimates'!$D$5:$D$2004,'Status'!$F$6,'Estimates'!$E$5:$E$2004,'Status'!$E$7)&gt;1,"DUP",SUMIFS('Estimates'!$F$5:$F$2004,'Estimates'!$A$5:$A$2004,$A104,'Estimates'!$B$5:$B$2004,"PPS",'Estimates'!$D$5:$D$2004,'Status'!$F$6,'Estimates'!$E$5:$E$2004,'Status'!$E$7))))</x:f>
      </x:c>
      <x:c r="L104" s="14" t="str">
        <x:f>IF(OR(COUNTA($A104)=0,'Status'!$G$6=""),"",IF(COUNTIFS('Estimates'!$A$5:$A$2004,$A104,'Estimates'!$B$5:$B$2004,"PPS",'Estimates'!$D$5:$D$2004,'Status'!$G$6,'Estimates'!$E$5:$E$2004,'Status'!$E$7)=0,"",IF(COUNTIFS('Estimates'!$A$5:$A$2004,$A104,'Estimates'!$B$5:$B$2004,"PPS",'Estimates'!$D$5:$D$2004,'Status'!$G$6,'Estimates'!$E$5:$E$2004,'Status'!$E$7)&gt;1,"DUP",SUMIFS('Estimates'!$F$5:$F$2004,'Estimates'!$A$5:$A$2004,$A104,'Estimates'!$B$5:$B$2004,"PPS",'Estimates'!$D$5:$D$2004,'Status'!$G$6,'Estimates'!$E$5:$E$2004,'Status'!$E$7))))</x:f>
      </x:c>
      <x:c r="M104" s="14" t="str">
        <x:f>IF(COUNT(J104:L104)&lt;2,"",_xlfn.STDEV.S(J104:L104))</x:f>
      </x:c>
      <x:c r="N104" s="14" t="str">
        <x:f>IF(AND(ISNUMBER(K104),ISNUMBER(L104)),ABS(L104-K104),"")</x:f>
      </x:c>
      <x:c r="O104" s="15" t="str">
        <x:f>IF(AND(ISNUMBER(K104),ISNUMBER(L104)),IF(K104=0,"n.a.",ABS(L104-K104)/ABS(K104)),"")</x:f>
      </x:c>
      <x:c r="P104" s="2" t="str">
        <x:f>IF(COUNTA(A104)=0,"",IF(NOT(ISNUMBER('Status'!$B$6)),"Set tolerance",IF(COUNT(J104:L104)&lt;3,"Need 3 levels",IF(OR(J104=0,K104=0),"Use abs. Δ",IF(AND(ABS(K104-J104)/ABS(J104)&lt;='Status'!$B$6,O104&lt;='Status'!$B$6),"Yes","No")))))</x:f>
      </x:c>
      <x:c r="Q104" s="14" t="str">
        <x:f>IF(AND(ISNUMBER(E104),ISNUMBER(L104)),ABS(E104-L104),"")</x:f>
      </x:c>
      <x:c r="R104" s="2" t="str">
        <x:f>IF(COUNTA(A104)=0,"",IF(COUNT(C104:E104,J104:L104)&gt;0,1,0))</x:f>
      </x:c>
      <x:c r="S104" s="2" t="str">
        <x:f>IF(COUNTA(A104)=0,"",IF(COUNTIFS($A$6:$A$165,A104)&gt;1,"Duplicate target",""))</x:f>
      </x:c>
    </x:row>
    <x:row r="105">
      <x:c r="A105" s="6"/>
      <x:c r="B105" s="20"/>
      <x:c r="C105" s="14" t="str">
        <x:f>IF(OR(COUNTA($A105)=0,'Status'!$E$5=""),"",IF(COUNTIFS('Estimates'!$A$5:$A$2004,$A105,'Estimates'!$B$5:$B$2004,"MPS",'Estimates'!$C$5:$C$2004,'Status'!$E$5)=0,"",IF(COUNTIFS('Estimates'!$A$5:$A$2004,$A105,'Estimates'!$B$5:$B$2004,"MPS",'Estimates'!$C$5:$C$2004,'Status'!$E$5)&gt;1,"DUP",SUMIFS('Estimates'!$F$5:$F$2004,'Estimates'!$A$5:$A$2004,$A105,'Estimates'!$B$5:$B$2004,"MPS",'Estimates'!$C$5:$C$2004,'Status'!$E$5))))</x:f>
      </x:c>
      <x:c r="D105" s="14" t="str">
        <x:f>IF(OR(COUNTA($A105)=0,'Status'!$F$5=""),"",IF(COUNTIFS('Estimates'!$A$5:$A$2004,$A105,'Estimates'!$B$5:$B$2004,"MPS",'Estimates'!$C$5:$C$2004,'Status'!$F$5)=0,"",IF(COUNTIFS('Estimates'!$A$5:$A$2004,$A105,'Estimates'!$B$5:$B$2004,"MPS",'Estimates'!$C$5:$C$2004,'Status'!$F$5)&gt;1,"DUP",SUMIFS('Estimates'!$F$5:$F$2004,'Estimates'!$A$5:$A$2004,$A105,'Estimates'!$B$5:$B$2004,"MPS",'Estimates'!$C$5:$C$2004,'Status'!$F$5))))</x:f>
      </x:c>
      <x:c r="E105" s="14" t="str">
        <x:f>IF(OR(COUNTA($A105)=0,'Status'!$G$5=""),"",IF(COUNTIFS('Estimates'!$A$5:$A$2004,$A105,'Estimates'!$B$5:$B$2004,"MPS",'Estimates'!$C$5:$C$2004,'Status'!$G$5)=0,"",IF(COUNTIFS('Estimates'!$A$5:$A$2004,$A105,'Estimates'!$B$5:$B$2004,"MPS",'Estimates'!$C$5:$C$2004,'Status'!$G$5)&gt;1,"DUP",SUMIFS('Estimates'!$F$5:$F$2004,'Estimates'!$A$5:$A$2004,$A105,'Estimates'!$B$5:$B$2004,"MPS",'Estimates'!$C$5:$C$2004,'Status'!$G$5))))</x:f>
      </x:c>
      <x:c r="F105" s="14" t="str">
        <x:f>IF(COUNT(C105:E105)&lt;2,"",_xlfn.STDEV.S(C105:E105))</x:f>
      </x:c>
      <x:c r="G105" s="14" t="str">
        <x:f>IF(AND(ISNUMBER(D105),ISNUMBER(E105)),ABS(E105-D105),"")</x:f>
      </x:c>
      <x:c r="H105" s="15" t="str">
        <x:f>IF(AND(ISNUMBER(D105),ISNUMBER(E105)),IF(D105=0,"n.a.",ABS(E105-D105)/ABS(D105)),"")</x:f>
      </x:c>
      <x:c r="I105" s="2" t="str">
        <x:f>IF(COUNTA(A105)=0,"",IF(NOT(ISNUMBER('Status'!$B$6)),"Set tolerance",IF(COUNT(C105:E105)&lt;3,"Need 3 levels",IF(OR(C105=0,D105=0),"Use abs. Δ",IF(AND(ABS(D105-C105)/ABS(C105)&lt;='Status'!$B$6,H105&lt;='Status'!$B$6),"Yes","No")))))</x:f>
      </x:c>
      <x:c r="J105" s="14" t="str">
        <x:f>IF(OR(COUNTA($A105)=0,'Status'!$E$6=""),"",IF(COUNTIFS('Estimates'!$A$5:$A$2004,$A105,'Estimates'!$B$5:$B$2004,"PPS",'Estimates'!$D$5:$D$2004,'Status'!$E$6,'Estimates'!$E$5:$E$2004,'Status'!$E$7)=0,"",IF(COUNTIFS('Estimates'!$A$5:$A$2004,$A105,'Estimates'!$B$5:$B$2004,"PPS",'Estimates'!$D$5:$D$2004,'Status'!$E$6,'Estimates'!$E$5:$E$2004,'Status'!$E$7)&gt;1,"DUP",SUMIFS('Estimates'!$F$5:$F$2004,'Estimates'!$A$5:$A$2004,$A105,'Estimates'!$B$5:$B$2004,"PPS",'Estimates'!$D$5:$D$2004,'Status'!$E$6,'Estimates'!$E$5:$E$2004,'Status'!$E$7))))</x:f>
      </x:c>
      <x:c r="K105" s="14" t="str">
        <x:f>IF(OR(COUNTA($A105)=0,'Status'!$F$6=""),"",IF(COUNTIFS('Estimates'!$A$5:$A$2004,$A105,'Estimates'!$B$5:$B$2004,"PPS",'Estimates'!$D$5:$D$2004,'Status'!$F$6,'Estimates'!$E$5:$E$2004,'Status'!$E$7)=0,"",IF(COUNTIFS('Estimates'!$A$5:$A$2004,$A105,'Estimates'!$B$5:$B$2004,"PPS",'Estimates'!$D$5:$D$2004,'Status'!$F$6,'Estimates'!$E$5:$E$2004,'Status'!$E$7)&gt;1,"DUP",SUMIFS('Estimates'!$F$5:$F$2004,'Estimates'!$A$5:$A$2004,$A105,'Estimates'!$B$5:$B$2004,"PPS",'Estimates'!$D$5:$D$2004,'Status'!$F$6,'Estimates'!$E$5:$E$2004,'Status'!$E$7))))</x:f>
      </x:c>
      <x:c r="L105" s="14" t="str">
        <x:f>IF(OR(COUNTA($A105)=0,'Status'!$G$6=""),"",IF(COUNTIFS('Estimates'!$A$5:$A$2004,$A105,'Estimates'!$B$5:$B$2004,"PPS",'Estimates'!$D$5:$D$2004,'Status'!$G$6,'Estimates'!$E$5:$E$2004,'Status'!$E$7)=0,"",IF(COUNTIFS('Estimates'!$A$5:$A$2004,$A105,'Estimates'!$B$5:$B$2004,"PPS",'Estimates'!$D$5:$D$2004,'Status'!$G$6,'Estimates'!$E$5:$E$2004,'Status'!$E$7)&gt;1,"DUP",SUMIFS('Estimates'!$F$5:$F$2004,'Estimates'!$A$5:$A$2004,$A105,'Estimates'!$B$5:$B$2004,"PPS",'Estimates'!$D$5:$D$2004,'Status'!$G$6,'Estimates'!$E$5:$E$2004,'Status'!$E$7))))</x:f>
      </x:c>
      <x:c r="M105" s="14" t="str">
        <x:f>IF(COUNT(J105:L105)&lt;2,"",_xlfn.STDEV.S(J105:L105))</x:f>
      </x:c>
      <x:c r="N105" s="14" t="str">
        <x:f>IF(AND(ISNUMBER(K105),ISNUMBER(L105)),ABS(L105-K105),"")</x:f>
      </x:c>
      <x:c r="O105" s="15" t="str">
        <x:f>IF(AND(ISNUMBER(K105),ISNUMBER(L105)),IF(K105=0,"n.a.",ABS(L105-K105)/ABS(K105)),"")</x:f>
      </x:c>
      <x:c r="P105" s="2" t="str">
        <x:f>IF(COUNTA(A105)=0,"",IF(NOT(ISNUMBER('Status'!$B$6)),"Set tolerance",IF(COUNT(J105:L105)&lt;3,"Need 3 levels",IF(OR(J105=0,K105=0),"Use abs. Δ",IF(AND(ABS(K105-J105)/ABS(J105)&lt;='Status'!$B$6,O105&lt;='Status'!$B$6),"Yes","No")))))</x:f>
      </x:c>
      <x:c r="Q105" s="14" t="str">
        <x:f>IF(AND(ISNUMBER(E105),ISNUMBER(L105)),ABS(E105-L105),"")</x:f>
      </x:c>
      <x:c r="R105" s="2" t="str">
        <x:f>IF(COUNTA(A105)=0,"",IF(COUNT(C105:E105,J105:L105)&gt;0,1,0))</x:f>
      </x:c>
      <x:c r="S105" s="2" t="str">
        <x:f>IF(COUNTA(A105)=0,"",IF(COUNTIFS($A$6:$A$165,A105)&gt;1,"Duplicate target",""))</x:f>
      </x:c>
    </x:row>
    <x:row r="106">
      <x:c r="A106" s="6"/>
      <x:c r="B106" s="20"/>
      <x:c r="C106" s="14" t="str">
        <x:f>IF(OR(COUNTA($A106)=0,'Status'!$E$5=""),"",IF(COUNTIFS('Estimates'!$A$5:$A$2004,$A106,'Estimates'!$B$5:$B$2004,"MPS",'Estimates'!$C$5:$C$2004,'Status'!$E$5)=0,"",IF(COUNTIFS('Estimates'!$A$5:$A$2004,$A106,'Estimates'!$B$5:$B$2004,"MPS",'Estimates'!$C$5:$C$2004,'Status'!$E$5)&gt;1,"DUP",SUMIFS('Estimates'!$F$5:$F$2004,'Estimates'!$A$5:$A$2004,$A106,'Estimates'!$B$5:$B$2004,"MPS",'Estimates'!$C$5:$C$2004,'Status'!$E$5))))</x:f>
      </x:c>
      <x:c r="D106" s="14" t="str">
        <x:f>IF(OR(COUNTA($A106)=0,'Status'!$F$5=""),"",IF(COUNTIFS('Estimates'!$A$5:$A$2004,$A106,'Estimates'!$B$5:$B$2004,"MPS",'Estimates'!$C$5:$C$2004,'Status'!$F$5)=0,"",IF(COUNTIFS('Estimates'!$A$5:$A$2004,$A106,'Estimates'!$B$5:$B$2004,"MPS",'Estimates'!$C$5:$C$2004,'Status'!$F$5)&gt;1,"DUP",SUMIFS('Estimates'!$F$5:$F$2004,'Estimates'!$A$5:$A$2004,$A106,'Estimates'!$B$5:$B$2004,"MPS",'Estimates'!$C$5:$C$2004,'Status'!$F$5))))</x:f>
      </x:c>
      <x:c r="E106" s="14" t="str">
        <x:f>IF(OR(COUNTA($A106)=0,'Status'!$G$5=""),"",IF(COUNTIFS('Estimates'!$A$5:$A$2004,$A106,'Estimates'!$B$5:$B$2004,"MPS",'Estimates'!$C$5:$C$2004,'Status'!$G$5)=0,"",IF(COUNTIFS('Estimates'!$A$5:$A$2004,$A106,'Estimates'!$B$5:$B$2004,"MPS",'Estimates'!$C$5:$C$2004,'Status'!$G$5)&gt;1,"DUP",SUMIFS('Estimates'!$F$5:$F$2004,'Estimates'!$A$5:$A$2004,$A106,'Estimates'!$B$5:$B$2004,"MPS",'Estimates'!$C$5:$C$2004,'Status'!$G$5))))</x:f>
      </x:c>
      <x:c r="F106" s="14" t="str">
        <x:f>IF(COUNT(C106:E106)&lt;2,"",_xlfn.STDEV.S(C106:E106))</x:f>
      </x:c>
      <x:c r="G106" s="14" t="str">
        <x:f>IF(AND(ISNUMBER(D106),ISNUMBER(E106)),ABS(E106-D106),"")</x:f>
      </x:c>
      <x:c r="H106" s="15" t="str">
        <x:f>IF(AND(ISNUMBER(D106),ISNUMBER(E106)),IF(D106=0,"n.a.",ABS(E106-D106)/ABS(D106)),"")</x:f>
      </x:c>
      <x:c r="I106" s="2" t="str">
        <x:f>IF(COUNTA(A106)=0,"",IF(NOT(ISNUMBER('Status'!$B$6)),"Set tolerance",IF(COUNT(C106:E106)&lt;3,"Need 3 levels",IF(OR(C106=0,D106=0),"Use abs. Δ",IF(AND(ABS(D106-C106)/ABS(C106)&lt;='Status'!$B$6,H106&lt;='Status'!$B$6),"Yes","No")))))</x:f>
      </x:c>
      <x:c r="J106" s="14" t="str">
        <x:f>IF(OR(COUNTA($A106)=0,'Status'!$E$6=""),"",IF(COUNTIFS('Estimates'!$A$5:$A$2004,$A106,'Estimates'!$B$5:$B$2004,"PPS",'Estimates'!$D$5:$D$2004,'Status'!$E$6,'Estimates'!$E$5:$E$2004,'Status'!$E$7)=0,"",IF(COUNTIFS('Estimates'!$A$5:$A$2004,$A106,'Estimates'!$B$5:$B$2004,"PPS",'Estimates'!$D$5:$D$2004,'Status'!$E$6,'Estimates'!$E$5:$E$2004,'Status'!$E$7)&gt;1,"DUP",SUMIFS('Estimates'!$F$5:$F$2004,'Estimates'!$A$5:$A$2004,$A106,'Estimates'!$B$5:$B$2004,"PPS",'Estimates'!$D$5:$D$2004,'Status'!$E$6,'Estimates'!$E$5:$E$2004,'Status'!$E$7))))</x:f>
      </x:c>
      <x:c r="K106" s="14" t="str">
        <x:f>IF(OR(COUNTA($A106)=0,'Status'!$F$6=""),"",IF(COUNTIFS('Estimates'!$A$5:$A$2004,$A106,'Estimates'!$B$5:$B$2004,"PPS",'Estimates'!$D$5:$D$2004,'Status'!$F$6,'Estimates'!$E$5:$E$2004,'Status'!$E$7)=0,"",IF(COUNTIFS('Estimates'!$A$5:$A$2004,$A106,'Estimates'!$B$5:$B$2004,"PPS",'Estimates'!$D$5:$D$2004,'Status'!$F$6,'Estimates'!$E$5:$E$2004,'Status'!$E$7)&gt;1,"DUP",SUMIFS('Estimates'!$F$5:$F$2004,'Estimates'!$A$5:$A$2004,$A106,'Estimates'!$B$5:$B$2004,"PPS",'Estimates'!$D$5:$D$2004,'Status'!$F$6,'Estimates'!$E$5:$E$2004,'Status'!$E$7))))</x:f>
      </x:c>
      <x:c r="L106" s="14" t="str">
        <x:f>IF(OR(COUNTA($A106)=0,'Status'!$G$6=""),"",IF(COUNTIFS('Estimates'!$A$5:$A$2004,$A106,'Estimates'!$B$5:$B$2004,"PPS",'Estimates'!$D$5:$D$2004,'Status'!$G$6,'Estimates'!$E$5:$E$2004,'Status'!$E$7)=0,"",IF(COUNTIFS('Estimates'!$A$5:$A$2004,$A106,'Estimates'!$B$5:$B$2004,"PPS",'Estimates'!$D$5:$D$2004,'Status'!$G$6,'Estimates'!$E$5:$E$2004,'Status'!$E$7)&gt;1,"DUP",SUMIFS('Estimates'!$F$5:$F$2004,'Estimates'!$A$5:$A$2004,$A106,'Estimates'!$B$5:$B$2004,"PPS",'Estimates'!$D$5:$D$2004,'Status'!$G$6,'Estimates'!$E$5:$E$2004,'Status'!$E$7))))</x:f>
      </x:c>
      <x:c r="M106" s="14" t="str">
        <x:f>IF(COUNT(J106:L106)&lt;2,"",_xlfn.STDEV.S(J106:L106))</x:f>
      </x:c>
      <x:c r="N106" s="14" t="str">
        <x:f>IF(AND(ISNUMBER(K106),ISNUMBER(L106)),ABS(L106-K106),"")</x:f>
      </x:c>
      <x:c r="O106" s="15" t="str">
        <x:f>IF(AND(ISNUMBER(K106),ISNUMBER(L106)),IF(K106=0,"n.a.",ABS(L106-K106)/ABS(K106)),"")</x:f>
      </x:c>
      <x:c r="P106" s="2" t="str">
        <x:f>IF(COUNTA(A106)=0,"",IF(NOT(ISNUMBER('Status'!$B$6)),"Set tolerance",IF(COUNT(J106:L106)&lt;3,"Need 3 levels",IF(OR(J106=0,K106=0),"Use abs. Δ",IF(AND(ABS(K106-J106)/ABS(J106)&lt;='Status'!$B$6,O106&lt;='Status'!$B$6),"Yes","No")))))</x:f>
      </x:c>
      <x:c r="Q106" s="14" t="str">
        <x:f>IF(AND(ISNUMBER(E106),ISNUMBER(L106)),ABS(E106-L106),"")</x:f>
      </x:c>
      <x:c r="R106" s="2" t="str">
        <x:f>IF(COUNTA(A106)=0,"",IF(COUNT(C106:E106,J106:L106)&gt;0,1,0))</x:f>
      </x:c>
      <x:c r="S106" s="2" t="str">
        <x:f>IF(COUNTA(A106)=0,"",IF(COUNTIFS($A$6:$A$165,A106)&gt;1,"Duplicate target",""))</x:f>
      </x:c>
    </x:row>
    <x:row r="107">
      <x:c r="A107" s="6"/>
      <x:c r="B107" s="20"/>
      <x:c r="C107" s="14" t="str">
        <x:f>IF(OR(COUNTA($A107)=0,'Status'!$E$5=""),"",IF(COUNTIFS('Estimates'!$A$5:$A$2004,$A107,'Estimates'!$B$5:$B$2004,"MPS",'Estimates'!$C$5:$C$2004,'Status'!$E$5)=0,"",IF(COUNTIFS('Estimates'!$A$5:$A$2004,$A107,'Estimates'!$B$5:$B$2004,"MPS",'Estimates'!$C$5:$C$2004,'Status'!$E$5)&gt;1,"DUP",SUMIFS('Estimates'!$F$5:$F$2004,'Estimates'!$A$5:$A$2004,$A107,'Estimates'!$B$5:$B$2004,"MPS",'Estimates'!$C$5:$C$2004,'Status'!$E$5))))</x:f>
      </x:c>
      <x:c r="D107" s="14" t="str">
        <x:f>IF(OR(COUNTA($A107)=0,'Status'!$F$5=""),"",IF(COUNTIFS('Estimates'!$A$5:$A$2004,$A107,'Estimates'!$B$5:$B$2004,"MPS",'Estimates'!$C$5:$C$2004,'Status'!$F$5)=0,"",IF(COUNTIFS('Estimates'!$A$5:$A$2004,$A107,'Estimates'!$B$5:$B$2004,"MPS",'Estimates'!$C$5:$C$2004,'Status'!$F$5)&gt;1,"DUP",SUMIFS('Estimates'!$F$5:$F$2004,'Estimates'!$A$5:$A$2004,$A107,'Estimates'!$B$5:$B$2004,"MPS",'Estimates'!$C$5:$C$2004,'Status'!$F$5))))</x:f>
      </x:c>
      <x:c r="E107" s="14" t="str">
        <x:f>IF(OR(COUNTA($A107)=0,'Status'!$G$5=""),"",IF(COUNTIFS('Estimates'!$A$5:$A$2004,$A107,'Estimates'!$B$5:$B$2004,"MPS",'Estimates'!$C$5:$C$2004,'Status'!$G$5)=0,"",IF(COUNTIFS('Estimates'!$A$5:$A$2004,$A107,'Estimates'!$B$5:$B$2004,"MPS",'Estimates'!$C$5:$C$2004,'Status'!$G$5)&gt;1,"DUP",SUMIFS('Estimates'!$F$5:$F$2004,'Estimates'!$A$5:$A$2004,$A107,'Estimates'!$B$5:$B$2004,"MPS",'Estimates'!$C$5:$C$2004,'Status'!$G$5))))</x:f>
      </x:c>
      <x:c r="F107" s="14" t="str">
        <x:f>IF(COUNT(C107:E107)&lt;2,"",_xlfn.STDEV.S(C107:E107))</x:f>
      </x:c>
      <x:c r="G107" s="14" t="str">
        <x:f>IF(AND(ISNUMBER(D107),ISNUMBER(E107)),ABS(E107-D107),"")</x:f>
      </x:c>
      <x:c r="H107" s="15" t="str">
        <x:f>IF(AND(ISNUMBER(D107),ISNUMBER(E107)),IF(D107=0,"n.a.",ABS(E107-D107)/ABS(D107)),"")</x:f>
      </x:c>
      <x:c r="I107" s="2" t="str">
        <x:f>IF(COUNTA(A107)=0,"",IF(NOT(ISNUMBER('Status'!$B$6)),"Set tolerance",IF(COUNT(C107:E107)&lt;3,"Need 3 levels",IF(OR(C107=0,D107=0),"Use abs. Δ",IF(AND(ABS(D107-C107)/ABS(C107)&lt;='Status'!$B$6,H107&lt;='Status'!$B$6),"Yes","No")))))</x:f>
      </x:c>
      <x:c r="J107" s="14" t="str">
        <x:f>IF(OR(COUNTA($A107)=0,'Status'!$E$6=""),"",IF(COUNTIFS('Estimates'!$A$5:$A$2004,$A107,'Estimates'!$B$5:$B$2004,"PPS",'Estimates'!$D$5:$D$2004,'Status'!$E$6,'Estimates'!$E$5:$E$2004,'Status'!$E$7)=0,"",IF(COUNTIFS('Estimates'!$A$5:$A$2004,$A107,'Estimates'!$B$5:$B$2004,"PPS",'Estimates'!$D$5:$D$2004,'Status'!$E$6,'Estimates'!$E$5:$E$2004,'Status'!$E$7)&gt;1,"DUP",SUMIFS('Estimates'!$F$5:$F$2004,'Estimates'!$A$5:$A$2004,$A107,'Estimates'!$B$5:$B$2004,"PPS",'Estimates'!$D$5:$D$2004,'Status'!$E$6,'Estimates'!$E$5:$E$2004,'Status'!$E$7))))</x:f>
      </x:c>
      <x:c r="K107" s="14" t="str">
        <x:f>IF(OR(COUNTA($A107)=0,'Status'!$F$6=""),"",IF(COUNTIFS('Estimates'!$A$5:$A$2004,$A107,'Estimates'!$B$5:$B$2004,"PPS",'Estimates'!$D$5:$D$2004,'Status'!$F$6,'Estimates'!$E$5:$E$2004,'Status'!$E$7)=0,"",IF(COUNTIFS('Estimates'!$A$5:$A$2004,$A107,'Estimates'!$B$5:$B$2004,"PPS",'Estimates'!$D$5:$D$2004,'Status'!$F$6,'Estimates'!$E$5:$E$2004,'Status'!$E$7)&gt;1,"DUP",SUMIFS('Estimates'!$F$5:$F$2004,'Estimates'!$A$5:$A$2004,$A107,'Estimates'!$B$5:$B$2004,"PPS",'Estimates'!$D$5:$D$2004,'Status'!$F$6,'Estimates'!$E$5:$E$2004,'Status'!$E$7))))</x:f>
      </x:c>
      <x:c r="L107" s="14" t="str">
        <x:f>IF(OR(COUNTA($A107)=0,'Status'!$G$6=""),"",IF(COUNTIFS('Estimates'!$A$5:$A$2004,$A107,'Estimates'!$B$5:$B$2004,"PPS",'Estimates'!$D$5:$D$2004,'Status'!$G$6,'Estimates'!$E$5:$E$2004,'Status'!$E$7)=0,"",IF(COUNTIFS('Estimates'!$A$5:$A$2004,$A107,'Estimates'!$B$5:$B$2004,"PPS",'Estimates'!$D$5:$D$2004,'Status'!$G$6,'Estimates'!$E$5:$E$2004,'Status'!$E$7)&gt;1,"DUP",SUMIFS('Estimates'!$F$5:$F$2004,'Estimates'!$A$5:$A$2004,$A107,'Estimates'!$B$5:$B$2004,"PPS",'Estimates'!$D$5:$D$2004,'Status'!$G$6,'Estimates'!$E$5:$E$2004,'Status'!$E$7))))</x:f>
      </x:c>
      <x:c r="M107" s="14" t="str">
        <x:f>IF(COUNT(J107:L107)&lt;2,"",_xlfn.STDEV.S(J107:L107))</x:f>
      </x:c>
      <x:c r="N107" s="14" t="str">
        <x:f>IF(AND(ISNUMBER(K107),ISNUMBER(L107)),ABS(L107-K107),"")</x:f>
      </x:c>
      <x:c r="O107" s="15" t="str">
        <x:f>IF(AND(ISNUMBER(K107),ISNUMBER(L107)),IF(K107=0,"n.a.",ABS(L107-K107)/ABS(K107)),"")</x:f>
      </x:c>
      <x:c r="P107" s="2" t="str">
        <x:f>IF(COUNTA(A107)=0,"",IF(NOT(ISNUMBER('Status'!$B$6)),"Set tolerance",IF(COUNT(J107:L107)&lt;3,"Need 3 levels",IF(OR(J107=0,K107=0),"Use abs. Δ",IF(AND(ABS(K107-J107)/ABS(J107)&lt;='Status'!$B$6,O107&lt;='Status'!$B$6),"Yes","No")))))</x:f>
      </x:c>
      <x:c r="Q107" s="14" t="str">
        <x:f>IF(AND(ISNUMBER(E107),ISNUMBER(L107)),ABS(E107-L107),"")</x:f>
      </x:c>
      <x:c r="R107" s="2" t="str">
        <x:f>IF(COUNTA(A107)=0,"",IF(COUNT(C107:E107,J107:L107)&gt;0,1,0))</x:f>
      </x:c>
      <x:c r="S107" s="2" t="str">
        <x:f>IF(COUNTA(A107)=0,"",IF(COUNTIFS($A$6:$A$165,A107)&gt;1,"Duplicate target",""))</x:f>
      </x:c>
    </x:row>
    <x:row r="108">
      <x:c r="A108" s="6"/>
      <x:c r="B108" s="20"/>
      <x:c r="C108" s="14" t="str">
        <x:f>IF(OR(COUNTA($A108)=0,'Status'!$E$5=""),"",IF(COUNTIFS('Estimates'!$A$5:$A$2004,$A108,'Estimates'!$B$5:$B$2004,"MPS",'Estimates'!$C$5:$C$2004,'Status'!$E$5)=0,"",IF(COUNTIFS('Estimates'!$A$5:$A$2004,$A108,'Estimates'!$B$5:$B$2004,"MPS",'Estimates'!$C$5:$C$2004,'Status'!$E$5)&gt;1,"DUP",SUMIFS('Estimates'!$F$5:$F$2004,'Estimates'!$A$5:$A$2004,$A108,'Estimates'!$B$5:$B$2004,"MPS",'Estimates'!$C$5:$C$2004,'Status'!$E$5))))</x:f>
      </x:c>
      <x:c r="D108" s="14" t="str">
        <x:f>IF(OR(COUNTA($A108)=0,'Status'!$F$5=""),"",IF(COUNTIFS('Estimates'!$A$5:$A$2004,$A108,'Estimates'!$B$5:$B$2004,"MPS",'Estimates'!$C$5:$C$2004,'Status'!$F$5)=0,"",IF(COUNTIFS('Estimates'!$A$5:$A$2004,$A108,'Estimates'!$B$5:$B$2004,"MPS",'Estimates'!$C$5:$C$2004,'Status'!$F$5)&gt;1,"DUP",SUMIFS('Estimates'!$F$5:$F$2004,'Estimates'!$A$5:$A$2004,$A108,'Estimates'!$B$5:$B$2004,"MPS",'Estimates'!$C$5:$C$2004,'Status'!$F$5))))</x:f>
      </x:c>
      <x:c r="E108" s="14" t="str">
        <x:f>IF(OR(COUNTA($A108)=0,'Status'!$G$5=""),"",IF(COUNTIFS('Estimates'!$A$5:$A$2004,$A108,'Estimates'!$B$5:$B$2004,"MPS",'Estimates'!$C$5:$C$2004,'Status'!$G$5)=0,"",IF(COUNTIFS('Estimates'!$A$5:$A$2004,$A108,'Estimates'!$B$5:$B$2004,"MPS",'Estimates'!$C$5:$C$2004,'Status'!$G$5)&gt;1,"DUP",SUMIFS('Estimates'!$F$5:$F$2004,'Estimates'!$A$5:$A$2004,$A108,'Estimates'!$B$5:$B$2004,"MPS",'Estimates'!$C$5:$C$2004,'Status'!$G$5))))</x:f>
      </x:c>
      <x:c r="F108" s="14" t="str">
        <x:f>IF(COUNT(C108:E108)&lt;2,"",_xlfn.STDEV.S(C108:E108))</x:f>
      </x:c>
      <x:c r="G108" s="14" t="str">
        <x:f>IF(AND(ISNUMBER(D108),ISNUMBER(E108)),ABS(E108-D108),"")</x:f>
      </x:c>
      <x:c r="H108" s="15" t="str">
        <x:f>IF(AND(ISNUMBER(D108),ISNUMBER(E108)),IF(D108=0,"n.a.",ABS(E108-D108)/ABS(D108)),"")</x:f>
      </x:c>
      <x:c r="I108" s="2" t="str">
        <x:f>IF(COUNTA(A108)=0,"",IF(NOT(ISNUMBER('Status'!$B$6)),"Set tolerance",IF(COUNT(C108:E108)&lt;3,"Need 3 levels",IF(OR(C108=0,D108=0),"Use abs. Δ",IF(AND(ABS(D108-C108)/ABS(C108)&lt;='Status'!$B$6,H108&lt;='Status'!$B$6),"Yes","No")))))</x:f>
      </x:c>
      <x:c r="J108" s="14" t="str">
        <x:f>IF(OR(COUNTA($A108)=0,'Status'!$E$6=""),"",IF(COUNTIFS('Estimates'!$A$5:$A$2004,$A108,'Estimates'!$B$5:$B$2004,"PPS",'Estimates'!$D$5:$D$2004,'Status'!$E$6,'Estimates'!$E$5:$E$2004,'Status'!$E$7)=0,"",IF(COUNTIFS('Estimates'!$A$5:$A$2004,$A108,'Estimates'!$B$5:$B$2004,"PPS",'Estimates'!$D$5:$D$2004,'Status'!$E$6,'Estimates'!$E$5:$E$2004,'Status'!$E$7)&gt;1,"DUP",SUMIFS('Estimates'!$F$5:$F$2004,'Estimates'!$A$5:$A$2004,$A108,'Estimates'!$B$5:$B$2004,"PPS",'Estimates'!$D$5:$D$2004,'Status'!$E$6,'Estimates'!$E$5:$E$2004,'Status'!$E$7))))</x:f>
      </x:c>
      <x:c r="K108" s="14" t="str">
        <x:f>IF(OR(COUNTA($A108)=0,'Status'!$F$6=""),"",IF(COUNTIFS('Estimates'!$A$5:$A$2004,$A108,'Estimates'!$B$5:$B$2004,"PPS",'Estimates'!$D$5:$D$2004,'Status'!$F$6,'Estimates'!$E$5:$E$2004,'Status'!$E$7)=0,"",IF(COUNTIFS('Estimates'!$A$5:$A$2004,$A108,'Estimates'!$B$5:$B$2004,"PPS",'Estimates'!$D$5:$D$2004,'Status'!$F$6,'Estimates'!$E$5:$E$2004,'Status'!$E$7)&gt;1,"DUP",SUMIFS('Estimates'!$F$5:$F$2004,'Estimates'!$A$5:$A$2004,$A108,'Estimates'!$B$5:$B$2004,"PPS",'Estimates'!$D$5:$D$2004,'Status'!$F$6,'Estimates'!$E$5:$E$2004,'Status'!$E$7))))</x:f>
      </x:c>
      <x:c r="L108" s="14" t="str">
        <x:f>IF(OR(COUNTA($A108)=0,'Status'!$G$6=""),"",IF(COUNTIFS('Estimates'!$A$5:$A$2004,$A108,'Estimates'!$B$5:$B$2004,"PPS",'Estimates'!$D$5:$D$2004,'Status'!$G$6,'Estimates'!$E$5:$E$2004,'Status'!$E$7)=0,"",IF(COUNTIFS('Estimates'!$A$5:$A$2004,$A108,'Estimates'!$B$5:$B$2004,"PPS",'Estimates'!$D$5:$D$2004,'Status'!$G$6,'Estimates'!$E$5:$E$2004,'Status'!$E$7)&gt;1,"DUP",SUMIFS('Estimates'!$F$5:$F$2004,'Estimates'!$A$5:$A$2004,$A108,'Estimates'!$B$5:$B$2004,"PPS",'Estimates'!$D$5:$D$2004,'Status'!$G$6,'Estimates'!$E$5:$E$2004,'Status'!$E$7))))</x:f>
      </x:c>
      <x:c r="M108" s="14" t="str">
        <x:f>IF(COUNT(J108:L108)&lt;2,"",_xlfn.STDEV.S(J108:L108))</x:f>
      </x:c>
      <x:c r="N108" s="14" t="str">
        <x:f>IF(AND(ISNUMBER(K108),ISNUMBER(L108)),ABS(L108-K108),"")</x:f>
      </x:c>
      <x:c r="O108" s="15" t="str">
        <x:f>IF(AND(ISNUMBER(K108),ISNUMBER(L108)),IF(K108=0,"n.a.",ABS(L108-K108)/ABS(K108)),"")</x:f>
      </x:c>
      <x:c r="P108" s="2" t="str">
        <x:f>IF(COUNTA(A108)=0,"",IF(NOT(ISNUMBER('Status'!$B$6)),"Set tolerance",IF(COUNT(J108:L108)&lt;3,"Need 3 levels",IF(OR(J108=0,K108=0),"Use abs. Δ",IF(AND(ABS(K108-J108)/ABS(J108)&lt;='Status'!$B$6,O108&lt;='Status'!$B$6),"Yes","No")))))</x:f>
      </x:c>
      <x:c r="Q108" s="14" t="str">
        <x:f>IF(AND(ISNUMBER(E108),ISNUMBER(L108)),ABS(E108-L108),"")</x:f>
      </x:c>
      <x:c r="R108" s="2" t="str">
        <x:f>IF(COUNTA(A108)=0,"",IF(COUNT(C108:E108,J108:L108)&gt;0,1,0))</x:f>
      </x:c>
      <x:c r="S108" s="2" t="str">
        <x:f>IF(COUNTA(A108)=0,"",IF(COUNTIFS($A$6:$A$165,A108)&gt;1,"Duplicate target",""))</x:f>
      </x:c>
    </x:row>
    <x:row r="109">
      <x:c r="A109" s="6"/>
      <x:c r="B109" s="20"/>
      <x:c r="C109" s="14" t="str">
        <x:f>IF(OR(COUNTA($A109)=0,'Status'!$E$5=""),"",IF(COUNTIFS('Estimates'!$A$5:$A$2004,$A109,'Estimates'!$B$5:$B$2004,"MPS",'Estimates'!$C$5:$C$2004,'Status'!$E$5)=0,"",IF(COUNTIFS('Estimates'!$A$5:$A$2004,$A109,'Estimates'!$B$5:$B$2004,"MPS",'Estimates'!$C$5:$C$2004,'Status'!$E$5)&gt;1,"DUP",SUMIFS('Estimates'!$F$5:$F$2004,'Estimates'!$A$5:$A$2004,$A109,'Estimates'!$B$5:$B$2004,"MPS",'Estimates'!$C$5:$C$2004,'Status'!$E$5))))</x:f>
      </x:c>
      <x:c r="D109" s="14" t="str">
        <x:f>IF(OR(COUNTA($A109)=0,'Status'!$F$5=""),"",IF(COUNTIFS('Estimates'!$A$5:$A$2004,$A109,'Estimates'!$B$5:$B$2004,"MPS",'Estimates'!$C$5:$C$2004,'Status'!$F$5)=0,"",IF(COUNTIFS('Estimates'!$A$5:$A$2004,$A109,'Estimates'!$B$5:$B$2004,"MPS",'Estimates'!$C$5:$C$2004,'Status'!$F$5)&gt;1,"DUP",SUMIFS('Estimates'!$F$5:$F$2004,'Estimates'!$A$5:$A$2004,$A109,'Estimates'!$B$5:$B$2004,"MPS",'Estimates'!$C$5:$C$2004,'Status'!$F$5))))</x:f>
      </x:c>
      <x:c r="E109" s="14" t="str">
        <x:f>IF(OR(COUNTA($A109)=0,'Status'!$G$5=""),"",IF(COUNTIFS('Estimates'!$A$5:$A$2004,$A109,'Estimates'!$B$5:$B$2004,"MPS",'Estimates'!$C$5:$C$2004,'Status'!$G$5)=0,"",IF(COUNTIFS('Estimates'!$A$5:$A$2004,$A109,'Estimates'!$B$5:$B$2004,"MPS",'Estimates'!$C$5:$C$2004,'Status'!$G$5)&gt;1,"DUP",SUMIFS('Estimates'!$F$5:$F$2004,'Estimates'!$A$5:$A$2004,$A109,'Estimates'!$B$5:$B$2004,"MPS",'Estimates'!$C$5:$C$2004,'Status'!$G$5))))</x:f>
      </x:c>
      <x:c r="F109" s="14" t="str">
        <x:f>IF(COUNT(C109:E109)&lt;2,"",_xlfn.STDEV.S(C109:E109))</x:f>
      </x:c>
      <x:c r="G109" s="14" t="str">
        <x:f>IF(AND(ISNUMBER(D109),ISNUMBER(E109)),ABS(E109-D109),"")</x:f>
      </x:c>
      <x:c r="H109" s="15" t="str">
        <x:f>IF(AND(ISNUMBER(D109),ISNUMBER(E109)),IF(D109=0,"n.a.",ABS(E109-D109)/ABS(D109)),"")</x:f>
      </x:c>
      <x:c r="I109" s="2" t="str">
        <x:f>IF(COUNTA(A109)=0,"",IF(NOT(ISNUMBER('Status'!$B$6)),"Set tolerance",IF(COUNT(C109:E109)&lt;3,"Need 3 levels",IF(OR(C109=0,D109=0),"Use abs. Δ",IF(AND(ABS(D109-C109)/ABS(C109)&lt;='Status'!$B$6,H109&lt;='Status'!$B$6),"Yes","No")))))</x:f>
      </x:c>
      <x:c r="J109" s="14" t="str">
        <x:f>IF(OR(COUNTA($A109)=0,'Status'!$E$6=""),"",IF(COUNTIFS('Estimates'!$A$5:$A$2004,$A109,'Estimates'!$B$5:$B$2004,"PPS",'Estimates'!$D$5:$D$2004,'Status'!$E$6,'Estimates'!$E$5:$E$2004,'Status'!$E$7)=0,"",IF(COUNTIFS('Estimates'!$A$5:$A$2004,$A109,'Estimates'!$B$5:$B$2004,"PPS",'Estimates'!$D$5:$D$2004,'Status'!$E$6,'Estimates'!$E$5:$E$2004,'Status'!$E$7)&gt;1,"DUP",SUMIFS('Estimates'!$F$5:$F$2004,'Estimates'!$A$5:$A$2004,$A109,'Estimates'!$B$5:$B$2004,"PPS",'Estimates'!$D$5:$D$2004,'Status'!$E$6,'Estimates'!$E$5:$E$2004,'Status'!$E$7))))</x:f>
      </x:c>
      <x:c r="K109" s="14" t="str">
        <x:f>IF(OR(COUNTA($A109)=0,'Status'!$F$6=""),"",IF(COUNTIFS('Estimates'!$A$5:$A$2004,$A109,'Estimates'!$B$5:$B$2004,"PPS",'Estimates'!$D$5:$D$2004,'Status'!$F$6,'Estimates'!$E$5:$E$2004,'Status'!$E$7)=0,"",IF(COUNTIFS('Estimates'!$A$5:$A$2004,$A109,'Estimates'!$B$5:$B$2004,"PPS",'Estimates'!$D$5:$D$2004,'Status'!$F$6,'Estimates'!$E$5:$E$2004,'Status'!$E$7)&gt;1,"DUP",SUMIFS('Estimates'!$F$5:$F$2004,'Estimates'!$A$5:$A$2004,$A109,'Estimates'!$B$5:$B$2004,"PPS",'Estimates'!$D$5:$D$2004,'Status'!$F$6,'Estimates'!$E$5:$E$2004,'Status'!$E$7))))</x:f>
      </x:c>
      <x:c r="L109" s="14" t="str">
        <x:f>IF(OR(COUNTA($A109)=0,'Status'!$G$6=""),"",IF(COUNTIFS('Estimates'!$A$5:$A$2004,$A109,'Estimates'!$B$5:$B$2004,"PPS",'Estimates'!$D$5:$D$2004,'Status'!$G$6,'Estimates'!$E$5:$E$2004,'Status'!$E$7)=0,"",IF(COUNTIFS('Estimates'!$A$5:$A$2004,$A109,'Estimates'!$B$5:$B$2004,"PPS",'Estimates'!$D$5:$D$2004,'Status'!$G$6,'Estimates'!$E$5:$E$2004,'Status'!$E$7)&gt;1,"DUP",SUMIFS('Estimates'!$F$5:$F$2004,'Estimates'!$A$5:$A$2004,$A109,'Estimates'!$B$5:$B$2004,"PPS",'Estimates'!$D$5:$D$2004,'Status'!$G$6,'Estimates'!$E$5:$E$2004,'Status'!$E$7))))</x:f>
      </x:c>
      <x:c r="M109" s="14" t="str">
        <x:f>IF(COUNT(J109:L109)&lt;2,"",_xlfn.STDEV.S(J109:L109))</x:f>
      </x:c>
      <x:c r="N109" s="14" t="str">
        <x:f>IF(AND(ISNUMBER(K109),ISNUMBER(L109)),ABS(L109-K109),"")</x:f>
      </x:c>
      <x:c r="O109" s="15" t="str">
        <x:f>IF(AND(ISNUMBER(K109),ISNUMBER(L109)),IF(K109=0,"n.a.",ABS(L109-K109)/ABS(K109)),"")</x:f>
      </x:c>
      <x:c r="P109" s="2" t="str">
        <x:f>IF(COUNTA(A109)=0,"",IF(NOT(ISNUMBER('Status'!$B$6)),"Set tolerance",IF(COUNT(J109:L109)&lt;3,"Need 3 levels",IF(OR(J109=0,K109=0),"Use abs. Δ",IF(AND(ABS(K109-J109)/ABS(J109)&lt;='Status'!$B$6,O109&lt;='Status'!$B$6),"Yes","No")))))</x:f>
      </x:c>
      <x:c r="Q109" s="14" t="str">
        <x:f>IF(AND(ISNUMBER(E109),ISNUMBER(L109)),ABS(E109-L109),"")</x:f>
      </x:c>
      <x:c r="R109" s="2" t="str">
        <x:f>IF(COUNTA(A109)=0,"",IF(COUNT(C109:E109,J109:L109)&gt;0,1,0))</x:f>
      </x:c>
      <x:c r="S109" s="2" t="str">
        <x:f>IF(COUNTA(A109)=0,"",IF(COUNTIFS($A$6:$A$165,A109)&gt;1,"Duplicate target",""))</x:f>
      </x:c>
    </x:row>
    <x:row r="110">
      <x:c r="A110" s="6"/>
      <x:c r="B110" s="20"/>
      <x:c r="C110" s="14" t="str">
        <x:f>IF(OR(COUNTA($A110)=0,'Status'!$E$5=""),"",IF(COUNTIFS('Estimates'!$A$5:$A$2004,$A110,'Estimates'!$B$5:$B$2004,"MPS",'Estimates'!$C$5:$C$2004,'Status'!$E$5)=0,"",IF(COUNTIFS('Estimates'!$A$5:$A$2004,$A110,'Estimates'!$B$5:$B$2004,"MPS",'Estimates'!$C$5:$C$2004,'Status'!$E$5)&gt;1,"DUP",SUMIFS('Estimates'!$F$5:$F$2004,'Estimates'!$A$5:$A$2004,$A110,'Estimates'!$B$5:$B$2004,"MPS",'Estimates'!$C$5:$C$2004,'Status'!$E$5))))</x:f>
      </x:c>
      <x:c r="D110" s="14" t="str">
        <x:f>IF(OR(COUNTA($A110)=0,'Status'!$F$5=""),"",IF(COUNTIFS('Estimates'!$A$5:$A$2004,$A110,'Estimates'!$B$5:$B$2004,"MPS",'Estimates'!$C$5:$C$2004,'Status'!$F$5)=0,"",IF(COUNTIFS('Estimates'!$A$5:$A$2004,$A110,'Estimates'!$B$5:$B$2004,"MPS",'Estimates'!$C$5:$C$2004,'Status'!$F$5)&gt;1,"DUP",SUMIFS('Estimates'!$F$5:$F$2004,'Estimates'!$A$5:$A$2004,$A110,'Estimates'!$B$5:$B$2004,"MPS",'Estimates'!$C$5:$C$2004,'Status'!$F$5))))</x:f>
      </x:c>
      <x:c r="E110" s="14" t="str">
        <x:f>IF(OR(COUNTA($A110)=0,'Status'!$G$5=""),"",IF(COUNTIFS('Estimates'!$A$5:$A$2004,$A110,'Estimates'!$B$5:$B$2004,"MPS",'Estimates'!$C$5:$C$2004,'Status'!$G$5)=0,"",IF(COUNTIFS('Estimates'!$A$5:$A$2004,$A110,'Estimates'!$B$5:$B$2004,"MPS",'Estimates'!$C$5:$C$2004,'Status'!$G$5)&gt;1,"DUP",SUMIFS('Estimates'!$F$5:$F$2004,'Estimates'!$A$5:$A$2004,$A110,'Estimates'!$B$5:$B$2004,"MPS",'Estimates'!$C$5:$C$2004,'Status'!$G$5))))</x:f>
      </x:c>
      <x:c r="F110" s="14" t="str">
        <x:f>IF(COUNT(C110:E110)&lt;2,"",_xlfn.STDEV.S(C110:E110))</x:f>
      </x:c>
      <x:c r="G110" s="14" t="str">
        <x:f>IF(AND(ISNUMBER(D110),ISNUMBER(E110)),ABS(E110-D110),"")</x:f>
      </x:c>
      <x:c r="H110" s="15" t="str">
        <x:f>IF(AND(ISNUMBER(D110),ISNUMBER(E110)),IF(D110=0,"n.a.",ABS(E110-D110)/ABS(D110)),"")</x:f>
      </x:c>
      <x:c r="I110" s="2" t="str">
        <x:f>IF(COUNTA(A110)=0,"",IF(NOT(ISNUMBER('Status'!$B$6)),"Set tolerance",IF(COUNT(C110:E110)&lt;3,"Need 3 levels",IF(OR(C110=0,D110=0),"Use abs. Δ",IF(AND(ABS(D110-C110)/ABS(C110)&lt;='Status'!$B$6,H110&lt;='Status'!$B$6),"Yes","No")))))</x:f>
      </x:c>
      <x:c r="J110" s="14" t="str">
        <x:f>IF(OR(COUNTA($A110)=0,'Status'!$E$6=""),"",IF(COUNTIFS('Estimates'!$A$5:$A$2004,$A110,'Estimates'!$B$5:$B$2004,"PPS",'Estimates'!$D$5:$D$2004,'Status'!$E$6,'Estimates'!$E$5:$E$2004,'Status'!$E$7)=0,"",IF(COUNTIFS('Estimates'!$A$5:$A$2004,$A110,'Estimates'!$B$5:$B$2004,"PPS",'Estimates'!$D$5:$D$2004,'Status'!$E$6,'Estimates'!$E$5:$E$2004,'Status'!$E$7)&gt;1,"DUP",SUMIFS('Estimates'!$F$5:$F$2004,'Estimates'!$A$5:$A$2004,$A110,'Estimates'!$B$5:$B$2004,"PPS",'Estimates'!$D$5:$D$2004,'Status'!$E$6,'Estimates'!$E$5:$E$2004,'Status'!$E$7))))</x:f>
      </x:c>
      <x:c r="K110" s="14" t="str">
        <x:f>IF(OR(COUNTA($A110)=0,'Status'!$F$6=""),"",IF(COUNTIFS('Estimates'!$A$5:$A$2004,$A110,'Estimates'!$B$5:$B$2004,"PPS",'Estimates'!$D$5:$D$2004,'Status'!$F$6,'Estimates'!$E$5:$E$2004,'Status'!$E$7)=0,"",IF(COUNTIFS('Estimates'!$A$5:$A$2004,$A110,'Estimates'!$B$5:$B$2004,"PPS",'Estimates'!$D$5:$D$2004,'Status'!$F$6,'Estimates'!$E$5:$E$2004,'Status'!$E$7)&gt;1,"DUP",SUMIFS('Estimates'!$F$5:$F$2004,'Estimates'!$A$5:$A$2004,$A110,'Estimates'!$B$5:$B$2004,"PPS",'Estimates'!$D$5:$D$2004,'Status'!$F$6,'Estimates'!$E$5:$E$2004,'Status'!$E$7))))</x:f>
      </x:c>
      <x:c r="L110" s="14" t="str">
        <x:f>IF(OR(COUNTA($A110)=0,'Status'!$G$6=""),"",IF(COUNTIFS('Estimates'!$A$5:$A$2004,$A110,'Estimates'!$B$5:$B$2004,"PPS",'Estimates'!$D$5:$D$2004,'Status'!$G$6,'Estimates'!$E$5:$E$2004,'Status'!$E$7)=0,"",IF(COUNTIFS('Estimates'!$A$5:$A$2004,$A110,'Estimates'!$B$5:$B$2004,"PPS",'Estimates'!$D$5:$D$2004,'Status'!$G$6,'Estimates'!$E$5:$E$2004,'Status'!$E$7)&gt;1,"DUP",SUMIFS('Estimates'!$F$5:$F$2004,'Estimates'!$A$5:$A$2004,$A110,'Estimates'!$B$5:$B$2004,"PPS",'Estimates'!$D$5:$D$2004,'Status'!$G$6,'Estimates'!$E$5:$E$2004,'Status'!$E$7))))</x:f>
      </x:c>
      <x:c r="M110" s="14" t="str">
        <x:f>IF(COUNT(J110:L110)&lt;2,"",_xlfn.STDEV.S(J110:L110))</x:f>
      </x:c>
      <x:c r="N110" s="14" t="str">
        <x:f>IF(AND(ISNUMBER(K110),ISNUMBER(L110)),ABS(L110-K110),"")</x:f>
      </x:c>
      <x:c r="O110" s="15" t="str">
        <x:f>IF(AND(ISNUMBER(K110),ISNUMBER(L110)),IF(K110=0,"n.a.",ABS(L110-K110)/ABS(K110)),"")</x:f>
      </x:c>
      <x:c r="P110" s="2" t="str">
        <x:f>IF(COUNTA(A110)=0,"",IF(NOT(ISNUMBER('Status'!$B$6)),"Set tolerance",IF(COUNT(J110:L110)&lt;3,"Need 3 levels",IF(OR(J110=0,K110=0),"Use abs. Δ",IF(AND(ABS(K110-J110)/ABS(J110)&lt;='Status'!$B$6,O110&lt;='Status'!$B$6),"Yes","No")))))</x:f>
      </x:c>
      <x:c r="Q110" s="14" t="str">
        <x:f>IF(AND(ISNUMBER(E110),ISNUMBER(L110)),ABS(E110-L110),"")</x:f>
      </x:c>
      <x:c r="R110" s="2" t="str">
        <x:f>IF(COUNTA(A110)=0,"",IF(COUNT(C110:E110,J110:L110)&gt;0,1,0))</x:f>
      </x:c>
      <x:c r="S110" s="2" t="str">
        <x:f>IF(COUNTA(A110)=0,"",IF(COUNTIFS($A$6:$A$165,A110)&gt;1,"Duplicate target",""))</x:f>
      </x:c>
    </x:row>
    <x:row r="111">
      <x:c r="A111" s="6"/>
      <x:c r="B111" s="20"/>
      <x:c r="C111" s="14" t="str">
        <x:f>IF(OR(COUNTA($A111)=0,'Status'!$E$5=""),"",IF(COUNTIFS('Estimates'!$A$5:$A$2004,$A111,'Estimates'!$B$5:$B$2004,"MPS",'Estimates'!$C$5:$C$2004,'Status'!$E$5)=0,"",IF(COUNTIFS('Estimates'!$A$5:$A$2004,$A111,'Estimates'!$B$5:$B$2004,"MPS",'Estimates'!$C$5:$C$2004,'Status'!$E$5)&gt;1,"DUP",SUMIFS('Estimates'!$F$5:$F$2004,'Estimates'!$A$5:$A$2004,$A111,'Estimates'!$B$5:$B$2004,"MPS",'Estimates'!$C$5:$C$2004,'Status'!$E$5))))</x:f>
      </x:c>
      <x:c r="D111" s="14" t="str">
        <x:f>IF(OR(COUNTA($A111)=0,'Status'!$F$5=""),"",IF(COUNTIFS('Estimates'!$A$5:$A$2004,$A111,'Estimates'!$B$5:$B$2004,"MPS",'Estimates'!$C$5:$C$2004,'Status'!$F$5)=0,"",IF(COUNTIFS('Estimates'!$A$5:$A$2004,$A111,'Estimates'!$B$5:$B$2004,"MPS",'Estimates'!$C$5:$C$2004,'Status'!$F$5)&gt;1,"DUP",SUMIFS('Estimates'!$F$5:$F$2004,'Estimates'!$A$5:$A$2004,$A111,'Estimates'!$B$5:$B$2004,"MPS",'Estimates'!$C$5:$C$2004,'Status'!$F$5))))</x:f>
      </x:c>
      <x:c r="E111" s="14" t="str">
        <x:f>IF(OR(COUNTA($A111)=0,'Status'!$G$5=""),"",IF(COUNTIFS('Estimates'!$A$5:$A$2004,$A111,'Estimates'!$B$5:$B$2004,"MPS",'Estimates'!$C$5:$C$2004,'Status'!$G$5)=0,"",IF(COUNTIFS('Estimates'!$A$5:$A$2004,$A111,'Estimates'!$B$5:$B$2004,"MPS",'Estimates'!$C$5:$C$2004,'Status'!$G$5)&gt;1,"DUP",SUMIFS('Estimates'!$F$5:$F$2004,'Estimates'!$A$5:$A$2004,$A111,'Estimates'!$B$5:$B$2004,"MPS",'Estimates'!$C$5:$C$2004,'Status'!$G$5))))</x:f>
      </x:c>
      <x:c r="F111" s="14" t="str">
        <x:f>IF(COUNT(C111:E111)&lt;2,"",_xlfn.STDEV.S(C111:E111))</x:f>
      </x:c>
      <x:c r="G111" s="14" t="str">
        <x:f>IF(AND(ISNUMBER(D111),ISNUMBER(E111)),ABS(E111-D111),"")</x:f>
      </x:c>
      <x:c r="H111" s="15" t="str">
        <x:f>IF(AND(ISNUMBER(D111),ISNUMBER(E111)),IF(D111=0,"n.a.",ABS(E111-D111)/ABS(D111)),"")</x:f>
      </x:c>
      <x:c r="I111" s="2" t="str">
        <x:f>IF(COUNTA(A111)=0,"",IF(NOT(ISNUMBER('Status'!$B$6)),"Set tolerance",IF(COUNT(C111:E111)&lt;3,"Need 3 levels",IF(OR(C111=0,D111=0),"Use abs. Δ",IF(AND(ABS(D111-C111)/ABS(C111)&lt;='Status'!$B$6,H111&lt;='Status'!$B$6),"Yes","No")))))</x:f>
      </x:c>
      <x:c r="J111" s="14" t="str">
        <x:f>IF(OR(COUNTA($A111)=0,'Status'!$E$6=""),"",IF(COUNTIFS('Estimates'!$A$5:$A$2004,$A111,'Estimates'!$B$5:$B$2004,"PPS",'Estimates'!$D$5:$D$2004,'Status'!$E$6,'Estimates'!$E$5:$E$2004,'Status'!$E$7)=0,"",IF(COUNTIFS('Estimates'!$A$5:$A$2004,$A111,'Estimates'!$B$5:$B$2004,"PPS",'Estimates'!$D$5:$D$2004,'Status'!$E$6,'Estimates'!$E$5:$E$2004,'Status'!$E$7)&gt;1,"DUP",SUMIFS('Estimates'!$F$5:$F$2004,'Estimates'!$A$5:$A$2004,$A111,'Estimates'!$B$5:$B$2004,"PPS",'Estimates'!$D$5:$D$2004,'Status'!$E$6,'Estimates'!$E$5:$E$2004,'Status'!$E$7))))</x:f>
      </x:c>
      <x:c r="K111" s="14" t="str">
        <x:f>IF(OR(COUNTA($A111)=0,'Status'!$F$6=""),"",IF(COUNTIFS('Estimates'!$A$5:$A$2004,$A111,'Estimates'!$B$5:$B$2004,"PPS",'Estimates'!$D$5:$D$2004,'Status'!$F$6,'Estimates'!$E$5:$E$2004,'Status'!$E$7)=0,"",IF(COUNTIFS('Estimates'!$A$5:$A$2004,$A111,'Estimates'!$B$5:$B$2004,"PPS",'Estimates'!$D$5:$D$2004,'Status'!$F$6,'Estimates'!$E$5:$E$2004,'Status'!$E$7)&gt;1,"DUP",SUMIFS('Estimates'!$F$5:$F$2004,'Estimates'!$A$5:$A$2004,$A111,'Estimates'!$B$5:$B$2004,"PPS",'Estimates'!$D$5:$D$2004,'Status'!$F$6,'Estimates'!$E$5:$E$2004,'Status'!$E$7))))</x:f>
      </x:c>
      <x:c r="L111" s="14" t="str">
        <x:f>IF(OR(COUNTA($A111)=0,'Status'!$G$6=""),"",IF(COUNTIFS('Estimates'!$A$5:$A$2004,$A111,'Estimates'!$B$5:$B$2004,"PPS",'Estimates'!$D$5:$D$2004,'Status'!$G$6,'Estimates'!$E$5:$E$2004,'Status'!$E$7)=0,"",IF(COUNTIFS('Estimates'!$A$5:$A$2004,$A111,'Estimates'!$B$5:$B$2004,"PPS",'Estimates'!$D$5:$D$2004,'Status'!$G$6,'Estimates'!$E$5:$E$2004,'Status'!$E$7)&gt;1,"DUP",SUMIFS('Estimates'!$F$5:$F$2004,'Estimates'!$A$5:$A$2004,$A111,'Estimates'!$B$5:$B$2004,"PPS",'Estimates'!$D$5:$D$2004,'Status'!$G$6,'Estimates'!$E$5:$E$2004,'Status'!$E$7))))</x:f>
      </x:c>
      <x:c r="M111" s="14" t="str">
        <x:f>IF(COUNT(J111:L111)&lt;2,"",_xlfn.STDEV.S(J111:L111))</x:f>
      </x:c>
      <x:c r="N111" s="14" t="str">
        <x:f>IF(AND(ISNUMBER(K111),ISNUMBER(L111)),ABS(L111-K111),"")</x:f>
      </x:c>
      <x:c r="O111" s="15" t="str">
        <x:f>IF(AND(ISNUMBER(K111),ISNUMBER(L111)),IF(K111=0,"n.a.",ABS(L111-K111)/ABS(K111)),"")</x:f>
      </x:c>
      <x:c r="P111" s="2" t="str">
        <x:f>IF(COUNTA(A111)=0,"",IF(NOT(ISNUMBER('Status'!$B$6)),"Set tolerance",IF(COUNT(J111:L111)&lt;3,"Need 3 levels",IF(OR(J111=0,K111=0),"Use abs. Δ",IF(AND(ABS(K111-J111)/ABS(J111)&lt;='Status'!$B$6,O111&lt;='Status'!$B$6),"Yes","No")))))</x:f>
      </x:c>
      <x:c r="Q111" s="14" t="str">
        <x:f>IF(AND(ISNUMBER(E111),ISNUMBER(L111)),ABS(E111-L111),"")</x:f>
      </x:c>
      <x:c r="R111" s="2" t="str">
        <x:f>IF(COUNTA(A111)=0,"",IF(COUNT(C111:E111,J111:L111)&gt;0,1,0))</x:f>
      </x:c>
      <x:c r="S111" s="2" t="str">
        <x:f>IF(COUNTA(A111)=0,"",IF(COUNTIFS($A$6:$A$165,A111)&gt;1,"Duplicate target",""))</x:f>
      </x:c>
    </x:row>
    <x:row r="112">
      <x:c r="A112" s="6"/>
      <x:c r="B112" s="20"/>
      <x:c r="C112" s="14" t="str">
        <x:f>IF(OR(COUNTA($A112)=0,'Status'!$E$5=""),"",IF(COUNTIFS('Estimates'!$A$5:$A$2004,$A112,'Estimates'!$B$5:$B$2004,"MPS",'Estimates'!$C$5:$C$2004,'Status'!$E$5)=0,"",IF(COUNTIFS('Estimates'!$A$5:$A$2004,$A112,'Estimates'!$B$5:$B$2004,"MPS",'Estimates'!$C$5:$C$2004,'Status'!$E$5)&gt;1,"DUP",SUMIFS('Estimates'!$F$5:$F$2004,'Estimates'!$A$5:$A$2004,$A112,'Estimates'!$B$5:$B$2004,"MPS",'Estimates'!$C$5:$C$2004,'Status'!$E$5))))</x:f>
      </x:c>
      <x:c r="D112" s="14" t="str">
        <x:f>IF(OR(COUNTA($A112)=0,'Status'!$F$5=""),"",IF(COUNTIFS('Estimates'!$A$5:$A$2004,$A112,'Estimates'!$B$5:$B$2004,"MPS",'Estimates'!$C$5:$C$2004,'Status'!$F$5)=0,"",IF(COUNTIFS('Estimates'!$A$5:$A$2004,$A112,'Estimates'!$B$5:$B$2004,"MPS",'Estimates'!$C$5:$C$2004,'Status'!$F$5)&gt;1,"DUP",SUMIFS('Estimates'!$F$5:$F$2004,'Estimates'!$A$5:$A$2004,$A112,'Estimates'!$B$5:$B$2004,"MPS",'Estimates'!$C$5:$C$2004,'Status'!$F$5))))</x:f>
      </x:c>
      <x:c r="E112" s="14" t="str">
        <x:f>IF(OR(COUNTA($A112)=0,'Status'!$G$5=""),"",IF(COUNTIFS('Estimates'!$A$5:$A$2004,$A112,'Estimates'!$B$5:$B$2004,"MPS",'Estimates'!$C$5:$C$2004,'Status'!$G$5)=0,"",IF(COUNTIFS('Estimates'!$A$5:$A$2004,$A112,'Estimates'!$B$5:$B$2004,"MPS",'Estimates'!$C$5:$C$2004,'Status'!$G$5)&gt;1,"DUP",SUMIFS('Estimates'!$F$5:$F$2004,'Estimates'!$A$5:$A$2004,$A112,'Estimates'!$B$5:$B$2004,"MPS",'Estimates'!$C$5:$C$2004,'Status'!$G$5))))</x:f>
      </x:c>
      <x:c r="F112" s="14" t="str">
        <x:f>IF(COUNT(C112:E112)&lt;2,"",_xlfn.STDEV.S(C112:E112))</x:f>
      </x:c>
      <x:c r="G112" s="14" t="str">
        <x:f>IF(AND(ISNUMBER(D112),ISNUMBER(E112)),ABS(E112-D112),"")</x:f>
      </x:c>
      <x:c r="H112" s="15" t="str">
        <x:f>IF(AND(ISNUMBER(D112),ISNUMBER(E112)),IF(D112=0,"n.a.",ABS(E112-D112)/ABS(D112)),"")</x:f>
      </x:c>
      <x:c r="I112" s="2" t="str">
        <x:f>IF(COUNTA(A112)=0,"",IF(NOT(ISNUMBER('Status'!$B$6)),"Set tolerance",IF(COUNT(C112:E112)&lt;3,"Need 3 levels",IF(OR(C112=0,D112=0),"Use abs. Δ",IF(AND(ABS(D112-C112)/ABS(C112)&lt;='Status'!$B$6,H112&lt;='Status'!$B$6),"Yes","No")))))</x:f>
      </x:c>
      <x:c r="J112" s="14" t="str">
        <x:f>IF(OR(COUNTA($A112)=0,'Status'!$E$6=""),"",IF(COUNTIFS('Estimates'!$A$5:$A$2004,$A112,'Estimates'!$B$5:$B$2004,"PPS",'Estimates'!$D$5:$D$2004,'Status'!$E$6,'Estimates'!$E$5:$E$2004,'Status'!$E$7)=0,"",IF(COUNTIFS('Estimates'!$A$5:$A$2004,$A112,'Estimates'!$B$5:$B$2004,"PPS",'Estimates'!$D$5:$D$2004,'Status'!$E$6,'Estimates'!$E$5:$E$2004,'Status'!$E$7)&gt;1,"DUP",SUMIFS('Estimates'!$F$5:$F$2004,'Estimates'!$A$5:$A$2004,$A112,'Estimates'!$B$5:$B$2004,"PPS",'Estimates'!$D$5:$D$2004,'Status'!$E$6,'Estimates'!$E$5:$E$2004,'Status'!$E$7))))</x:f>
      </x:c>
      <x:c r="K112" s="14" t="str">
        <x:f>IF(OR(COUNTA($A112)=0,'Status'!$F$6=""),"",IF(COUNTIFS('Estimates'!$A$5:$A$2004,$A112,'Estimates'!$B$5:$B$2004,"PPS",'Estimates'!$D$5:$D$2004,'Status'!$F$6,'Estimates'!$E$5:$E$2004,'Status'!$E$7)=0,"",IF(COUNTIFS('Estimates'!$A$5:$A$2004,$A112,'Estimates'!$B$5:$B$2004,"PPS",'Estimates'!$D$5:$D$2004,'Status'!$F$6,'Estimates'!$E$5:$E$2004,'Status'!$E$7)&gt;1,"DUP",SUMIFS('Estimates'!$F$5:$F$2004,'Estimates'!$A$5:$A$2004,$A112,'Estimates'!$B$5:$B$2004,"PPS",'Estimates'!$D$5:$D$2004,'Status'!$F$6,'Estimates'!$E$5:$E$2004,'Status'!$E$7))))</x:f>
      </x:c>
      <x:c r="L112" s="14" t="str">
        <x:f>IF(OR(COUNTA($A112)=0,'Status'!$G$6=""),"",IF(COUNTIFS('Estimates'!$A$5:$A$2004,$A112,'Estimates'!$B$5:$B$2004,"PPS",'Estimates'!$D$5:$D$2004,'Status'!$G$6,'Estimates'!$E$5:$E$2004,'Status'!$E$7)=0,"",IF(COUNTIFS('Estimates'!$A$5:$A$2004,$A112,'Estimates'!$B$5:$B$2004,"PPS",'Estimates'!$D$5:$D$2004,'Status'!$G$6,'Estimates'!$E$5:$E$2004,'Status'!$E$7)&gt;1,"DUP",SUMIFS('Estimates'!$F$5:$F$2004,'Estimates'!$A$5:$A$2004,$A112,'Estimates'!$B$5:$B$2004,"PPS",'Estimates'!$D$5:$D$2004,'Status'!$G$6,'Estimates'!$E$5:$E$2004,'Status'!$E$7))))</x:f>
      </x:c>
      <x:c r="M112" s="14" t="str">
        <x:f>IF(COUNT(J112:L112)&lt;2,"",_xlfn.STDEV.S(J112:L112))</x:f>
      </x:c>
      <x:c r="N112" s="14" t="str">
        <x:f>IF(AND(ISNUMBER(K112),ISNUMBER(L112)),ABS(L112-K112),"")</x:f>
      </x:c>
      <x:c r="O112" s="15" t="str">
        <x:f>IF(AND(ISNUMBER(K112),ISNUMBER(L112)),IF(K112=0,"n.a.",ABS(L112-K112)/ABS(K112)),"")</x:f>
      </x:c>
      <x:c r="P112" s="2" t="str">
        <x:f>IF(COUNTA(A112)=0,"",IF(NOT(ISNUMBER('Status'!$B$6)),"Set tolerance",IF(COUNT(J112:L112)&lt;3,"Need 3 levels",IF(OR(J112=0,K112=0),"Use abs. Δ",IF(AND(ABS(K112-J112)/ABS(J112)&lt;='Status'!$B$6,O112&lt;='Status'!$B$6),"Yes","No")))))</x:f>
      </x:c>
      <x:c r="Q112" s="14" t="str">
        <x:f>IF(AND(ISNUMBER(E112),ISNUMBER(L112)),ABS(E112-L112),"")</x:f>
      </x:c>
      <x:c r="R112" s="2" t="str">
        <x:f>IF(COUNTA(A112)=0,"",IF(COUNT(C112:E112,J112:L112)&gt;0,1,0))</x:f>
      </x:c>
      <x:c r="S112" s="2" t="str">
        <x:f>IF(COUNTA(A112)=0,"",IF(COUNTIFS($A$6:$A$165,A112)&gt;1,"Duplicate target",""))</x:f>
      </x:c>
    </x:row>
    <x:row r="113">
      <x:c r="A113" s="6"/>
      <x:c r="B113" s="20"/>
      <x:c r="C113" s="14" t="str">
        <x:f>IF(OR(COUNTA($A113)=0,'Status'!$E$5=""),"",IF(COUNTIFS('Estimates'!$A$5:$A$2004,$A113,'Estimates'!$B$5:$B$2004,"MPS",'Estimates'!$C$5:$C$2004,'Status'!$E$5)=0,"",IF(COUNTIFS('Estimates'!$A$5:$A$2004,$A113,'Estimates'!$B$5:$B$2004,"MPS",'Estimates'!$C$5:$C$2004,'Status'!$E$5)&gt;1,"DUP",SUMIFS('Estimates'!$F$5:$F$2004,'Estimates'!$A$5:$A$2004,$A113,'Estimates'!$B$5:$B$2004,"MPS",'Estimates'!$C$5:$C$2004,'Status'!$E$5))))</x:f>
      </x:c>
      <x:c r="D113" s="14" t="str">
        <x:f>IF(OR(COUNTA($A113)=0,'Status'!$F$5=""),"",IF(COUNTIFS('Estimates'!$A$5:$A$2004,$A113,'Estimates'!$B$5:$B$2004,"MPS",'Estimates'!$C$5:$C$2004,'Status'!$F$5)=0,"",IF(COUNTIFS('Estimates'!$A$5:$A$2004,$A113,'Estimates'!$B$5:$B$2004,"MPS",'Estimates'!$C$5:$C$2004,'Status'!$F$5)&gt;1,"DUP",SUMIFS('Estimates'!$F$5:$F$2004,'Estimates'!$A$5:$A$2004,$A113,'Estimates'!$B$5:$B$2004,"MPS",'Estimates'!$C$5:$C$2004,'Status'!$F$5))))</x:f>
      </x:c>
      <x:c r="E113" s="14" t="str">
        <x:f>IF(OR(COUNTA($A113)=0,'Status'!$G$5=""),"",IF(COUNTIFS('Estimates'!$A$5:$A$2004,$A113,'Estimates'!$B$5:$B$2004,"MPS",'Estimates'!$C$5:$C$2004,'Status'!$G$5)=0,"",IF(COUNTIFS('Estimates'!$A$5:$A$2004,$A113,'Estimates'!$B$5:$B$2004,"MPS",'Estimates'!$C$5:$C$2004,'Status'!$G$5)&gt;1,"DUP",SUMIFS('Estimates'!$F$5:$F$2004,'Estimates'!$A$5:$A$2004,$A113,'Estimates'!$B$5:$B$2004,"MPS",'Estimates'!$C$5:$C$2004,'Status'!$G$5))))</x:f>
      </x:c>
      <x:c r="F113" s="14" t="str">
        <x:f>IF(COUNT(C113:E113)&lt;2,"",_xlfn.STDEV.S(C113:E113))</x:f>
      </x:c>
      <x:c r="G113" s="14" t="str">
        <x:f>IF(AND(ISNUMBER(D113),ISNUMBER(E113)),ABS(E113-D113),"")</x:f>
      </x:c>
      <x:c r="H113" s="15" t="str">
        <x:f>IF(AND(ISNUMBER(D113),ISNUMBER(E113)),IF(D113=0,"n.a.",ABS(E113-D113)/ABS(D113)),"")</x:f>
      </x:c>
      <x:c r="I113" s="2" t="str">
        <x:f>IF(COUNTA(A113)=0,"",IF(NOT(ISNUMBER('Status'!$B$6)),"Set tolerance",IF(COUNT(C113:E113)&lt;3,"Need 3 levels",IF(OR(C113=0,D113=0),"Use abs. Δ",IF(AND(ABS(D113-C113)/ABS(C113)&lt;='Status'!$B$6,H113&lt;='Status'!$B$6),"Yes","No")))))</x:f>
      </x:c>
      <x:c r="J113" s="14" t="str">
        <x:f>IF(OR(COUNTA($A113)=0,'Status'!$E$6=""),"",IF(COUNTIFS('Estimates'!$A$5:$A$2004,$A113,'Estimates'!$B$5:$B$2004,"PPS",'Estimates'!$D$5:$D$2004,'Status'!$E$6,'Estimates'!$E$5:$E$2004,'Status'!$E$7)=0,"",IF(COUNTIFS('Estimates'!$A$5:$A$2004,$A113,'Estimates'!$B$5:$B$2004,"PPS",'Estimates'!$D$5:$D$2004,'Status'!$E$6,'Estimates'!$E$5:$E$2004,'Status'!$E$7)&gt;1,"DUP",SUMIFS('Estimates'!$F$5:$F$2004,'Estimates'!$A$5:$A$2004,$A113,'Estimates'!$B$5:$B$2004,"PPS",'Estimates'!$D$5:$D$2004,'Status'!$E$6,'Estimates'!$E$5:$E$2004,'Status'!$E$7))))</x:f>
      </x:c>
      <x:c r="K113" s="14" t="str">
        <x:f>IF(OR(COUNTA($A113)=0,'Status'!$F$6=""),"",IF(COUNTIFS('Estimates'!$A$5:$A$2004,$A113,'Estimates'!$B$5:$B$2004,"PPS",'Estimates'!$D$5:$D$2004,'Status'!$F$6,'Estimates'!$E$5:$E$2004,'Status'!$E$7)=0,"",IF(COUNTIFS('Estimates'!$A$5:$A$2004,$A113,'Estimates'!$B$5:$B$2004,"PPS",'Estimates'!$D$5:$D$2004,'Status'!$F$6,'Estimates'!$E$5:$E$2004,'Status'!$E$7)&gt;1,"DUP",SUMIFS('Estimates'!$F$5:$F$2004,'Estimates'!$A$5:$A$2004,$A113,'Estimates'!$B$5:$B$2004,"PPS",'Estimates'!$D$5:$D$2004,'Status'!$F$6,'Estimates'!$E$5:$E$2004,'Status'!$E$7))))</x:f>
      </x:c>
      <x:c r="L113" s="14" t="str">
        <x:f>IF(OR(COUNTA($A113)=0,'Status'!$G$6=""),"",IF(COUNTIFS('Estimates'!$A$5:$A$2004,$A113,'Estimates'!$B$5:$B$2004,"PPS",'Estimates'!$D$5:$D$2004,'Status'!$G$6,'Estimates'!$E$5:$E$2004,'Status'!$E$7)=0,"",IF(COUNTIFS('Estimates'!$A$5:$A$2004,$A113,'Estimates'!$B$5:$B$2004,"PPS",'Estimates'!$D$5:$D$2004,'Status'!$G$6,'Estimates'!$E$5:$E$2004,'Status'!$E$7)&gt;1,"DUP",SUMIFS('Estimates'!$F$5:$F$2004,'Estimates'!$A$5:$A$2004,$A113,'Estimates'!$B$5:$B$2004,"PPS",'Estimates'!$D$5:$D$2004,'Status'!$G$6,'Estimates'!$E$5:$E$2004,'Status'!$E$7))))</x:f>
      </x:c>
      <x:c r="M113" s="14" t="str">
        <x:f>IF(COUNT(J113:L113)&lt;2,"",_xlfn.STDEV.S(J113:L113))</x:f>
      </x:c>
      <x:c r="N113" s="14" t="str">
        <x:f>IF(AND(ISNUMBER(K113),ISNUMBER(L113)),ABS(L113-K113),"")</x:f>
      </x:c>
      <x:c r="O113" s="15" t="str">
        <x:f>IF(AND(ISNUMBER(K113),ISNUMBER(L113)),IF(K113=0,"n.a.",ABS(L113-K113)/ABS(K113)),"")</x:f>
      </x:c>
      <x:c r="P113" s="2" t="str">
        <x:f>IF(COUNTA(A113)=0,"",IF(NOT(ISNUMBER('Status'!$B$6)),"Set tolerance",IF(COUNT(J113:L113)&lt;3,"Need 3 levels",IF(OR(J113=0,K113=0),"Use abs. Δ",IF(AND(ABS(K113-J113)/ABS(J113)&lt;='Status'!$B$6,O113&lt;='Status'!$B$6),"Yes","No")))))</x:f>
      </x:c>
      <x:c r="Q113" s="14" t="str">
        <x:f>IF(AND(ISNUMBER(E113),ISNUMBER(L113)),ABS(E113-L113),"")</x:f>
      </x:c>
      <x:c r="R113" s="2" t="str">
        <x:f>IF(COUNTA(A113)=0,"",IF(COUNT(C113:E113,J113:L113)&gt;0,1,0))</x:f>
      </x:c>
      <x:c r="S113" s="2" t="str">
        <x:f>IF(COUNTA(A113)=0,"",IF(COUNTIFS($A$6:$A$165,A113)&gt;1,"Duplicate target",""))</x:f>
      </x:c>
    </x:row>
    <x:row r="114">
      <x:c r="A114" s="6"/>
      <x:c r="B114" s="20"/>
      <x:c r="C114" s="14" t="str">
        <x:f>IF(OR(COUNTA($A114)=0,'Status'!$E$5=""),"",IF(COUNTIFS('Estimates'!$A$5:$A$2004,$A114,'Estimates'!$B$5:$B$2004,"MPS",'Estimates'!$C$5:$C$2004,'Status'!$E$5)=0,"",IF(COUNTIFS('Estimates'!$A$5:$A$2004,$A114,'Estimates'!$B$5:$B$2004,"MPS",'Estimates'!$C$5:$C$2004,'Status'!$E$5)&gt;1,"DUP",SUMIFS('Estimates'!$F$5:$F$2004,'Estimates'!$A$5:$A$2004,$A114,'Estimates'!$B$5:$B$2004,"MPS",'Estimates'!$C$5:$C$2004,'Status'!$E$5))))</x:f>
      </x:c>
      <x:c r="D114" s="14" t="str">
        <x:f>IF(OR(COUNTA($A114)=0,'Status'!$F$5=""),"",IF(COUNTIFS('Estimates'!$A$5:$A$2004,$A114,'Estimates'!$B$5:$B$2004,"MPS",'Estimates'!$C$5:$C$2004,'Status'!$F$5)=0,"",IF(COUNTIFS('Estimates'!$A$5:$A$2004,$A114,'Estimates'!$B$5:$B$2004,"MPS",'Estimates'!$C$5:$C$2004,'Status'!$F$5)&gt;1,"DUP",SUMIFS('Estimates'!$F$5:$F$2004,'Estimates'!$A$5:$A$2004,$A114,'Estimates'!$B$5:$B$2004,"MPS",'Estimates'!$C$5:$C$2004,'Status'!$F$5))))</x:f>
      </x:c>
      <x:c r="E114" s="14" t="str">
        <x:f>IF(OR(COUNTA($A114)=0,'Status'!$G$5=""),"",IF(COUNTIFS('Estimates'!$A$5:$A$2004,$A114,'Estimates'!$B$5:$B$2004,"MPS",'Estimates'!$C$5:$C$2004,'Status'!$G$5)=0,"",IF(COUNTIFS('Estimates'!$A$5:$A$2004,$A114,'Estimates'!$B$5:$B$2004,"MPS",'Estimates'!$C$5:$C$2004,'Status'!$G$5)&gt;1,"DUP",SUMIFS('Estimates'!$F$5:$F$2004,'Estimates'!$A$5:$A$2004,$A114,'Estimates'!$B$5:$B$2004,"MPS",'Estimates'!$C$5:$C$2004,'Status'!$G$5))))</x:f>
      </x:c>
      <x:c r="F114" s="14" t="str">
        <x:f>IF(COUNT(C114:E114)&lt;2,"",_xlfn.STDEV.S(C114:E114))</x:f>
      </x:c>
      <x:c r="G114" s="14" t="str">
        <x:f>IF(AND(ISNUMBER(D114),ISNUMBER(E114)),ABS(E114-D114),"")</x:f>
      </x:c>
      <x:c r="H114" s="15" t="str">
        <x:f>IF(AND(ISNUMBER(D114),ISNUMBER(E114)),IF(D114=0,"n.a.",ABS(E114-D114)/ABS(D114)),"")</x:f>
      </x:c>
      <x:c r="I114" s="2" t="str">
        <x:f>IF(COUNTA(A114)=0,"",IF(NOT(ISNUMBER('Status'!$B$6)),"Set tolerance",IF(COUNT(C114:E114)&lt;3,"Need 3 levels",IF(OR(C114=0,D114=0),"Use abs. Δ",IF(AND(ABS(D114-C114)/ABS(C114)&lt;='Status'!$B$6,H114&lt;='Status'!$B$6),"Yes","No")))))</x:f>
      </x:c>
      <x:c r="J114" s="14" t="str">
        <x:f>IF(OR(COUNTA($A114)=0,'Status'!$E$6=""),"",IF(COUNTIFS('Estimates'!$A$5:$A$2004,$A114,'Estimates'!$B$5:$B$2004,"PPS",'Estimates'!$D$5:$D$2004,'Status'!$E$6,'Estimates'!$E$5:$E$2004,'Status'!$E$7)=0,"",IF(COUNTIFS('Estimates'!$A$5:$A$2004,$A114,'Estimates'!$B$5:$B$2004,"PPS",'Estimates'!$D$5:$D$2004,'Status'!$E$6,'Estimates'!$E$5:$E$2004,'Status'!$E$7)&gt;1,"DUP",SUMIFS('Estimates'!$F$5:$F$2004,'Estimates'!$A$5:$A$2004,$A114,'Estimates'!$B$5:$B$2004,"PPS",'Estimates'!$D$5:$D$2004,'Status'!$E$6,'Estimates'!$E$5:$E$2004,'Status'!$E$7))))</x:f>
      </x:c>
      <x:c r="K114" s="14" t="str">
        <x:f>IF(OR(COUNTA($A114)=0,'Status'!$F$6=""),"",IF(COUNTIFS('Estimates'!$A$5:$A$2004,$A114,'Estimates'!$B$5:$B$2004,"PPS",'Estimates'!$D$5:$D$2004,'Status'!$F$6,'Estimates'!$E$5:$E$2004,'Status'!$E$7)=0,"",IF(COUNTIFS('Estimates'!$A$5:$A$2004,$A114,'Estimates'!$B$5:$B$2004,"PPS",'Estimates'!$D$5:$D$2004,'Status'!$F$6,'Estimates'!$E$5:$E$2004,'Status'!$E$7)&gt;1,"DUP",SUMIFS('Estimates'!$F$5:$F$2004,'Estimates'!$A$5:$A$2004,$A114,'Estimates'!$B$5:$B$2004,"PPS",'Estimates'!$D$5:$D$2004,'Status'!$F$6,'Estimates'!$E$5:$E$2004,'Status'!$E$7))))</x:f>
      </x:c>
      <x:c r="L114" s="14" t="str">
        <x:f>IF(OR(COUNTA($A114)=0,'Status'!$G$6=""),"",IF(COUNTIFS('Estimates'!$A$5:$A$2004,$A114,'Estimates'!$B$5:$B$2004,"PPS",'Estimates'!$D$5:$D$2004,'Status'!$G$6,'Estimates'!$E$5:$E$2004,'Status'!$E$7)=0,"",IF(COUNTIFS('Estimates'!$A$5:$A$2004,$A114,'Estimates'!$B$5:$B$2004,"PPS",'Estimates'!$D$5:$D$2004,'Status'!$G$6,'Estimates'!$E$5:$E$2004,'Status'!$E$7)&gt;1,"DUP",SUMIFS('Estimates'!$F$5:$F$2004,'Estimates'!$A$5:$A$2004,$A114,'Estimates'!$B$5:$B$2004,"PPS",'Estimates'!$D$5:$D$2004,'Status'!$G$6,'Estimates'!$E$5:$E$2004,'Status'!$E$7))))</x:f>
      </x:c>
      <x:c r="M114" s="14" t="str">
        <x:f>IF(COUNT(J114:L114)&lt;2,"",_xlfn.STDEV.S(J114:L114))</x:f>
      </x:c>
      <x:c r="N114" s="14" t="str">
        <x:f>IF(AND(ISNUMBER(K114),ISNUMBER(L114)),ABS(L114-K114),"")</x:f>
      </x:c>
      <x:c r="O114" s="15" t="str">
        <x:f>IF(AND(ISNUMBER(K114),ISNUMBER(L114)),IF(K114=0,"n.a.",ABS(L114-K114)/ABS(K114)),"")</x:f>
      </x:c>
      <x:c r="P114" s="2" t="str">
        <x:f>IF(COUNTA(A114)=0,"",IF(NOT(ISNUMBER('Status'!$B$6)),"Set tolerance",IF(COUNT(J114:L114)&lt;3,"Need 3 levels",IF(OR(J114=0,K114=0),"Use abs. Δ",IF(AND(ABS(K114-J114)/ABS(J114)&lt;='Status'!$B$6,O114&lt;='Status'!$B$6),"Yes","No")))))</x:f>
      </x:c>
      <x:c r="Q114" s="14" t="str">
        <x:f>IF(AND(ISNUMBER(E114),ISNUMBER(L114)),ABS(E114-L114),"")</x:f>
      </x:c>
      <x:c r="R114" s="2" t="str">
        <x:f>IF(COUNTA(A114)=0,"",IF(COUNT(C114:E114,J114:L114)&gt;0,1,0))</x:f>
      </x:c>
      <x:c r="S114" s="2" t="str">
        <x:f>IF(COUNTA(A114)=0,"",IF(COUNTIFS($A$6:$A$165,A114)&gt;1,"Duplicate target",""))</x:f>
      </x:c>
    </x:row>
    <x:row r="115">
      <x:c r="A115" s="6"/>
      <x:c r="B115" s="20"/>
      <x:c r="C115" s="14" t="str">
        <x:f>IF(OR(COUNTA($A115)=0,'Status'!$E$5=""),"",IF(COUNTIFS('Estimates'!$A$5:$A$2004,$A115,'Estimates'!$B$5:$B$2004,"MPS",'Estimates'!$C$5:$C$2004,'Status'!$E$5)=0,"",IF(COUNTIFS('Estimates'!$A$5:$A$2004,$A115,'Estimates'!$B$5:$B$2004,"MPS",'Estimates'!$C$5:$C$2004,'Status'!$E$5)&gt;1,"DUP",SUMIFS('Estimates'!$F$5:$F$2004,'Estimates'!$A$5:$A$2004,$A115,'Estimates'!$B$5:$B$2004,"MPS",'Estimates'!$C$5:$C$2004,'Status'!$E$5))))</x:f>
      </x:c>
      <x:c r="D115" s="14" t="str">
        <x:f>IF(OR(COUNTA($A115)=0,'Status'!$F$5=""),"",IF(COUNTIFS('Estimates'!$A$5:$A$2004,$A115,'Estimates'!$B$5:$B$2004,"MPS",'Estimates'!$C$5:$C$2004,'Status'!$F$5)=0,"",IF(COUNTIFS('Estimates'!$A$5:$A$2004,$A115,'Estimates'!$B$5:$B$2004,"MPS",'Estimates'!$C$5:$C$2004,'Status'!$F$5)&gt;1,"DUP",SUMIFS('Estimates'!$F$5:$F$2004,'Estimates'!$A$5:$A$2004,$A115,'Estimates'!$B$5:$B$2004,"MPS",'Estimates'!$C$5:$C$2004,'Status'!$F$5))))</x:f>
      </x:c>
      <x:c r="E115" s="14" t="str">
        <x:f>IF(OR(COUNTA($A115)=0,'Status'!$G$5=""),"",IF(COUNTIFS('Estimates'!$A$5:$A$2004,$A115,'Estimates'!$B$5:$B$2004,"MPS",'Estimates'!$C$5:$C$2004,'Status'!$G$5)=0,"",IF(COUNTIFS('Estimates'!$A$5:$A$2004,$A115,'Estimates'!$B$5:$B$2004,"MPS",'Estimates'!$C$5:$C$2004,'Status'!$G$5)&gt;1,"DUP",SUMIFS('Estimates'!$F$5:$F$2004,'Estimates'!$A$5:$A$2004,$A115,'Estimates'!$B$5:$B$2004,"MPS",'Estimates'!$C$5:$C$2004,'Status'!$G$5))))</x:f>
      </x:c>
      <x:c r="F115" s="14" t="str">
        <x:f>IF(COUNT(C115:E115)&lt;2,"",_xlfn.STDEV.S(C115:E115))</x:f>
      </x:c>
      <x:c r="G115" s="14" t="str">
        <x:f>IF(AND(ISNUMBER(D115),ISNUMBER(E115)),ABS(E115-D115),"")</x:f>
      </x:c>
      <x:c r="H115" s="15" t="str">
        <x:f>IF(AND(ISNUMBER(D115),ISNUMBER(E115)),IF(D115=0,"n.a.",ABS(E115-D115)/ABS(D115)),"")</x:f>
      </x:c>
      <x:c r="I115" s="2" t="str">
        <x:f>IF(COUNTA(A115)=0,"",IF(NOT(ISNUMBER('Status'!$B$6)),"Set tolerance",IF(COUNT(C115:E115)&lt;3,"Need 3 levels",IF(OR(C115=0,D115=0),"Use abs. Δ",IF(AND(ABS(D115-C115)/ABS(C115)&lt;='Status'!$B$6,H115&lt;='Status'!$B$6),"Yes","No")))))</x:f>
      </x:c>
      <x:c r="J115" s="14" t="str">
        <x:f>IF(OR(COUNTA($A115)=0,'Status'!$E$6=""),"",IF(COUNTIFS('Estimates'!$A$5:$A$2004,$A115,'Estimates'!$B$5:$B$2004,"PPS",'Estimates'!$D$5:$D$2004,'Status'!$E$6,'Estimates'!$E$5:$E$2004,'Status'!$E$7)=0,"",IF(COUNTIFS('Estimates'!$A$5:$A$2004,$A115,'Estimates'!$B$5:$B$2004,"PPS",'Estimates'!$D$5:$D$2004,'Status'!$E$6,'Estimates'!$E$5:$E$2004,'Status'!$E$7)&gt;1,"DUP",SUMIFS('Estimates'!$F$5:$F$2004,'Estimates'!$A$5:$A$2004,$A115,'Estimates'!$B$5:$B$2004,"PPS",'Estimates'!$D$5:$D$2004,'Status'!$E$6,'Estimates'!$E$5:$E$2004,'Status'!$E$7))))</x:f>
      </x:c>
      <x:c r="K115" s="14" t="str">
        <x:f>IF(OR(COUNTA($A115)=0,'Status'!$F$6=""),"",IF(COUNTIFS('Estimates'!$A$5:$A$2004,$A115,'Estimates'!$B$5:$B$2004,"PPS",'Estimates'!$D$5:$D$2004,'Status'!$F$6,'Estimates'!$E$5:$E$2004,'Status'!$E$7)=0,"",IF(COUNTIFS('Estimates'!$A$5:$A$2004,$A115,'Estimates'!$B$5:$B$2004,"PPS",'Estimates'!$D$5:$D$2004,'Status'!$F$6,'Estimates'!$E$5:$E$2004,'Status'!$E$7)&gt;1,"DUP",SUMIFS('Estimates'!$F$5:$F$2004,'Estimates'!$A$5:$A$2004,$A115,'Estimates'!$B$5:$B$2004,"PPS",'Estimates'!$D$5:$D$2004,'Status'!$F$6,'Estimates'!$E$5:$E$2004,'Status'!$E$7))))</x:f>
      </x:c>
      <x:c r="L115" s="14" t="str">
        <x:f>IF(OR(COUNTA($A115)=0,'Status'!$G$6=""),"",IF(COUNTIFS('Estimates'!$A$5:$A$2004,$A115,'Estimates'!$B$5:$B$2004,"PPS",'Estimates'!$D$5:$D$2004,'Status'!$G$6,'Estimates'!$E$5:$E$2004,'Status'!$E$7)=0,"",IF(COUNTIFS('Estimates'!$A$5:$A$2004,$A115,'Estimates'!$B$5:$B$2004,"PPS",'Estimates'!$D$5:$D$2004,'Status'!$G$6,'Estimates'!$E$5:$E$2004,'Status'!$E$7)&gt;1,"DUP",SUMIFS('Estimates'!$F$5:$F$2004,'Estimates'!$A$5:$A$2004,$A115,'Estimates'!$B$5:$B$2004,"PPS",'Estimates'!$D$5:$D$2004,'Status'!$G$6,'Estimates'!$E$5:$E$2004,'Status'!$E$7))))</x:f>
      </x:c>
      <x:c r="M115" s="14" t="str">
        <x:f>IF(COUNT(J115:L115)&lt;2,"",_xlfn.STDEV.S(J115:L115))</x:f>
      </x:c>
      <x:c r="N115" s="14" t="str">
        <x:f>IF(AND(ISNUMBER(K115),ISNUMBER(L115)),ABS(L115-K115),"")</x:f>
      </x:c>
      <x:c r="O115" s="15" t="str">
        <x:f>IF(AND(ISNUMBER(K115),ISNUMBER(L115)),IF(K115=0,"n.a.",ABS(L115-K115)/ABS(K115)),"")</x:f>
      </x:c>
      <x:c r="P115" s="2" t="str">
        <x:f>IF(COUNTA(A115)=0,"",IF(NOT(ISNUMBER('Status'!$B$6)),"Set tolerance",IF(COUNT(J115:L115)&lt;3,"Need 3 levels",IF(OR(J115=0,K115=0),"Use abs. Δ",IF(AND(ABS(K115-J115)/ABS(J115)&lt;='Status'!$B$6,O115&lt;='Status'!$B$6),"Yes","No")))))</x:f>
      </x:c>
      <x:c r="Q115" s="14" t="str">
        <x:f>IF(AND(ISNUMBER(E115),ISNUMBER(L115)),ABS(E115-L115),"")</x:f>
      </x:c>
      <x:c r="R115" s="2" t="str">
        <x:f>IF(COUNTA(A115)=0,"",IF(COUNT(C115:E115,J115:L115)&gt;0,1,0))</x:f>
      </x:c>
      <x:c r="S115" s="2" t="str">
        <x:f>IF(COUNTA(A115)=0,"",IF(COUNTIFS($A$6:$A$165,A115)&gt;1,"Duplicate target",""))</x:f>
      </x:c>
    </x:row>
    <x:row r="116">
      <x:c r="A116" s="6"/>
      <x:c r="B116" s="20"/>
      <x:c r="C116" s="14" t="str">
        <x:f>IF(OR(COUNTA($A116)=0,'Status'!$E$5=""),"",IF(COUNTIFS('Estimates'!$A$5:$A$2004,$A116,'Estimates'!$B$5:$B$2004,"MPS",'Estimates'!$C$5:$C$2004,'Status'!$E$5)=0,"",IF(COUNTIFS('Estimates'!$A$5:$A$2004,$A116,'Estimates'!$B$5:$B$2004,"MPS",'Estimates'!$C$5:$C$2004,'Status'!$E$5)&gt;1,"DUP",SUMIFS('Estimates'!$F$5:$F$2004,'Estimates'!$A$5:$A$2004,$A116,'Estimates'!$B$5:$B$2004,"MPS",'Estimates'!$C$5:$C$2004,'Status'!$E$5))))</x:f>
      </x:c>
      <x:c r="D116" s="14" t="str">
        <x:f>IF(OR(COUNTA($A116)=0,'Status'!$F$5=""),"",IF(COUNTIFS('Estimates'!$A$5:$A$2004,$A116,'Estimates'!$B$5:$B$2004,"MPS",'Estimates'!$C$5:$C$2004,'Status'!$F$5)=0,"",IF(COUNTIFS('Estimates'!$A$5:$A$2004,$A116,'Estimates'!$B$5:$B$2004,"MPS",'Estimates'!$C$5:$C$2004,'Status'!$F$5)&gt;1,"DUP",SUMIFS('Estimates'!$F$5:$F$2004,'Estimates'!$A$5:$A$2004,$A116,'Estimates'!$B$5:$B$2004,"MPS",'Estimates'!$C$5:$C$2004,'Status'!$F$5))))</x:f>
      </x:c>
      <x:c r="E116" s="14" t="str">
        <x:f>IF(OR(COUNTA($A116)=0,'Status'!$G$5=""),"",IF(COUNTIFS('Estimates'!$A$5:$A$2004,$A116,'Estimates'!$B$5:$B$2004,"MPS",'Estimates'!$C$5:$C$2004,'Status'!$G$5)=0,"",IF(COUNTIFS('Estimates'!$A$5:$A$2004,$A116,'Estimates'!$B$5:$B$2004,"MPS",'Estimates'!$C$5:$C$2004,'Status'!$G$5)&gt;1,"DUP",SUMIFS('Estimates'!$F$5:$F$2004,'Estimates'!$A$5:$A$2004,$A116,'Estimates'!$B$5:$B$2004,"MPS",'Estimates'!$C$5:$C$2004,'Status'!$G$5))))</x:f>
      </x:c>
      <x:c r="F116" s="14" t="str">
        <x:f>IF(COUNT(C116:E116)&lt;2,"",_xlfn.STDEV.S(C116:E116))</x:f>
      </x:c>
      <x:c r="G116" s="14" t="str">
        <x:f>IF(AND(ISNUMBER(D116),ISNUMBER(E116)),ABS(E116-D116),"")</x:f>
      </x:c>
      <x:c r="H116" s="15" t="str">
        <x:f>IF(AND(ISNUMBER(D116),ISNUMBER(E116)),IF(D116=0,"n.a.",ABS(E116-D116)/ABS(D116)),"")</x:f>
      </x:c>
      <x:c r="I116" s="2" t="str">
        <x:f>IF(COUNTA(A116)=0,"",IF(NOT(ISNUMBER('Status'!$B$6)),"Set tolerance",IF(COUNT(C116:E116)&lt;3,"Need 3 levels",IF(OR(C116=0,D116=0),"Use abs. Δ",IF(AND(ABS(D116-C116)/ABS(C116)&lt;='Status'!$B$6,H116&lt;='Status'!$B$6),"Yes","No")))))</x:f>
      </x:c>
      <x:c r="J116" s="14" t="str">
        <x:f>IF(OR(COUNTA($A116)=0,'Status'!$E$6=""),"",IF(COUNTIFS('Estimates'!$A$5:$A$2004,$A116,'Estimates'!$B$5:$B$2004,"PPS",'Estimates'!$D$5:$D$2004,'Status'!$E$6,'Estimates'!$E$5:$E$2004,'Status'!$E$7)=0,"",IF(COUNTIFS('Estimates'!$A$5:$A$2004,$A116,'Estimates'!$B$5:$B$2004,"PPS",'Estimates'!$D$5:$D$2004,'Status'!$E$6,'Estimates'!$E$5:$E$2004,'Status'!$E$7)&gt;1,"DUP",SUMIFS('Estimates'!$F$5:$F$2004,'Estimates'!$A$5:$A$2004,$A116,'Estimates'!$B$5:$B$2004,"PPS",'Estimates'!$D$5:$D$2004,'Status'!$E$6,'Estimates'!$E$5:$E$2004,'Status'!$E$7))))</x:f>
      </x:c>
      <x:c r="K116" s="14" t="str">
        <x:f>IF(OR(COUNTA($A116)=0,'Status'!$F$6=""),"",IF(COUNTIFS('Estimates'!$A$5:$A$2004,$A116,'Estimates'!$B$5:$B$2004,"PPS",'Estimates'!$D$5:$D$2004,'Status'!$F$6,'Estimates'!$E$5:$E$2004,'Status'!$E$7)=0,"",IF(COUNTIFS('Estimates'!$A$5:$A$2004,$A116,'Estimates'!$B$5:$B$2004,"PPS",'Estimates'!$D$5:$D$2004,'Status'!$F$6,'Estimates'!$E$5:$E$2004,'Status'!$E$7)&gt;1,"DUP",SUMIFS('Estimates'!$F$5:$F$2004,'Estimates'!$A$5:$A$2004,$A116,'Estimates'!$B$5:$B$2004,"PPS",'Estimates'!$D$5:$D$2004,'Status'!$F$6,'Estimates'!$E$5:$E$2004,'Status'!$E$7))))</x:f>
      </x:c>
      <x:c r="L116" s="14" t="str">
        <x:f>IF(OR(COUNTA($A116)=0,'Status'!$G$6=""),"",IF(COUNTIFS('Estimates'!$A$5:$A$2004,$A116,'Estimates'!$B$5:$B$2004,"PPS",'Estimates'!$D$5:$D$2004,'Status'!$G$6,'Estimates'!$E$5:$E$2004,'Status'!$E$7)=0,"",IF(COUNTIFS('Estimates'!$A$5:$A$2004,$A116,'Estimates'!$B$5:$B$2004,"PPS",'Estimates'!$D$5:$D$2004,'Status'!$G$6,'Estimates'!$E$5:$E$2004,'Status'!$E$7)&gt;1,"DUP",SUMIFS('Estimates'!$F$5:$F$2004,'Estimates'!$A$5:$A$2004,$A116,'Estimates'!$B$5:$B$2004,"PPS",'Estimates'!$D$5:$D$2004,'Status'!$G$6,'Estimates'!$E$5:$E$2004,'Status'!$E$7))))</x:f>
      </x:c>
      <x:c r="M116" s="14" t="str">
        <x:f>IF(COUNT(J116:L116)&lt;2,"",_xlfn.STDEV.S(J116:L116))</x:f>
      </x:c>
      <x:c r="N116" s="14" t="str">
        <x:f>IF(AND(ISNUMBER(K116),ISNUMBER(L116)),ABS(L116-K116),"")</x:f>
      </x:c>
      <x:c r="O116" s="15" t="str">
        <x:f>IF(AND(ISNUMBER(K116),ISNUMBER(L116)),IF(K116=0,"n.a.",ABS(L116-K116)/ABS(K116)),"")</x:f>
      </x:c>
      <x:c r="P116" s="2" t="str">
        <x:f>IF(COUNTA(A116)=0,"",IF(NOT(ISNUMBER('Status'!$B$6)),"Set tolerance",IF(COUNT(J116:L116)&lt;3,"Need 3 levels",IF(OR(J116=0,K116=0),"Use abs. Δ",IF(AND(ABS(K116-J116)/ABS(J116)&lt;='Status'!$B$6,O116&lt;='Status'!$B$6),"Yes","No")))))</x:f>
      </x:c>
      <x:c r="Q116" s="14" t="str">
        <x:f>IF(AND(ISNUMBER(E116),ISNUMBER(L116)),ABS(E116-L116),"")</x:f>
      </x:c>
      <x:c r="R116" s="2" t="str">
        <x:f>IF(COUNTA(A116)=0,"",IF(COUNT(C116:E116,J116:L116)&gt;0,1,0))</x:f>
      </x:c>
      <x:c r="S116" s="2" t="str">
        <x:f>IF(COUNTA(A116)=0,"",IF(COUNTIFS($A$6:$A$165,A116)&gt;1,"Duplicate target",""))</x:f>
      </x:c>
    </x:row>
    <x:row r="117">
      <x:c r="A117" s="6"/>
      <x:c r="B117" s="20"/>
      <x:c r="C117" s="14" t="str">
        <x:f>IF(OR(COUNTA($A117)=0,'Status'!$E$5=""),"",IF(COUNTIFS('Estimates'!$A$5:$A$2004,$A117,'Estimates'!$B$5:$B$2004,"MPS",'Estimates'!$C$5:$C$2004,'Status'!$E$5)=0,"",IF(COUNTIFS('Estimates'!$A$5:$A$2004,$A117,'Estimates'!$B$5:$B$2004,"MPS",'Estimates'!$C$5:$C$2004,'Status'!$E$5)&gt;1,"DUP",SUMIFS('Estimates'!$F$5:$F$2004,'Estimates'!$A$5:$A$2004,$A117,'Estimates'!$B$5:$B$2004,"MPS",'Estimates'!$C$5:$C$2004,'Status'!$E$5))))</x:f>
      </x:c>
      <x:c r="D117" s="14" t="str">
        <x:f>IF(OR(COUNTA($A117)=0,'Status'!$F$5=""),"",IF(COUNTIFS('Estimates'!$A$5:$A$2004,$A117,'Estimates'!$B$5:$B$2004,"MPS",'Estimates'!$C$5:$C$2004,'Status'!$F$5)=0,"",IF(COUNTIFS('Estimates'!$A$5:$A$2004,$A117,'Estimates'!$B$5:$B$2004,"MPS",'Estimates'!$C$5:$C$2004,'Status'!$F$5)&gt;1,"DUP",SUMIFS('Estimates'!$F$5:$F$2004,'Estimates'!$A$5:$A$2004,$A117,'Estimates'!$B$5:$B$2004,"MPS",'Estimates'!$C$5:$C$2004,'Status'!$F$5))))</x:f>
      </x:c>
      <x:c r="E117" s="14" t="str">
        <x:f>IF(OR(COUNTA($A117)=0,'Status'!$G$5=""),"",IF(COUNTIFS('Estimates'!$A$5:$A$2004,$A117,'Estimates'!$B$5:$B$2004,"MPS",'Estimates'!$C$5:$C$2004,'Status'!$G$5)=0,"",IF(COUNTIFS('Estimates'!$A$5:$A$2004,$A117,'Estimates'!$B$5:$B$2004,"MPS",'Estimates'!$C$5:$C$2004,'Status'!$G$5)&gt;1,"DUP",SUMIFS('Estimates'!$F$5:$F$2004,'Estimates'!$A$5:$A$2004,$A117,'Estimates'!$B$5:$B$2004,"MPS",'Estimates'!$C$5:$C$2004,'Status'!$G$5))))</x:f>
      </x:c>
      <x:c r="F117" s="14" t="str">
        <x:f>IF(COUNT(C117:E117)&lt;2,"",_xlfn.STDEV.S(C117:E117))</x:f>
      </x:c>
      <x:c r="G117" s="14" t="str">
        <x:f>IF(AND(ISNUMBER(D117),ISNUMBER(E117)),ABS(E117-D117),"")</x:f>
      </x:c>
      <x:c r="H117" s="15" t="str">
        <x:f>IF(AND(ISNUMBER(D117),ISNUMBER(E117)),IF(D117=0,"n.a.",ABS(E117-D117)/ABS(D117)),"")</x:f>
      </x:c>
      <x:c r="I117" s="2" t="str">
        <x:f>IF(COUNTA(A117)=0,"",IF(NOT(ISNUMBER('Status'!$B$6)),"Set tolerance",IF(COUNT(C117:E117)&lt;3,"Need 3 levels",IF(OR(C117=0,D117=0),"Use abs. Δ",IF(AND(ABS(D117-C117)/ABS(C117)&lt;='Status'!$B$6,H117&lt;='Status'!$B$6),"Yes","No")))))</x:f>
      </x:c>
      <x:c r="J117" s="14" t="str">
        <x:f>IF(OR(COUNTA($A117)=0,'Status'!$E$6=""),"",IF(COUNTIFS('Estimates'!$A$5:$A$2004,$A117,'Estimates'!$B$5:$B$2004,"PPS",'Estimates'!$D$5:$D$2004,'Status'!$E$6,'Estimates'!$E$5:$E$2004,'Status'!$E$7)=0,"",IF(COUNTIFS('Estimates'!$A$5:$A$2004,$A117,'Estimates'!$B$5:$B$2004,"PPS",'Estimates'!$D$5:$D$2004,'Status'!$E$6,'Estimates'!$E$5:$E$2004,'Status'!$E$7)&gt;1,"DUP",SUMIFS('Estimates'!$F$5:$F$2004,'Estimates'!$A$5:$A$2004,$A117,'Estimates'!$B$5:$B$2004,"PPS",'Estimates'!$D$5:$D$2004,'Status'!$E$6,'Estimates'!$E$5:$E$2004,'Status'!$E$7))))</x:f>
      </x:c>
      <x:c r="K117" s="14" t="str">
        <x:f>IF(OR(COUNTA($A117)=0,'Status'!$F$6=""),"",IF(COUNTIFS('Estimates'!$A$5:$A$2004,$A117,'Estimates'!$B$5:$B$2004,"PPS",'Estimates'!$D$5:$D$2004,'Status'!$F$6,'Estimates'!$E$5:$E$2004,'Status'!$E$7)=0,"",IF(COUNTIFS('Estimates'!$A$5:$A$2004,$A117,'Estimates'!$B$5:$B$2004,"PPS",'Estimates'!$D$5:$D$2004,'Status'!$F$6,'Estimates'!$E$5:$E$2004,'Status'!$E$7)&gt;1,"DUP",SUMIFS('Estimates'!$F$5:$F$2004,'Estimates'!$A$5:$A$2004,$A117,'Estimates'!$B$5:$B$2004,"PPS",'Estimates'!$D$5:$D$2004,'Status'!$F$6,'Estimates'!$E$5:$E$2004,'Status'!$E$7))))</x:f>
      </x:c>
      <x:c r="L117" s="14" t="str">
        <x:f>IF(OR(COUNTA($A117)=0,'Status'!$G$6=""),"",IF(COUNTIFS('Estimates'!$A$5:$A$2004,$A117,'Estimates'!$B$5:$B$2004,"PPS",'Estimates'!$D$5:$D$2004,'Status'!$G$6,'Estimates'!$E$5:$E$2004,'Status'!$E$7)=0,"",IF(COUNTIFS('Estimates'!$A$5:$A$2004,$A117,'Estimates'!$B$5:$B$2004,"PPS",'Estimates'!$D$5:$D$2004,'Status'!$G$6,'Estimates'!$E$5:$E$2004,'Status'!$E$7)&gt;1,"DUP",SUMIFS('Estimates'!$F$5:$F$2004,'Estimates'!$A$5:$A$2004,$A117,'Estimates'!$B$5:$B$2004,"PPS",'Estimates'!$D$5:$D$2004,'Status'!$G$6,'Estimates'!$E$5:$E$2004,'Status'!$E$7))))</x:f>
      </x:c>
      <x:c r="M117" s="14" t="str">
        <x:f>IF(COUNT(J117:L117)&lt;2,"",_xlfn.STDEV.S(J117:L117))</x:f>
      </x:c>
      <x:c r="N117" s="14" t="str">
        <x:f>IF(AND(ISNUMBER(K117),ISNUMBER(L117)),ABS(L117-K117),"")</x:f>
      </x:c>
      <x:c r="O117" s="15" t="str">
        <x:f>IF(AND(ISNUMBER(K117),ISNUMBER(L117)),IF(K117=0,"n.a.",ABS(L117-K117)/ABS(K117)),"")</x:f>
      </x:c>
      <x:c r="P117" s="2" t="str">
        <x:f>IF(COUNTA(A117)=0,"",IF(NOT(ISNUMBER('Status'!$B$6)),"Set tolerance",IF(COUNT(J117:L117)&lt;3,"Need 3 levels",IF(OR(J117=0,K117=0),"Use abs. Δ",IF(AND(ABS(K117-J117)/ABS(J117)&lt;='Status'!$B$6,O117&lt;='Status'!$B$6),"Yes","No")))))</x:f>
      </x:c>
      <x:c r="Q117" s="14" t="str">
        <x:f>IF(AND(ISNUMBER(E117),ISNUMBER(L117)),ABS(E117-L117),"")</x:f>
      </x:c>
      <x:c r="R117" s="2" t="str">
        <x:f>IF(COUNTA(A117)=0,"",IF(COUNT(C117:E117,J117:L117)&gt;0,1,0))</x:f>
      </x:c>
      <x:c r="S117" s="2" t="str">
        <x:f>IF(COUNTA(A117)=0,"",IF(COUNTIFS($A$6:$A$165,A117)&gt;1,"Duplicate target",""))</x:f>
      </x:c>
    </x:row>
    <x:row r="118">
      <x:c r="A118" s="6"/>
      <x:c r="B118" s="20"/>
      <x:c r="C118" s="14" t="str">
        <x:f>IF(OR(COUNTA($A118)=0,'Status'!$E$5=""),"",IF(COUNTIFS('Estimates'!$A$5:$A$2004,$A118,'Estimates'!$B$5:$B$2004,"MPS",'Estimates'!$C$5:$C$2004,'Status'!$E$5)=0,"",IF(COUNTIFS('Estimates'!$A$5:$A$2004,$A118,'Estimates'!$B$5:$B$2004,"MPS",'Estimates'!$C$5:$C$2004,'Status'!$E$5)&gt;1,"DUP",SUMIFS('Estimates'!$F$5:$F$2004,'Estimates'!$A$5:$A$2004,$A118,'Estimates'!$B$5:$B$2004,"MPS",'Estimates'!$C$5:$C$2004,'Status'!$E$5))))</x:f>
      </x:c>
      <x:c r="D118" s="14" t="str">
        <x:f>IF(OR(COUNTA($A118)=0,'Status'!$F$5=""),"",IF(COUNTIFS('Estimates'!$A$5:$A$2004,$A118,'Estimates'!$B$5:$B$2004,"MPS",'Estimates'!$C$5:$C$2004,'Status'!$F$5)=0,"",IF(COUNTIFS('Estimates'!$A$5:$A$2004,$A118,'Estimates'!$B$5:$B$2004,"MPS",'Estimates'!$C$5:$C$2004,'Status'!$F$5)&gt;1,"DUP",SUMIFS('Estimates'!$F$5:$F$2004,'Estimates'!$A$5:$A$2004,$A118,'Estimates'!$B$5:$B$2004,"MPS",'Estimates'!$C$5:$C$2004,'Status'!$F$5))))</x:f>
      </x:c>
      <x:c r="E118" s="14" t="str">
        <x:f>IF(OR(COUNTA($A118)=0,'Status'!$G$5=""),"",IF(COUNTIFS('Estimates'!$A$5:$A$2004,$A118,'Estimates'!$B$5:$B$2004,"MPS",'Estimates'!$C$5:$C$2004,'Status'!$G$5)=0,"",IF(COUNTIFS('Estimates'!$A$5:$A$2004,$A118,'Estimates'!$B$5:$B$2004,"MPS",'Estimates'!$C$5:$C$2004,'Status'!$G$5)&gt;1,"DUP",SUMIFS('Estimates'!$F$5:$F$2004,'Estimates'!$A$5:$A$2004,$A118,'Estimates'!$B$5:$B$2004,"MPS",'Estimates'!$C$5:$C$2004,'Status'!$G$5))))</x:f>
      </x:c>
      <x:c r="F118" s="14" t="str">
        <x:f>IF(COUNT(C118:E118)&lt;2,"",_xlfn.STDEV.S(C118:E118))</x:f>
      </x:c>
      <x:c r="G118" s="14" t="str">
        <x:f>IF(AND(ISNUMBER(D118),ISNUMBER(E118)),ABS(E118-D118),"")</x:f>
      </x:c>
      <x:c r="H118" s="15" t="str">
        <x:f>IF(AND(ISNUMBER(D118),ISNUMBER(E118)),IF(D118=0,"n.a.",ABS(E118-D118)/ABS(D118)),"")</x:f>
      </x:c>
      <x:c r="I118" s="2" t="str">
        <x:f>IF(COUNTA(A118)=0,"",IF(NOT(ISNUMBER('Status'!$B$6)),"Set tolerance",IF(COUNT(C118:E118)&lt;3,"Need 3 levels",IF(OR(C118=0,D118=0),"Use abs. Δ",IF(AND(ABS(D118-C118)/ABS(C118)&lt;='Status'!$B$6,H118&lt;='Status'!$B$6),"Yes","No")))))</x:f>
      </x:c>
      <x:c r="J118" s="14" t="str">
        <x:f>IF(OR(COUNTA($A118)=0,'Status'!$E$6=""),"",IF(COUNTIFS('Estimates'!$A$5:$A$2004,$A118,'Estimates'!$B$5:$B$2004,"PPS",'Estimates'!$D$5:$D$2004,'Status'!$E$6,'Estimates'!$E$5:$E$2004,'Status'!$E$7)=0,"",IF(COUNTIFS('Estimates'!$A$5:$A$2004,$A118,'Estimates'!$B$5:$B$2004,"PPS",'Estimates'!$D$5:$D$2004,'Status'!$E$6,'Estimates'!$E$5:$E$2004,'Status'!$E$7)&gt;1,"DUP",SUMIFS('Estimates'!$F$5:$F$2004,'Estimates'!$A$5:$A$2004,$A118,'Estimates'!$B$5:$B$2004,"PPS",'Estimates'!$D$5:$D$2004,'Status'!$E$6,'Estimates'!$E$5:$E$2004,'Status'!$E$7))))</x:f>
      </x:c>
      <x:c r="K118" s="14" t="str">
        <x:f>IF(OR(COUNTA($A118)=0,'Status'!$F$6=""),"",IF(COUNTIFS('Estimates'!$A$5:$A$2004,$A118,'Estimates'!$B$5:$B$2004,"PPS",'Estimates'!$D$5:$D$2004,'Status'!$F$6,'Estimates'!$E$5:$E$2004,'Status'!$E$7)=0,"",IF(COUNTIFS('Estimates'!$A$5:$A$2004,$A118,'Estimates'!$B$5:$B$2004,"PPS",'Estimates'!$D$5:$D$2004,'Status'!$F$6,'Estimates'!$E$5:$E$2004,'Status'!$E$7)&gt;1,"DUP",SUMIFS('Estimates'!$F$5:$F$2004,'Estimates'!$A$5:$A$2004,$A118,'Estimates'!$B$5:$B$2004,"PPS",'Estimates'!$D$5:$D$2004,'Status'!$F$6,'Estimates'!$E$5:$E$2004,'Status'!$E$7))))</x:f>
      </x:c>
      <x:c r="L118" s="14" t="str">
        <x:f>IF(OR(COUNTA($A118)=0,'Status'!$G$6=""),"",IF(COUNTIFS('Estimates'!$A$5:$A$2004,$A118,'Estimates'!$B$5:$B$2004,"PPS",'Estimates'!$D$5:$D$2004,'Status'!$G$6,'Estimates'!$E$5:$E$2004,'Status'!$E$7)=0,"",IF(COUNTIFS('Estimates'!$A$5:$A$2004,$A118,'Estimates'!$B$5:$B$2004,"PPS",'Estimates'!$D$5:$D$2004,'Status'!$G$6,'Estimates'!$E$5:$E$2004,'Status'!$E$7)&gt;1,"DUP",SUMIFS('Estimates'!$F$5:$F$2004,'Estimates'!$A$5:$A$2004,$A118,'Estimates'!$B$5:$B$2004,"PPS",'Estimates'!$D$5:$D$2004,'Status'!$G$6,'Estimates'!$E$5:$E$2004,'Status'!$E$7))))</x:f>
      </x:c>
      <x:c r="M118" s="14" t="str">
        <x:f>IF(COUNT(J118:L118)&lt;2,"",_xlfn.STDEV.S(J118:L118))</x:f>
      </x:c>
      <x:c r="N118" s="14" t="str">
        <x:f>IF(AND(ISNUMBER(K118),ISNUMBER(L118)),ABS(L118-K118),"")</x:f>
      </x:c>
      <x:c r="O118" s="15" t="str">
        <x:f>IF(AND(ISNUMBER(K118),ISNUMBER(L118)),IF(K118=0,"n.a.",ABS(L118-K118)/ABS(K118)),"")</x:f>
      </x:c>
      <x:c r="P118" s="2" t="str">
        <x:f>IF(COUNTA(A118)=0,"",IF(NOT(ISNUMBER('Status'!$B$6)),"Set tolerance",IF(COUNT(J118:L118)&lt;3,"Need 3 levels",IF(OR(J118=0,K118=0),"Use abs. Δ",IF(AND(ABS(K118-J118)/ABS(J118)&lt;='Status'!$B$6,O118&lt;='Status'!$B$6),"Yes","No")))))</x:f>
      </x:c>
      <x:c r="Q118" s="14" t="str">
        <x:f>IF(AND(ISNUMBER(E118),ISNUMBER(L118)),ABS(E118-L118),"")</x:f>
      </x:c>
      <x:c r="R118" s="2" t="str">
        <x:f>IF(COUNTA(A118)=0,"",IF(COUNT(C118:E118,J118:L118)&gt;0,1,0))</x:f>
      </x:c>
      <x:c r="S118" s="2" t="str">
        <x:f>IF(COUNTA(A118)=0,"",IF(COUNTIFS($A$6:$A$165,A118)&gt;1,"Duplicate target",""))</x:f>
      </x:c>
    </x:row>
    <x:row r="119">
      <x:c r="A119" s="6"/>
      <x:c r="B119" s="20"/>
      <x:c r="C119" s="14" t="str">
        <x:f>IF(OR(COUNTA($A119)=0,'Status'!$E$5=""),"",IF(COUNTIFS('Estimates'!$A$5:$A$2004,$A119,'Estimates'!$B$5:$B$2004,"MPS",'Estimates'!$C$5:$C$2004,'Status'!$E$5)=0,"",IF(COUNTIFS('Estimates'!$A$5:$A$2004,$A119,'Estimates'!$B$5:$B$2004,"MPS",'Estimates'!$C$5:$C$2004,'Status'!$E$5)&gt;1,"DUP",SUMIFS('Estimates'!$F$5:$F$2004,'Estimates'!$A$5:$A$2004,$A119,'Estimates'!$B$5:$B$2004,"MPS",'Estimates'!$C$5:$C$2004,'Status'!$E$5))))</x:f>
      </x:c>
      <x:c r="D119" s="14" t="str">
        <x:f>IF(OR(COUNTA($A119)=0,'Status'!$F$5=""),"",IF(COUNTIFS('Estimates'!$A$5:$A$2004,$A119,'Estimates'!$B$5:$B$2004,"MPS",'Estimates'!$C$5:$C$2004,'Status'!$F$5)=0,"",IF(COUNTIFS('Estimates'!$A$5:$A$2004,$A119,'Estimates'!$B$5:$B$2004,"MPS",'Estimates'!$C$5:$C$2004,'Status'!$F$5)&gt;1,"DUP",SUMIFS('Estimates'!$F$5:$F$2004,'Estimates'!$A$5:$A$2004,$A119,'Estimates'!$B$5:$B$2004,"MPS",'Estimates'!$C$5:$C$2004,'Status'!$F$5))))</x:f>
      </x:c>
      <x:c r="E119" s="14" t="str">
        <x:f>IF(OR(COUNTA($A119)=0,'Status'!$G$5=""),"",IF(COUNTIFS('Estimates'!$A$5:$A$2004,$A119,'Estimates'!$B$5:$B$2004,"MPS",'Estimates'!$C$5:$C$2004,'Status'!$G$5)=0,"",IF(COUNTIFS('Estimates'!$A$5:$A$2004,$A119,'Estimates'!$B$5:$B$2004,"MPS",'Estimates'!$C$5:$C$2004,'Status'!$G$5)&gt;1,"DUP",SUMIFS('Estimates'!$F$5:$F$2004,'Estimates'!$A$5:$A$2004,$A119,'Estimates'!$B$5:$B$2004,"MPS",'Estimates'!$C$5:$C$2004,'Status'!$G$5))))</x:f>
      </x:c>
      <x:c r="F119" s="14" t="str">
        <x:f>IF(COUNT(C119:E119)&lt;2,"",_xlfn.STDEV.S(C119:E119))</x:f>
      </x:c>
      <x:c r="G119" s="14" t="str">
        <x:f>IF(AND(ISNUMBER(D119),ISNUMBER(E119)),ABS(E119-D119),"")</x:f>
      </x:c>
      <x:c r="H119" s="15" t="str">
        <x:f>IF(AND(ISNUMBER(D119),ISNUMBER(E119)),IF(D119=0,"n.a.",ABS(E119-D119)/ABS(D119)),"")</x:f>
      </x:c>
      <x:c r="I119" s="2" t="str">
        <x:f>IF(COUNTA(A119)=0,"",IF(NOT(ISNUMBER('Status'!$B$6)),"Set tolerance",IF(COUNT(C119:E119)&lt;3,"Need 3 levels",IF(OR(C119=0,D119=0),"Use abs. Δ",IF(AND(ABS(D119-C119)/ABS(C119)&lt;='Status'!$B$6,H119&lt;='Status'!$B$6),"Yes","No")))))</x:f>
      </x:c>
      <x:c r="J119" s="14" t="str">
        <x:f>IF(OR(COUNTA($A119)=0,'Status'!$E$6=""),"",IF(COUNTIFS('Estimates'!$A$5:$A$2004,$A119,'Estimates'!$B$5:$B$2004,"PPS",'Estimates'!$D$5:$D$2004,'Status'!$E$6,'Estimates'!$E$5:$E$2004,'Status'!$E$7)=0,"",IF(COUNTIFS('Estimates'!$A$5:$A$2004,$A119,'Estimates'!$B$5:$B$2004,"PPS",'Estimates'!$D$5:$D$2004,'Status'!$E$6,'Estimates'!$E$5:$E$2004,'Status'!$E$7)&gt;1,"DUP",SUMIFS('Estimates'!$F$5:$F$2004,'Estimates'!$A$5:$A$2004,$A119,'Estimates'!$B$5:$B$2004,"PPS",'Estimates'!$D$5:$D$2004,'Status'!$E$6,'Estimates'!$E$5:$E$2004,'Status'!$E$7))))</x:f>
      </x:c>
      <x:c r="K119" s="14" t="str">
        <x:f>IF(OR(COUNTA($A119)=0,'Status'!$F$6=""),"",IF(COUNTIFS('Estimates'!$A$5:$A$2004,$A119,'Estimates'!$B$5:$B$2004,"PPS",'Estimates'!$D$5:$D$2004,'Status'!$F$6,'Estimates'!$E$5:$E$2004,'Status'!$E$7)=0,"",IF(COUNTIFS('Estimates'!$A$5:$A$2004,$A119,'Estimates'!$B$5:$B$2004,"PPS",'Estimates'!$D$5:$D$2004,'Status'!$F$6,'Estimates'!$E$5:$E$2004,'Status'!$E$7)&gt;1,"DUP",SUMIFS('Estimates'!$F$5:$F$2004,'Estimates'!$A$5:$A$2004,$A119,'Estimates'!$B$5:$B$2004,"PPS",'Estimates'!$D$5:$D$2004,'Status'!$F$6,'Estimates'!$E$5:$E$2004,'Status'!$E$7))))</x:f>
      </x:c>
      <x:c r="L119" s="14" t="str">
        <x:f>IF(OR(COUNTA($A119)=0,'Status'!$G$6=""),"",IF(COUNTIFS('Estimates'!$A$5:$A$2004,$A119,'Estimates'!$B$5:$B$2004,"PPS",'Estimates'!$D$5:$D$2004,'Status'!$G$6,'Estimates'!$E$5:$E$2004,'Status'!$E$7)=0,"",IF(COUNTIFS('Estimates'!$A$5:$A$2004,$A119,'Estimates'!$B$5:$B$2004,"PPS",'Estimates'!$D$5:$D$2004,'Status'!$G$6,'Estimates'!$E$5:$E$2004,'Status'!$E$7)&gt;1,"DUP",SUMIFS('Estimates'!$F$5:$F$2004,'Estimates'!$A$5:$A$2004,$A119,'Estimates'!$B$5:$B$2004,"PPS",'Estimates'!$D$5:$D$2004,'Status'!$G$6,'Estimates'!$E$5:$E$2004,'Status'!$E$7))))</x:f>
      </x:c>
      <x:c r="M119" s="14" t="str">
        <x:f>IF(COUNT(J119:L119)&lt;2,"",_xlfn.STDEV.S(J119:L119))</x:f>
      </x:c>
      <x:c r="N119" s="14" t="str">
        <x:f>IF(AND(ISNUMBER(K119),ISNUMBER(L119)),ABS(L119-K119),"")</x:f>
      </x:c>
      <x:c r="O119" s="15" t="str">
        <x:f>IF(AND(ISNUMBER(K119),ISNUMBER(L119)),IF(K119=0,"n.a.",ABS(L119-K119)/ABS(K119)),"")</x:f>
      </x:c>
      <x:c r="P119" s="2" t="str">
        <x:f>IF(COUNTA(A119)=0,"",IF(NOT(ISNUMBER('Status'!$B$6)),"Set tolerance",IF(COUNT(J119:L119)&lt;3,"Need 3 levels",IF(OR(J119=0,K119=0),"Use abs. Δ",IF(AND(ABS(K119-J119)/ABS(J119)&lt;='Status'!$B$6,O119&lt;='Status'!$B$6),"Yes","No")))))</x:f>
      </x:c>
      <x:c r="Q119" s="14" t="str">
        <x:f>IF(AND(ISNUMBER(E119),ISNUMBER(L119)),ABS(E119-L119),"")</x:f>
      </x:c>
      <x:c r="R119" s="2" t="str">
        <x:f>IF(COUNTA(A119)=0,"",IF(COUNT(C119:E119,J119:L119)&gt;0,1,0))</x:f>
      </x:c>
      <x:c r="S119" s="2" t="str">
        <x:f>IF(COUNTA(A119)=0,"",IF(COUNTIFS($A$6:$A$165,A119)&gt;1,"Duplicate target",""))</x:f>
      </x:c>
    </x:row>
    <x:row r="120">
      <x:c r="A120" s="6"/>
      <x:c r="B120" s="20"/>
      <x:c r="C120" s="14" t="str">
        <x:f>IF(OR(COUNTA($A120)=0,'Status'!$E$5=""),"",IF(COUNTIFS('Estimates'!$A$5:$A$2004,$A120,'Estimates'!$B$5:$B$2004,"MPS",'Estimates'!$C$5:$C$2004,'Status'!$E$5)=0,"",IF(COUNTIFS('Estimates'!$A$5:$A$2004,$A120,'Estimates'!$B$5:$B$2004,"MPS",'Estimates'!$C$5:$C$2004,'Status'!$E$5)&gt;1,"DUP",SUMIFS('Estimates'!$F$5:$F$2004,'Estimates'!$A$5:$A$2004,$A120,'Estimates'!$B$5:$B$2004,"MPS",'Estimates'!$C$5:$C$2004,'Status'!$E$5))))</x:f>
      </x:c>
      <x:c r="D120" s="14" t="str">
        <x:f>IF(OR(COUNTA($A120)=0,'Status'!$F$5=""),"",IF(COUNTIFS('Estimates'!$A$5:$A$2004,$A120,'Estimates'!$B$5:$B$2004,"MPS",'Estimates'!$C$5:$C$2004,'Status'!$F$5)=0,"",IF(COUNTIFS('Estimates'!$A$5:$A$2004,$A120,'Estimates'!$B$5:$B$2004,"MPS",'Estimates'!$C$5:$C$2004,'Status'!$F$5)&gt;1,"DUP",SUMIFS('Estimates'!$F$5:$F$2004,'Estimates'!$A$5:$A$2004,$A120,'Estimates'!$B$5:$B$2004,"MPS",'Estimates'!$C$5:$C$2004,'Status'!$F$5))))</x:f>
      </x:c>
      <x:c r="E120" s="14" t="str">
        <x:f>IF(OR(COUNTA($A120)=0,'Status'!$G$5=""),"",IF(COUNTIFS('Estimates'!$A$5:$A$2004,$A120,'Estimates'!$B$5:$B$2004,"MPS",'Estimates'!$C$5:$C$2004,'Status'!$G$5)=0,"",IF(COUNTIFS('Estimates'!$A$5:$A$2004,$A120,'Estimates'!$B$5:$B$2004,"MPS",'Estimates'!$C$5:$C$2004,'Status'!$G$5)&gt;1,"DUP",SUMIFS('Estimates'!$F$5:$F$2004,'Estimates'!$A$5:$A$2004,$A120,'Estimates'!$B$5:$B$2004,"MPS",'Estimates'!$C$5:$C$2004,'Status'!$G$5))))</x:f>
      </x:c>
      <x:c r="F120" s="14" t="str">
        <x:f>IF(COUNT(C120:E120)&lt;2,"",_xlfn.STDEV.S(C120:E120))</x:f>
      </x:c>
      <x:c r="G120" s="14" t="str">
        <x:f>IF(AND(ISNUMBER(D120),ISNUMBER(E120)),ABS(E120-D120),"")</x:f>
      </x:c>
      <x:c r="H120" s="15" t="str">
        <x:f>IF(AND(ISNUMBER(D120),ISNUMBER(E120)),IF(D120=0,"n.a.",ABS(E120-D120)/ABS(D120)),"")</x:f>
      </x:c>
      <x:c r="I120" s="2" t="str">
        <x:f>IF(COUNTA(A120)=0,"",IF(NOT(ISNUMBER('Status'!$B$6)),"Set tolerance",IF(COUNT(C120:E120)&lt;3,"Need 3 levels",IF(OR(C120=0,D120=0),"Use abs. Δ",IF(AND(ABS(D120-C120)/ABS(C120)&lt;='Status'!$B$6,H120&lt;='Status'!$B$6),"Yes","No")))))</x:f>
      </x:c>
      <x:c r="J120" s="14" t="str">
        <x:f>IF(OR(COUNTA($A120)=0,'Status'!$E$6=""),"",IF(COUNTIFS('Estimates'!$A$5:$A$2004,$A120,'Estimates'!$B$5:$B$2004,"PPS",'Estimates'!$D$5:$D$2004,'Status'!$E$6,'Estimates'!$E$5:$E$2004,'Status'!$E$7)=0,"",IF(COUNTIFS('Estimates'!$A$5:$A$2004,$A120,'Estimates'!$B$5:$B$2004,"PPS",'Estimates'!$D$5:$D$2004,'Status'!$E$6,'Estimates'!$E$5:$E$2004,'Status'!$E$7)&gt;1,"DUP",SUMIFS('Estimates'!$F$5:$F$2004,'Estimates'!$A$5:$A$2004,$A120,'Estimates'!$B$5:$B$2004,"PPS",'Estimates'!$D$5:$D$2004,'Status'!$E$6,'Estimates'!$E$5:$E$2004,'Status'!$E$7))))</x:f>
      </x:c>
      <x:c r="K120" s="14" t="str">
        <x:f>IF(OR(COUNTA($A120)=0,'Status'!$F$6=""),"",IF(COUNTIFS('Estimates'!$A$5:$A$2004,$A120,'Estimates'!$B$5:$B$2004,"PPS",'Estimates'!$D$5:$D$2004,'Status'!$F$6,'Estimates'!$E$5:$E$2004,'Status'!$E$7)=0,"",IF(COUNTIFS('Estimates'!$A$5:$A$2004,$A120,'Estimates'!$B$5:$B$2004,"PPS",'Estimates'!$D$5:$D$2004,'Status'!$F$6,'Estimates'!$E$5:$E$2004,'Status'!$E$7)&gt;1,"DUP",SUMIFS('Estimates'!$F$5:$F$2004,'Estimates'!$A$5:$A$2004,$A120,'Estimates'!$B$5:$B$2004,"PPS",'Estimates'!$D$5:$D$2004,'Status'!$F$6,'Estimates'!$E$5:$E$2004,'Status'!$E$7))))</x:f>
      </x:c>
      <x:c r="L120" s="14" t="str">
        <x:f>IF(OR(COUNTA($A120)=0,'Status'!$G$6=""),"",IF(COUNTIFS('Estimates'!$A$5:$A$2004,$A120,'Estimates'!$B$5:$B$2004,"PPS",'Estimates'!$D$5:$D$2004,'Status'!$G$6,'Estimates'!$E$5:$E$2004,'Status'!$E$7)=0,"",IF(COUNTIFS('Estimates'!$A$5:$A$2004,$A120,'Estimates'!$B$5:$B$2004,"PPS",'Estimates'!$D$5:$D$2004,'Status'!$G$6,'Estimates'!$E$5:$E$2004,'Status'!$E$7)&gt;1,"DUP",SUMIFS('Estimates'!$F$5:$F$2004,'Estimates'!$A$5:$A$2004,$A120,'Estimates'!$B$5:$B$2004,"PPS",'Estimates'!$D$5:$D$2004,'Status'!$G$6,'Estimates'!$E$5:$E$2004,'Status'!$E$7))))</x:f>
      </x:c>
      <x:c r="M120" s="14" t="str">
        <x:f>IF(COUNT(J120:L120)&lt;2,"",_xlfn.STDEV.S(J120:L120))</x:f>
      </x:c>
      <x:c r="N120" s="14" t="str">
        <x:f>IF(AND(ISNUMBER(K120),ISNUMBER(L120)),ABS(L120-K120),"")</x:f>
      </x:c>
      <x:c r="O120" s="15" t="str">
        <x:f>IF(AND(ISNUMBER(K120),ISNUMBER(L120)),IF(K120=0,"n.a.",ABS(L120-K120)/ABS(K120)),"")</x:f>
      </x:c>
      <x:c r="P120" s="2" t="str">
        <x:f>IF(COUNTA(A120)=0,"",IF(NOT(ISNUMBER('Status'!$B$6)),"Set tolerance",IF(COUNT(J120:L120)&lt;3,"Need 3 levels",IF(OR(J120=0,K120=0),"Use abs. Δ",IF(AND(ABS(K120-J120)/ABS(J120)&lt;='Status'!$B$6,O120&lt;='Status'!$B$6),"Yes","No")))))</x:f>
      </x:c>
      <x:c r="Q120" s="14" t="str">
        <x:f>IF(AND(ISNUMBER(E120),ISNUMBER(L120)),ABS(E120-L120),"")</x:f>
      </x:c>
      <x:c r="R120" s="2" t="str">
        <x:f>IF(COUNTA(A120)=0,"",IF(COUNT(C120:E120,J120:L120)&gt;0,1,0))</x:f>
      </x:c>
      <x:c r="S120" s="2" t="str">
        <x:f>IF(COUNTA(A120)=0,"",IF(COUNTIFS($A$6:$A$165,A120)&gt;1,"Duplicate target",""))</x:f>
      </x:c>
    </x:row>
    <x:row r="121">
      <x:c r="A121" s="6"/>
      <x:c r="B121" s="20"/>
      <x:c r="C121" s="14" t="str">
        <x:f>IF(OR(COUNTA($A121)=0,'Status'!$E$5=""),"",IF(COUNTIFS('Estimates'!$A$5:$A$2004,$A121,'Estimates'!$B$5:$B$2004,"MPS",'Estimates'!$C$5:$C$2004,'Status'!$E$5)=0,"",IF(COUNTIFS('Estimates'!$A$5:$A$2004,$A121,'Estimates'!$B$5:$B$2004,"MPS",'Estimates'!$C$5:$C$2004,'Status'!$E$5)&gt;1,"DUP",SUMIFS('Estimates'!$F$5:$F$2004,'Estimates'!$A$5:$A$2004,$A121,'Estimates'!$B$5:$B$2004,"MPS",'Estimates'!$C$5:$C$2004,'Status'!$E$5))))</x:f>
      </x:c>
      <x:c r="D121" s="14" t="str">
        <x:f>IF(OR(COUNTA($A121)=0,'Status'!$F$5=""),"",IF(COUNTIFS('Estimates'!$A$5:$A$2004,$A121,'Estimates'!$B$5:$B$2004,"MPS",'Estimates'!$C$5:$C$2004,'Status'!$F$5)=0,"",IF(COUNTIFS('Estimates'!$A$5:$A$2004,$A121,'Estimates'!$B$5:$B$2004,"MPS",'Estimates'!$C$5:$C$2004,'Status'!$F$5)&gt;1,"DUP",SUMIFS('Estimates'!$F$5:$F$2004,'Estimates'!$A$5:$A$2004,$A121,'Estimates'!$B$5:$B$2004,"MPS",'Estimates'!$C$5:$C$2004,'Status'!$F$5))))</x:f>
      </x:c>
      <x:c r="E121" s="14" t="str">
        <x:f>IF(OR(COUNTA($A121)=0,'Status'!$G$5=""),"",IF(COUNTIFS('Estimates'!$A$5:$A$2004,$A121,'Estimates'!$B$5:$B$2004,"MPS",'Estimates'!$C$5:$C$2004,'Status'!$G$5)=0,"",IF(COUNTIFS('Estimates'!$A$5:$A$2004,$A121,'Estimates'!$B$5:$B$2004,"MPS",'Estimates'!$C$5:$C$2004,'Status'!$G$5)&gt;1,"DUP",SUMIFS('Estimates'!$F$5:$F$2004,'Estimates'!$A$5:$A$2004,$A121,'Estimates'!$B$5:$B$2004,"MPS",'Estimates'!$C$5:$C$2004,'Status'!$G$5))))</x:f>
      </x:c>
      <x:c r="F121" s="14" t="str">
        <x:f>IF(COUNT(C121:E121)&lt;2,"",_xlfn.STDEV.S(C121:E121))</x:f>
      </x:c>
      <x:c r="G121" s="14" t="str">
        <x:f>IF(AND(ISNUMBER(D121),ISNUMBER(E121)),ABS(E121-D121),"")</x:f>
      </x:c>
      <x:c r="H121" s="15" t="str">
        <x:f>IF(AND(ISNUMBER(D121),ISNUMBER(E121)),IF(D121=0,"n.a.",ABS(E121-D121)/ABS(D121)),"")</x:f>
      </x:c>
      <x:c r="I121" s="2" t="str">
        <x:f>IF(COUNTA(A121)=0,"",IF(NOT(ISNUMBER('Status'!$B$6)),"Set tolerance",IF(COUNT(C121:E121)&lt;3,"Need 3 levels",IF(OR(C121=0,D121=0),"Use abs. Δ",IF(AND(ABS(D121-C121)/ABS(C121)&lt;='Status'!$B$6,H121&lt;='Status'!$B$6),"Yes","No")))))</x:f>
      </x:c>
      <x:c r="J121" s="14" t="str">
        <x:f>IF(OR(COUNTA($A121)=0,'Status'!$E$6=""),"",IF(COUNTIFS('Estimates'!$A$5:$A$2004,$A121,'Estimates'!$B$5:$B$2004,"PPS",'Estimates'!$D$5:$D$2004,'Status'!$E$6,'Estimates'!$E$5:$E$2004,'Status'!$E$7)=0,"",IF(COUNTIFS('Estimates'!$A$5:$A$2004,$A121,'Estimates'!$B$5:$B$2004,"PPS",'Estimates'!$D$5:$D$2004,'Status'!$E$6,'Estimates'!$E$5:$E$2004,'Status'!$E$7)&gt;1,"DUP",SUMIFS('Estimates'!$F$5:$F$2004,'Estimates'!$A$5:$A$2004,$A121,'Estimates'!$B$5:$B$2004,"PPS",'Estimates'!$D$5:$D$2004,'Status'!$E$6,'Estimates'!$E$5:$E$2004,'Status'!$E$7))))</x:f>
      </x:c>
      <x:c r="K121" s="14" t="str">
        <x:f>IF(OR(COUNTA($A121)=0,'Status'!$F$6=""),"",IF(COUNTIFS('Estimates'!$A$5:$A$2004,$A121,'Estimates'!$B$5:$B$2004,"PPS",'Estimates'!$D$5:$D$2004,'Status'!$F$6,'Estimates'!$E$5:$E$2004,'Status'!$E$7)=0,"",IF(COUNTIFS('Estimates'!$A$5:$A$2004,$A121,'Estimates'!$B$5:$B$2004,"PPS",'Estimates'!$D$5:$D$2004,'Status'!$F$6,'Estimates'!$E$5:$E$2004,'Status'!$E$7)&gt;1,"DUP",SUMIFS('Estimates'!$F$5:$F$2004,'Estimates'!$A$5:$A$2004,$A121,'Estimates'!$B$5:$B$2004,"PPS",'Estimates'!$D$5:$D$2004,'Status'!$F$6,'Estimates'!$E$5:$E$2004,'Status'!$E$7))))</x:f>
      </x:c>
      <x:c r="L121" s="14" t="str">
        <x:f>IF(OR(COUNTA($A121)=0,'Status'!$G$6=""),"",IF(COUNTIFS('Estimates'!$A$5:$A$2004,$A121,'Estimates'!$B$5:$B$2004,"PPS",'Estimates'!$D$5:$D$2004,'Status'!$G$6,'Estimates'!$E$5:$E$2004,'Status'!$E$7)=0,"",IF(COUNTIFS('Estimates'!$A$5:$A$2004,$A121,'Estimates'!$B$5:$B$2004,"PPS",'Estimates'!$D$5:$D$2004,'Status'!$G$6,'Estimates'!$E$5:$E$2004,'Status'!$E$7)&gt;1,"DUP",SUMIFS('Estimates'!$F$5:$F$2004,'Estimates'!$A$5:$A$2004,$A121,'Estimates'!$B$5:$B$2004,"PPS",'Estimates'!$D$5:$D$2004,'Status'!$G$6,'Estimates'!$E$5:$E$2004,'Status'!$E$7))))</x:f>
      </x:c>
      <x:c r="M121" s="14" t="str">
        <x:f>IF(COUNT(J121:L121)&lt;2,"",_xlfn.STDEV.S(J121:L121))</x:f>
      </x:c>
      <x:c r="N121" s="14" t="str">
        <x:f>IF(AND(ISNUMBER(K121),ISNUMBER(L121)),ABS(L121-K121),"")</x:f>
      </x:c>
      <x:c r="O121" s="15" t="str">
        <x:f>IF(AND(ISNUMBER(K121),ISNUMBER(L121)),IF(K121=0,"n.a.",ABS(L121-K121)/ABS(K121)),"")</x:f>
      </x:c>
      <x:c r="P121" s="2" t="str">
        <x:f>IF(COUNTA(A121)=0,"",IF(NOT(ISNUMBER('Status'!$B$6)),"Set tolerance",IF(COUNT(J121:L121)&lt;3,"Need 3 levels",IF(OR(J121=0,K121=0),"Use abs. Δ",IF(AND(ABS(K121-J121)/ABS(J121)&lt;='Status'!$B$6,O121&lt;='Status'!$B$6),"Yes","No")))))</x:f>
      </x:c>
      <x:c r="Q121" s="14" t="str">
        <x:f>IF(AND(ISNUMBER(E121),ISNUMBER(L121)),ABS(E121-L121),"")</x:f>
      </x:c>
      <x:c r="R121" s="2" t="str">
        <x:f>IF(COUNTA(A121)=0,"",IF(COUNT(C121:E121,J121:L121)&gt;0,1,0))</x:f>
      </x:c>
      <x:c r="S121" s="2" t="str">
        <x:f>IF(COUNTA(A121)=0,"",IF(COUNTIFS($A$6:$A$165,A121)&gt;1,"Duplicate target",""))</x:f>
      </x:c>
    </x:row>
    <x:row r="122">
      <x:c r="A122" s="6"/>
      <x:c r="B122" s="20"/>
      <x:c r="C122" s="14" t="str">
        <x:f>IF(OR(COUNTA($A122)=0,'Status'!$E$5=""),"",IF(COUNTIFS('Estimates'!$A$5:$A$2004,$A122,'Estimates'!$B$5:$B$2004,"MPS",'Estimates'!$C$5:$C$2004,'Status'!$E$5)=0,"",IF(COUNTIFS('Estimates'!$A$5:$A$2004,$A122,'Estimates'!$B$5:$B$2004,"MPS",'Estimates'!$C$5:$C$2004,'Status'!$E$5)&gt;1,"DUP",SUMIFS('Estimates'!$F$5:$F$2004,'Estimates'!$A$5:$A$2004,$A122,'Estimates'!$B$5:$B$2004,"MPS",'Estimates'!$C$5:$C$2004,'Status'!$E$5))))</x:f>
      </x:c>
      <x:c r="D122" s="14" t="str">
        <x:f>IF(OR(COUNTA($A122)=0,'Status'!$F$5=""),"",IF(COUNTIFS('Estimates'!$A$5:$A$2004,$A122,'Estimates'!$B$5:$B$2004,"MPS",'Estimates'!$C$5:$C$2004,'Status'!$F$5)=0,"",IF(COUNTIFS('Estimates'!$A$5:$A$2004,$A122,'Estimates'!$B$5:$B$2004,"MPS",'Estimates'!$C$5:$C$2004,'Status'!$F$5)&gt;1,"DUP",SUMIFS('Estimates'!$F$5:$F$2004,'Estimates'!$A$5:$A$2004,$A122,'Estimates'!$B$5:$B$2004,"MPS",'Estimates'!$C$5:$C$2004,'Status'!$F$5))))</x:f>
      </x:c>
      <x:c r="E122" s="14" t="str">
        <x:f>IF(OR(COUNTA($A122)=0,'Status'!$G$5=""),"",IF(COUNTIFS('Estimates'!$A$5:$A$2004,$A122,'Estimates'!$B$5:$B$2004,"MPS",'Estimates'!$C$5:$C$2004,'Status'!$G$5)=0,"",IF(COUNTIFS('Estimates'!$A$5:$A$2004,$A122,'Estimates'!$B$5:$B$2004,"MPS",'Estimates'!$C$5:$C$2004,'Status'!$G$5)&gt;1,"DUP",SUMIFS('Estimates'!$F$5:$F$2004,'Estimates'!$A$5:$A$2004,$A122,'Estimates'!$B$5:$B$2004,"MPS",'Estimates'!$C$5:$C$2004,'Status'!$G$5))))</x:f>
      </x:c>
      <x:c r="F122" s="14" t="str">
        <x:f>IF(COUNT(C122:E122)&lt;2,"",_xlfn.STDEV.S(C122:E122))</x:f>
      </x:c>
      <x:c r="G122" s="14" t="str">
        <x:f>IF(AND(ISNUMBER(D122),ISNUMBER(E122)),ABS(E122-D122),"")</x:f>
      </x:c>
      <x:c r="H122" s="15" t="str">
        <x:f>IF(AND(ISNUMBER(D122),ISNUMBER(E122)),IF(D122=0,"n.a.",ABS(E122-D122)/ABS(D122)),"")</x:f>
      </x:c>
      <x:c r="I122" s="2" t="str">
        <x:f>IF(COUNTA(A122)=0,"",IF(NOT(ISNUMBER('Status'!$B$6)),"Set tolerance",IF(COUNT(C122:E122)&lt;3,"Need 3 levels",IF(OR(C122=0,D122=0),"Use abs. Δ",IF(AND(ABS(D122-C122)/ABS(C122)&lt;='Status'!$B$6,H122&lt;='Status'!$B$6),"Yes","No")))))</x:f>
      </x:c>
      <x:c r="J122" s="14" t="str">
        <x:f>IF(OR(COUNTA($A122)=0,'Status'!$E$6=""),"",IF(COUNTIFS('Estimates'!$A$5:$A$2004,$A122,'Estimates'!$B$5:$B$2004,"PPS",'Estimates'!$D$5:$D$2004,'Status'!$E$6,'Estimates'!$E$5:$E$2004,'Status'!$E$7)=0,"",IF(COUNTIFS('Estimates'!$A$5:$A$2004,$A122,'Estimates'!$B$5:$B$2004,"PPS",'Estimates'!$D$5:$D$2004,'Status'!$E$6,'Estimates'!$E$5:$E$2004,'Status'!$E$7)&gt;1,"DUP",SUMIFS('Estimates'!$F$5:$F$2004,'Estimates'!$A$5:$A$2004,$A122,'Estimates'!$B$5:$B$2004,"PPS",'Estimates'!$D$5:$D$2004,'Status'!$E$6,'Estimates'!$E$5:$E$2004,'Status'!$E$7))))</x:f>
      </x:c>
      <x:c r="K122" s="14" t="str">
        <x:f>IF(OR(COUNTA($A122)=0,'Status'!$F$6=""),"",IF(COUNTIFS('Estimates'!$A$5:$A$2004,$A122,'Estimates'!$B$5:$B$2004,"PPS",'Estimates'!$D$5:$D$2004,'Status'!$F$6,'Estimates'!$E$5:$E$2004,'Status'!$E$7)=0,"",IF(COUNTIFS('Estimates'!$A$5:$A$2004,$A122,'Estimates'!$B$5:$B$2004,"PPS",'Estimates'!$D$5:$D$2004,'Status'!$F$6,'Estimates'!$E$5:$E$2004,'Status'!$E$7)&gt;1,"DUP",SUMIFS('Estimates'!$F$5:$F$2004,'Estimates'!$A$5:$A$2004,$A122,'Estimates'!$B$5:$B$2004,"PPS",'Estimates'!$D$5:$D$2004,'Status'!$F$6,'Estimates'!$E$5:$E$2004,'Status'!$E$7))))</x:f>
      </x:c>
      <x:c r="L122" s="14" t="str">
        <x:f>IF(OR(COUNTA($A122)=0,'Status'!$G$6=""),"",IF(COUNTIFS('Estimates'!$A$5:$A$2004,$A122,'Estimates'!$B$5:$B$2004,"PPS",'Estimates'!$D$5:$D$2004,'Status'!$G$6,'Estimates'!$E$5:$E$2004,'Status'!$E$7)=0,"",IF(COUNTIFS('Estimates'!$A$5:$A$2004,$A122,'Estimates'!$B$5:$B$2004,"PPS",'Estimates'!$D$5:$D$2004,'Status'!$G$6,'Estimates'!$E$5:$E$2004,'Status'!$E$7)&gt;1,"DUP",SUMIFS('Estimates'!$F$5:$F$2004,'Estimates'!$A$5:$A$2004,$A122,'Estimates'!$B$5:$B$2004,"PPS",'Estimates'!$D$5:$D$2004,'Status'!$G$6,'Estimates'!$E$5:$E$2004,'Status'!$E$7))))</x:f>
      </x:c>
      <x:c r="M122" s="14" t="str">
        <x:f>IF(COUNT(J122:L122)&lt;2,"",_xlfn.STDEV.S(J122:L122))</x:f>
      </x:c>
      <x:c r="N122" s="14" t="str">
        <x:f>IF(AND(ISNUMBER(K122),ISNUMBER(L122)),ABS(L122-K122),"")</x:f>
      </x:c>
      <x:c r="O122" s="15" t="str">
        <x:f>IF(AND(ISNUMBER(K122),ISNUMBER(L122)),IF(K122=0,"n.a.",ABS(L122-K122)/ABS(K122)),"")</x:f>
      </x:c>
      <x:c r="P122" s="2" t="str">
        <x:f>IF(COUNTA(A122)=0,"",IF(NOT(ISNUMBER('Status'!$B$6)),"Set tolerance",IF(COUNT(J122:L122)&lt;3,"Need 3 levels",IF(OR(J122=0,K122=0),"Use abs. Δ",IF(AND(ABS(K122-J122)/ABS(J122)&lt;='Status'!$B$6,O122&lt;='Status'!$B$6),"Yes","No")))))</x:f>
      </x:c>
      <x:c r="Q122" s="14" t="str">
        <x:f>IF(AND(ISNUMBER(E122),ISNUMBER(L122)),ABS(E122-L122),"")</x:f>
      </x:c>
      <x:c r="R122" s="2" t="str">
        <x:f>IF(COUNTA(A122)=0,"",IF(COUNT(C122:E122,J122:L122)&gt;0,1,0))</x:f>
      </x:c>
      <x:c r="S122" s="2" t="str">
        <x:f>IF(COUNTA(A122)=0,"",IF(COUNTIFS($A$6:$A$165,A122)&gt;1,"Duplicate target",""))</x:f>
      </x:c>
    </x:row>
    <x:row r="123">
      <x:c r="A123" s="6"/>
      <x:c r="B123" s="20"/>
      <x:c r="C123" s="14" t="str">
        <x:f>IF(OR(COUNTA($A123)=0,'Status'!$E$5=""),"",IF(COUNTIFS('Estimates'!$A$5:$A$2004,$A123,'Estimates'!$B$5:$B$2004,"MPS",'Estimates'!$C$5:$C$2004,'Status'!$E$5)=0,"",IF(COUNTIFS('Estimates'!$A$5:$A$2004,$A123,'Estimates'!$B$5:$B$2004,"MPS",'Estimates'!$C$5:$C$2004,'Status'!$E$5)&gt;1,"DUP",SUMIFS('Estimates'!$F$5:$F$2004,'Estimates'!$A$5:$A$2004,$A123,'Estimates'!$B$5:$B$2004,"MPS",'Estimates'!$C$5:$C$2004,'Status'!$E$5))))</x:f>
      </x:c>
      <x:c r="D123" s="14" t="str">
        <x:f>IF(OR(COUNTA($A123)=0,'Status'!$F$5=""),"",IF(COUNTIFS('Estimates'!$A$5:$A$2004,$A123,'Estimates'!$B$5:$B$2004,"MPS",'Estimates'!$C$5:$C$2004,'Status'!$F$5)=0,"",IF(COUNTIFS('Estimates'!$A$5:$A$2004,$A123,'Estimates'!$B$5:$B$2004,"MPS",'Estimates'!$C$5:$C$2004,'Status'!$F$5)&gt;1,"DUP",SUMIFS('Estimates'!$F$5:$F$2004,'Estimates'!$A$5:$A$2004,$A123,'Estimates'!$B$5:$B$2004,"MPS",'Estimates'!$C$5:$C$2004,'Status'!$F$5))))</x:f>
      </x:c>
      <x:c r="E123" s="14" t="str">
        <x:f>IF(OR(COUNTA($A123)=0,'Status'!$G$5=""),"",IF(COUNTIFS('Estimates'!$A$5:$A$2004,$A123,'Estimates'!$B$5:$B$2004,"MPS",'Estimates'!$C$5:$C$2004,'Status'!$G$5)=0,"",IF(COUNTIFS('Estimates'!$A$5:$A$2004,$A123,'Estimates'!$B$5:$B$2004,"MPS",'Estimates'!$C$5:$C$2004,'Status'!$G$5)&gt;1,"DUP",SUMIFS('Estimates'!$F$5:$F$2004,'Estimates'!$A$5:$A$2004,$A123,'Estimates'!$B$5:$B$2004,"MPS",'Estimates'!$C$5:$C$2004,'Status'!$G$5))))</x:f>
      </x:c>
      <x:c r="F123" s="14" t="str">
        <x:f>IF(COUNT(C123:E123)&lt;2,"",_xlfn.STDEV.S(C123:E123))</x:f>
      </x:c>
      <x:c r="G123" s="14" t="str">
        <x:f>IF(AND(ISNUMBER(D123),ISNUMBER(E123)),ABS(E123-D123),"")</x:f>
      </x:c>
      <x:c r="H123" s="15" t="str">
        <x:f>IF(AND(ISNUMBER(D123),ISNUMBER(E123)),IF(D123=0,"n.a.",ABS(E123-D123)/ABS(D123)),"")</x:f>
      </x:c>
      <x:c r="I123" s="2" t="str">
        <x:f>IF(COUNTA(A123)=0,"",IF(NOT(ISNUMBER('Status'!$B$6)),"Set tolerance",IF(COUNT(C123:E123)&lt;3,"Need 3 levels",IF(OR(C123=0,D123=0),"Use abs. Δ",IF(AND(ABS(D123-C123)/ABS(C123)&lt;='Status'!$B$6,H123&lt;='Status'!$B$6),"Yes","No")))))</x:f>
      </x:c>
      <x:c r="J123" s="14" t="str">
        <x:f>IF(OR(COUNTA($A123)=0,'Status'!$E$6=""),"",IF(COUNTIFS('Estimates'!$A$5:$A$2004,$A123,'Estimates'!$B$5:$B$2004,"PPS",'Estimates'!$D$5:$D$2004,'Status'!$E$6,'Estimates'!$E$5:$E$2004,'Status'!$E$7)=0,"",IF(COUNTIFS('Estimates'!$A$5:$A$2004,$A123,'Estimates'!$B$5:$B$2004,"PPS",'Estimates'!$D$5:$D$2004,'Status'!$E$6,'Estimates'!$E$5:$E$2004,'Status'!$E$7)&gt;1,"DUP",SUMIFS('Estimates'!$F$5:$F$2004,'Estimates'!$A$5:$A$2004,$A123,'Estimates'!$B$5:$B$2004,"PPS",'Estimates'!$D$5:$D$2004,'Status'!$E$6,'Estimates'!$E$5:$E$2004,'Status'!$E$7))))</x:f>
      </x:c>
      <x:c r="K123" s="14" t="str">
        <x:f>IF(OR(COUNTA($A123)=0,'Status'!$F$6=""),"",IF(COUNTIFS('Estimates'!$A$5:$A$2004,$A123,'Estimates'!$B$5:$B$2004,"PPS",'Estimates'!$D$5:$D$2004,'Status'!$F$6,'Estimates'!$E$5:$E$2004,'Status'!$E$7)=0,"",IF(COUNTIFS('Estimates'!$A$5:$A$2004,$A123,'Estimates'!$B$5:$B$2004,"PPS",'Estimates'!$D$5:$D$2004,'Status'!$F$6,'Estimates'!$E$5:$E$2004,'Status'!$E$7)&gt;1,"DUP",SUMIFS('Estimates'!$F$5:$F$2004,'Estimates'!$A$5:$A$2004,$A123,'Estimates'!$B$5:$B$2004,"PPS",'Estimates'!$D$5:$D$2004,'Status'!$F$6,'Estimates'!$E$5:$E$2004,'Status'!$E$7))))</x:f>
      </x:c>
      <x:c r="L123" s="14" t="str">
        <x:f>IF(OR(COUNTA($A123)=0,'Status'!$G$6=""),"",IF(COUNTIFS('Estimates'!$A$5:$A$2004,$A123,'Estimates'!$B$5:$B$2004,"PPS",'Estimates'!$D$5:$D$2004,'Status'!$G$6,'Estimates'!$E$5:$E$2004,'Status'!$E$7)=0,"",IF(COUNTIFS('Estimates'!$A$5:$A$2004,$A123,'Estimates'!$B$5:$B$2004,"PPS",'Estimates'!$D$5:$D$2004,'Status'!$G$6,'Estimates'!$E$5:$E$2004,'Status'!$E$7)&gt;1,"DUP",SUMIFS('Estimates'!$F$5:$F$2004,'Estimates'!$A$5:$A$2004,$A123,'Estimates'!$B$5:$B$2004,"PPS",'Estimates'!$D$5:$D$2004,'Status'!$G$6,'Estimates'!$E$5:$E$2004,'Status'!$E$7))))</x:f>
      </x:c>
      <x:c r="M123" s="14" t="str">
        <x:f>IF(COUNT(J123:L123)&lt;2,"",_xlfn.STDEV.S(J123:L123))</x:f>
      </x:c>
      <x:c r="N123" s="14" t="str">
        <x:f>IF(AND(ISNUMBER(K123),ISNUMBER(L123)),ABS(L123-K123),"")</x:f>
      </x:c>
      <x:c r="O123" s="15" t="str">
        <x:f>IF(AND(ISNUMBER(K123),ISNUMBER(L123)),IF(K123=0,"n.a.",ABS(L123-K123)/ABS(K123)),"")</x:f>
      </x:c>
      <x:c r="P123" s="2" t="str">
        <x:f>IF(COUNTA(A123)=0,"",IF(NOT(ISNUMBER('Status'!$B$6)),"Set tolerance",IF(COUNT(J123:L123)&lt;3,"Need 3 levels",IF(OR(J123=0,K123=0),"Use abs. Δ",IF(AND(ABS(K123-J123)/ABS(J123)&lt;='Status'!$B$6,O123&lt;='Status'!$B$6),"Yes","No")))))</x:f>
      </x:c>
      <x:c r="Q123" s="14" t="str">
        <x:f>IF(AND(ISNUMBER(E123),ISNUMBER(L123)),ABS(E123-L123),"")</x:f>
      </x:c>
      <x:c r="R123" s="2" t="str">
        <x:f>IF(COUNTA(A123)=0,"",IF(COUNT(C123:E123,J123:L123)&gt;0,1,0))</x:f>
      </x:c>
      <x:c r="S123" s="2" t="str">
        <x:f>IF(COUNTA(A123)=0,"",IF(COUNTIFS($A$6:$A$165,A123)&gt;1,"Duplicate target",""))</x:f>
      </x:c>
    </x:row>
    <x:row r="124">
      <x:c r="A124" s="6"/>
      <x:c r="B124" s="20"/>
      <x:c r="C124" s="14" t="str">
        <x:f>IF(OR(COUNTA($A124)=0,'Status'!$E$5=""),"",IF(COUNTIFS('Estimates'!$A$5:$A$2004,$A124,'Estimates'!$B$5:$B$2004,"MPS",'Estimates'!$C$5:$C$2004,'Status'!$E$5)=0,"",IF(COUNTIFS('Estimates'!$A$5:$A$2004,$A124,'Estimates'!$B$5:$B$2004,"MPS",'Estimates'!$C$5:$C$2004,'Status'!$E$5)&gt;1,"DUP",SUMIFS('Estimates'!$F$5:$F$2004,'Estimates'!$A$5:$A$2004,$A124,'Estimates'!$B$5:$B$2004,"MPS",'Estimates'!$C$5:$C$2004,'Status'!$E$5))))</x:f>
      </x:c>
      <x:c r="D124" s="14" t="str">
        <x:f>IF(OR(COUNTA($A124)=0,'Status'!$F$5=""),"",IF(COUNTIFS('Estimates'!$A$5:$A$2004,$A124,'Estimates'!$B$5:$B$2004,"MPS",'Estimates'!$C$5:$C$2004,'Status'!$F$5)=0,"",IF(COUNTIFS('Estimates'!$A$5:$A$2004,$A124,'Estimates'!$B$5:$B$2004,"MPS",'Estimates'!$C$5:$C$2004,'Status'!$F$5)&gt;1,"DUP",SUMIFS('Estimates'!$F$5:$F$2004,'Estimates'!$A$5:$A$2004,$A124,'Estimates'!$B$5:$B$2004,"MPS",'Estimates'!$C$5:$C$2004,'Status'!$F$5))))</x:f>
      </x:c>
      <x:c r="E124" s="14" t="str">
        <x:f>IF(OR(COUNTA($A124)=0,'Status'!$G$5=""),"",IF(COUNTIFS('Estimates'!$A$5:$A$2004,$A124,'Estimates'!$B$5:$B$2004,"MPS",'Estimates'!$C$5:$C$2004,'Status'!$G$5)=0,"",IF(COUNTIFS('Estimates'!$A$5:$A$2004,$A124,'Estimates'!$B$5:$B$2004,"MPS",'Estimates'!$C$5:$C$2004,'Status'!$G$5)&gt;1,"DUP",SUMIFS('Estimates'!$F$5:$F$2004,'Estimates'!$A$5:$A$2004,$A124,'Estimates'!$B$5:$B$2004,"MPS",'Estimates'!$C$5:$C$2004,'Status'!$G$5))))</x:f>
      </x:c>
      <x:c r="F124" s="14" t="str">
        <x:f>IF(COUNT(C124:E124)&lt;2,"",_xlfn.STDEV.S(C124:E124))</x:f>
      </x:c>
      <x:c r="G124" s="14" t="str">
        <x:f>IF(AND(ISNUMBER(D124),ISNUMBER(E124)),ABS(E124-D124),"")</x:f>
      </x:c>
      <x:c r="H124" s="15" t="str">
        <x:f>IF(AND(ISNUMBER(D124),ISNUMBER(E124)),IF(D124=0,"n.a.",ABS(E124-D124)/ABS(D124)),"")</x:f>
      </x:c>
      <x:c r="I124" s="2" t="str">
        <x:f>IF(COUNTA(A124)=0,"",IF(NOT(ISNUMBER('Status'!$B$6)),"Set tolerance",IF(COUNT(C124:E124)&lt;3,"Need 3 levels",IF(OR(C124=0,D124=0),"Use abs. Δ",IF(AND(ABS(D124-C124)/ABS(C124)&lt;='Status'!$B$6,H124&lt;='Status'!$B$6),"Yes","No")))))</x:f>
      </x:c>
      <x:c r="J124" s="14" t="str">
        <x:f>IF(OR(COUNTA($A124)=0,'Status'!$E$6=""),"",IF(COUNTIFS('Estimates'!$A$5:$A$2004,$A124,'Estimates'!$B$5:$B$2004,"PPS",'Estimates'!$D$5:$D$2004,'Status'!$E$6,'Estimates'!$E$5:$E$2004,'Status'!$E$7)=0,"",IF(COUNTIFS('Estimates'!$A$5:$A$2004,$A124,'Estimates'!$B$5:$B$2004,"PPS",'Estimates'!$D$5:$D$2004,'Status'!$E$6,'Estimates'!$E$5:$E$2004,'Status'!$E$7)&gt;1,"DUP",SUMIFS('Estimates'!$F$5:$F$2004,'Estimates'!$A$5:$A$2004,$A124,'Estimates'!$B$5:$B$2004,"PPS",'Estimates'!$D$5:$D$2004,'Status'!$E$6,'Estimates'!$E$5:$E$2004,'Status'!$E$7))))</x:f>
      </x:c>
      <x:c r="K124" s="14" t="str">
        <x:f>IF(OR(COUNTA($A124)=0,'Status'!$F$6=""),"",IF(COUNTIFS('Estimates'!$A$5:$A$2004,$A124,'Estimates'!$B$5:$B$2004,"PPS",'Estimates'!$D$5:$D$2004,'Status'!$F$6,'Estimates'!$E$5:$E$2004,'Status'!$E$7)=0,"",IF(COUNTIFS('Estimates'!$A$5:$A$2004,$A124,'Estimates'!$B$5:$B$2004,"PPS",'Estimates'!$D$5:$D$2004,'Status'!$F$6,'Estimates'!$E$5:$E$2004,'Status'!$E$7)&gt;1,"DUP",SUMIFS('Estimates'!$F$5:$F$2004,'Estimates'!$A$5:$A$2004,$A124,'Estimates'!$B$5:$B$2004,"PPS",'Estimates'!$D$5:$D$2004,'Status'!$F$6,'Estimates'!$E$5:$E$2004,'Status'!$E$7))))</x:f>
      </x:c>
      <x:c r="L124" s="14" t="str">
        <x:f>IF(OR(COUNTA($A124)=0,'Status'!$G$6=""),"",IF(COUNTIFS('Estimates'!$A$5:$A$2004,$A124,'Estimates'!$B$5:$B$2004,"PPS",'Estimates'!$D$5:$D$2004,'Status'!$G$6,'Estimates'!$E$5:$E$2004,'Status'!$E$7)=0,"",IF(COUNTIFS('Estimates'!$A$5:$A$2004,$A124,'Estimates'!$B$5:$B$2004,"PPS",'Estimates'!$D$5:$D$2004,'Status'!$G$6,'Estimates'!$E$5:$E$2004,'Status'!$E$7)&gt;1,"DUP",SUMIFS('Estimates'!$F$5:$F$2004,'Estimates'!$A$5:$A$2004,$A124,'Estimates'!$B$5:$B$2004,"PPS",'Estimates'!$D$5:$D$2004,'Status'!$G$6,'Estimates'!$E$5:$E$2004,'Status'!$E$7))))</x:f>
      </x:c>
      <x:c r="M124" s="14" t="str">
        <x:f>IF(COUNT(J124:L124)&lt;2,"",_xlfn.STDEV.S(J124:L124))</x:f>
      </x:c>
      <x:c r="N124" s="14" t="str">
        <x:f>IF(AND(ISNUMBER(K124),ISNUMBER(L124)),ABS(L124-K124),"")</x:f>
      </x:c>
      <x:c r="O124" s="15" t="str">
        <x:f>IF(AND(ISNUMBER(K124),ISNUMBER(L124)),IF(K124=0,"n.a.",ABS(L124-K124)/ABS(K124)),"")</x:f>
      </x:c>
      <x:c r="P124" s="2" t="str">
        <x:f>IF(COUNTA(A124)=0,"",IF(NOT(ISNUMBER('Status'!$B$6)),"Set tolerance",IF(COUNT(J124:L124)&lt;3,"Need 3 levels",IF(OR(J124=0,K124=0),"Use abs. Δ",IF(AND(ABS(K124-J124)/ABS(J124)&lt;='Status'!$B$6,O124&lt;='Status'!$B$6),"Yes","No")))))</x:f>
      </x:c>
      <x:c r="Q124" s="14" t="str">
        <x:f>IF(AND(ISNUMBER(E124),ISNUMBER(L124)),ABS(E124-L124),"")</x:f>
      </x:c>
      <x:c r="R124" s="2" t="str">
        <x:f>IF(COUNTA(A124)=0,"",IF(COUNT(C124:E124,J124:L124)&gt;0,1,0))</x:f>
      </x:c>
      <x:c r="S124" s="2" t="str">
        <x:f>IF(COUNTA(A124)=0,"",IF(COUNTIFS($A$6:$A$165,A124)&gt;1,"Duplicate target",""))</x:f>
      </x:c>
    </x:row>
    <x:row r="125">
      <x:c r="A125" s="6"/>
      <x:c r="B125" s="20"/>
      <x:c r="C125" s="14" t="str">
        <x:f>IF(OR(COUNTA($A125)=0,'Status'!$E$5=""),"",IF(COUNTIFS('Estimates'!$A$5:$A$2004,$A125,'Estimates'!$B$5:$B$2004,"MPS",'Estimates'!$C$5:$C$2004,'Status'!$E$5)=0,"",IF(COUNTIFS('Estimates'!$A$5:$A$2004,$A125,'Estimates'!$B$5:$B$2004,"MPS",'Estimates'!$C$5:$C$2004,'Status'!$E$5)&gt;1,"DUP",SUMIFS('Estimates'!$F$5:$F$2004,'Estimates'!$A$5:$A$2004,$A125,'Estimates'!$B$5:$B$2004,"MPS",'Estimates'!$C$5:$C$2004,'Status'!$E$5))))</x:f>
      </x:c>
      <x:c r="D125" s="14" t="str">
        <x:f>IF(OR(COUNTA($A125)=0,'Status'!$F$5=""),"",IF(COUNTIFS('Estimates'!$A$5:$A$2004,$A125,'Estimates'!$B$5:$B$2004,"MPS",'Estimates'!$C$5:$C$2004,'Status'!$F$5)=0,"",IF(COUNTIFS('Estimates'!$A$5:$A$2004,$A125,'Estimates'!$B$5:$B$2004,"MPS",'Estimates'!$C$5:$C$2004,'Status'!$F$5)&gt;1,"DUP",SUMIFS('Estimates'!$F$5:$F$2004,'Estimates'!$A$5:$A$2004,$A125,'Estimates'!$B$5:$B$2004,"MPS",'Estimates'!$C$5:$C$2004,'Status'!$F$5))))</x:f>
      </x:c>
      <x:c r="E125" s="14" t="str">
        <x:f>IF(OR(COUNTA($A125)=0,'Status'!$G$5=""),"",IF(COUNTIFS('Estimates'!$A$5:$A$2004,$A125,'Estimates'!$B$5:$B$2004,"MPS",'Estimates'!$C$5:$C$2004,'Status'!$G$5)=0,"",IF(COUNTIFS('Estimates'!$A$5:$A$2004,$A125,'Estimates'!$B$5:$B$2004,"MPS",'Estimates'!$C$5:$C$2004,'Status'!$G$5)&gt;1,"DUP",SUMIFS('Estimates'!$F$5:$F$2004,'Estimates'!$A$5:$A$2004,$A125,'Estimates'!$B$5:$B$2004,"MPS",'Estimates'!$C$5:$C$2004,'Status'!$G$5))))</x:f>
      </x:c>
      <x:c r="F125" s="14" t="str">
        <x:f>IF(COUNT(C125:E125)&lt;2,"",_xlfn.STDEV.S(C125:E125))</x:f>
      </x:c>
      <x:c r="G125" s="14" t="str">
        <x:f>IF(AND(ISNUMBER(D125),ISNUMBER(E125)),ABS(E125-D125),"")</x:f>
      </x:c>
      <x:c r="H125" s="15" t="str">
        <x:f>IF(AND(ISNUMBER(D125),ISNUMBER(E125)),IF(D125=0,"n.a.",ABS(E125-D125)/ABS(D125)),"")</x:f>
      </x:c>
      <x:c r="I125" s="2" t="str">
        <x:f>IF(COUNTA(A125)=0,"",IF(NOT(ISNUMBER('Status'!$B$6)),"Set tolerance",IF(COUNT(C125:E125)&lt;3,"Need 3 levels",IF(OR(C125=0,D125=0),"Use abs. Δ",IF(AND(ABS(D125-C125)/ABS(C125)&lt;='Status'!$B$6,H125&lt;='Status'!$B$6),"Yes","No")))))</x:f>
      </x:c>
      <x:c r="J125" s="14" t="str">
        <x:f>IF(OR(COUNTA($A125)=0,'Status'!$E$6=""),"",IF(COUNTIFS('Estimates'!$A$5:$A$2004,$A125,'Estimates'!$B$5:$B$2004,"PPS",'Estimates'!$D$5:$D$2004,'Status'!$E$6,'Estimates'!$E$5:$E$2004,'Status'!$E$7)=0,"",IF(COUNTIFS('Estimates'!$A$5:$A$2004,$A125,'Estimates'!$B$5:$B$2004,"PPS",'Estimates'!$D$5:$D$2004,'Status'!$E$6,'Estimates'!$E$5:$E$2004,'Status'!$E$7)&gt;1,"DUP",SUMIFS('Estimates'!$F$5:$F$2004,'Estimates'!$A$5:$A$2004,$A125,'Estimates'!$B$5:$B$2004,"PPS",'Estimates'!$D$5:$D$2004,'Status'!$E$6,'Estimates'!$E$5:$E$2004,'Status'!$E$7))))</x:f>
      </x:c>
      <x:c r="K125" s="14" t="str">
        <x:f>IF(OR(COUNTA($A125)=0,'Status'!$F$6=""),"",IF(COUNTIFS('Estimates'!$A$5:$A$2004,$A125,'Estimates'!$B$5:$B$2004,"PPS",'Estimates'!$D$5:$D$2004,'Status'!$F$6,'Estimates'!$E$5:$E$2004,'Status'!$E$7)=0,"",IF(COUNTIFS('Estimates'!$A$5:$A$2004,$A125,'Estimates'!$B$5:$B$2004,"PPS",'Estimates'!$D$5:$D$2004,'Status'!$F$6,'Estimates'!$E$5:$E$2004,'Status'!$E$7)&gt;1,"DUP",SUMIFS('Estimates'!$F$5:$F$2004,'Estimates'!$A$5:$A$2004,$A125,'Estimates'!$B$5:$B$2004,"PPS",'Estimates'!$D$5:$D$2004,'Status'!$F$6,'Estimates'!$E$5:$E$2004,'Status'!$E$7))))</x:f>
      </x:c>
      <x:c r="L125" s="14" t="str">
        <x:f>IF(OR(COUNTA($A125)=0,'Status'!$G$6=""),"",IF(COUNTIFS('Estimates'!$A$5:$A$2004,$A125,'Estimates'!$B$5:$B$2004,"PPS",'Estimates'!$D$5:$D$2004,'Status'!$G$6,'Estimates'!$E$5:$E$2004,'Status'!$E$7)=0,"",IF(COUNTIFS('Estimates'!$A$5:$A$2004,$A125,'Estimates'!$B$5:$B$2004,"PPS",'Estimates'!$D$5:$D$2004,'Status'!$G$6,'Estimates'!$E$5:$E$2004,'Status'!$E$7)&gt;1,"DUP",SUMIFS('Estimates'!$F$5:$F$2004,'Estimates'!$A$5:$A$2004,$A125,'Estimates'!$B$5:$B$2004,"PPS",'Estimates'!$D$5:$D$2004,'Status'!$G$6,'Estimates'!$E$5:$E$2004,'Status'!$E$7))))</x:f>
      </x:c>
      <x:c r="M125" s="14" t="str">
        <x:f>IF(COUNT(J125:L125)&lt;2,"",_xlfn.STDEV.S(J125:L125))</x:f>
      </x:c>
      <x:c r="N125" s="14" t="str">
        <x:f>IF(AND(ISNUMBER(K125),ISNUMBER(L125)),ABS(L125-K125),"")</x:f>
      </x:c>
      <x:c r="O125" s="15" t="str">
        <x:f>IF(AND(ISNUMBER(K125),ISNUMBER(L125)),IF(K125=0,"n.a.",ABS(L125-K125)/ABS(K125)),"")</x:f>
      </x:c>
      <x:c r="P125" s="2" t="str">
        <x:f>IF(COUNTA(A125)=0,"",IF(NOT(ISNUMBER('Status'!$B$6)),"Set tolerance",IF(COUNT(J125:L125)&lt;3,"Need 3 levels",IF(OR(J125=0,K125=0),"Use abs. Δ",IF(AND(ABS(K125-J125)/ABS(J125)&lt;='Status'!$B$6,O125&lt;='Status'!$B$6),"Yes","No")))))</x:f>
      </x:c>
      <x:c r="Q125" s="14" t="str">
        <x:f>IF(AND(ISNUMBER(E125),ISNUMBER(L125)),ABS(E125-L125),"")</x:f>
      </x:c>
      <x:c r="R125" s="2" t="str">
        <x:f>IF(COUNTA(A125)=0,"",IF(COUNT(C125:E125,J125:L125)&gt;0,1,0))</x:f>
      </x:c>
      <x:c r="S125" s="2" t="str">
        <x:f>IF(COUNTA(A125)=0,"",IF(COUNTIFS($A$6:$A$165,A125)&gt;1,"Duplicate target",""))</x:f>
      </x:c>
    </x:row>
    <x:row r="126">
      <x:c r="A126" s="6"/>
      <x:c r="B126" s="20"/>
      <x:c r="C126" s="14" t="str">
        <x:f>IF(OR(COUNTA($A126)=0,'Status'!$E$5=""),"",IF(COUNTIFS('Estimates'!$A$5:$A$2004,$A126,'Estimates'!$B$5:$B$2004,"MPS",'Estimates'!$C$5:$C$2004,'Status'!$E$5)=0,"",IF(COUNTIFS('Estimates'!$A$5:$A$2004,$A126,'Estimates'!$B$5:$B$2004,"MPS",'Estimates'!$C$5:$C$2004,'Status'!$E$5)&gt;1,"DUP",SUMIFS('Estimates'!$F$5:$F$2004,'Estimates'!$A$5:$A$2004,$A126,'Estimates'!$B$5:$B$2004,"MPS",'Estimates'!$C$5:$C$2004,'Status'!$E$5))))</x:f>
      </x:c>
      <x:c r="D126" s="14" t="str">
        <x:f>IF(OR(COUNTA($A126)=0,'Status'!$F$5=""),"",IF(COUNTIFS('Estimates'!$A$5:$A$2004,$A126,'Estimates'!$B$5:$B$2004,"MPS",'Estimates'!$C$5:$C$2004,'Status'!$F$5)=0,"",IF(COUNTIFS('Estimates'!$A$5:$A$2004,$A126,'Estimates'!$B$5:$B$2004,"MPS",'Estimates'!$C$5:$C$2004,'Status'!$F$5)&gt;1,"DUP",SUMIFS('Estimates'!$F$5:$F$2004,'Estimates'!$A$5:$A$2004,$A126,'Estimates'!$B$5:$B$2004,"MPS",'Estimates'!$C$5:$C$2004,'Status'!$F$5))))</x:f>
      </x:c>
      <x:c r="E126" s="14" t="str">
        <x:f>IF(OR(COUNTA($A126)=0,'Status'!$G$5=""),"",IF(COUNTIFS('Estimates'!$A$5:$A$2004,$A126,'Estimates'!$B$5:$B$2004,"MPS",'Estimates'!$C$5:$C$2004,'Status'!$G$5)=0,"",IF(COUNTIFS('Estimates'!$A$5:$A$2004,$A126,'Estimates'!$B$5:$B$2004,"MPS",'Estimates'!$C$5:$C$2004,'Status'!$G$5)&gt;1,"DUP",SUMIFS('Estimates'!$F$5:$F$2004,'Estimates'!$A$5:$A$2004,$A126,'Estimates'!$B$5:$B$2004,"MPS",'Estimates'!$C$5:$C$2004,'Status'!$G$5))))</x:f>
      </x:c>
      <x:c r="F126" s="14" t="str">
        <x:f>IF(COUNT(C126:E126)&lt;2,"",_xlfn.STDEV.S(C126:E126))</x:f>
      </x:c>
      <x:c r="G126" s="14" t="str">
        <x:f>IF(AND(ISNUMBER(D126),ISNUMBER(E126)),ABS(E126-D126),"")</x:f>
      </x:c>
      <x:c r="H126" s="15" t="str">
        <x:f>IF(AND(ISNUMBER(D126),ISNUMBER(E126)),IF(D126=0,"n.a.",ABS(E126-D126)/ABS(D126)),"")</x:f>
      </x:c>
      <x:c r="I126" s="2" t="str">
        <x:f>IF(COUNTA(A126)=0,"",IF(NOT(ISNUMBER('Status'!$B$6)),"Set tolerance",IF(COUNT(C126:E126)&lt;3,"Need 3 levels",IF(OR(C126=0,D126=0),"Use abs. Δ",IF(AND(ABS(D126-C126)/ABS(C126)&lt;='Status'!$B$6,H126&lt;='Status'!$B$6),"Yes","No")))))</x:f>
      </x:c>
      <x:c r="J126" s="14" t="str">
        <x:f>IF(OR(COUNTA($A126)=0,'Status'!$E$6=""),"",IF(COUNTIFS('Estimates'!$A$5:$A$2004,$A126,'Estimates'!$B$5:$B$2004,"PPS",'Estimates'!$D$5:$D$2004,'Status'!$E$6,'Estimates'!$E$5:$E$2004,'Status'!$E$7)=0,"",IF(COUNTIFS('Estimates'!$A$5:$A$2004,$A126,'Estimates'!$B$5:$B$2004,"PPS",'Estimates'!$D$5:$D$2004,'Status'!$E$6,'Estimates'!$E$5:$E$2004,'Status'!$E$7)&gt;1,"DUP",SUMIFS('Estimates'!$F$5:$F$2004,'Estimates'!$A$5:$A$2004,$A126,'Estimates'!$B$5:$B$2004,"PPS",'Estimates'!$D$5:$D$2004,'Status'!$E$6,'Estimates'!$E$5:$E$2004,'Status'!$E$7))))</x:f>
      </x:c>
      <x:c r="K126" s="14" t="str">
        <x:f>IF(OR(COUNTA($A126)=0,'Status'!$F$6=""),"",IF(COUNTIFS('Estimates'!$A$5:$A$2004,$A126,'Estimates'!$B$5:$B$2004,"PPS",'Estimates'!$D$5:$D$2004,'Status'!$F$6,'Estimates'!$E$5:$E$2004,'Status'!$E$7)=0,"",IF(COUNTIFS('Estimates'!$A$5:$A$2004,$A126,'Estimates'!$B$5:$B$2004,"PPS",'Estimates'!$D$5:$D$2004,'Status'!$F$6,'Estimates'!$E$5:$E$2004,'Status'!$E$7)&gt;1,"DUP",SUMIFS('Estimates'!$F$5:$F$2004,'Estimates'!$A$5:$A$2004,$A126,'Estimates'!$B$5:$B$2004,"PPS",'Estimates'!$D$5:$D$2004,'Status'!$F$6,'Estimates'!$E$5:$E$2004,'Status'!$E$7))))</x:f>
      </x:c>
      <x:c r="L126" s="14" t="str">
        <x:f>IF(OR(COUNTA($A126)=0,'Status'!$G$6=""),"",IF(COUNTIFS('Estimates'!$A$5:$A$2004,$A126,'Estimates'!$B$5:$B$2004,"PPS",'Estimates'!$D$5:$D$2004,'Status'!$G$6,'Estimates'!$E$5:$E$2004,'Status'!$E$7)=0,"",IF(COUNTIFS('Estimates'!$A$5:$A$2004,$A126,'Estimates'!$B$5:$B$2004,"PPS",'Estimates'!$D$5:$D$2004,'Status'!$G$6,'Estimates'!$E$5:$E$2004,'Status'!$E$7)&gt;1,"DUP",SUMIFS('Estimates'!$F$5:$F$2004,'Estimates'!$A$5:$A$2004,$A126,'Estimates'!$B$5:$B$2004,"PPS",'Estimates'!$D$5:$D$2004,'Status'!$G$6,'Estimates'!$E$5:$E$2004,'Status'!$E$7))))</x:f>
      </x:c>
      <x:c r="M126" s="14" t="str">
        <x:f>IF(COUNT(J126:L126)&lt;2,"",_xlfn.STDEV.S(J126:L126))</x:f>
      </x:c>
      <x:c r="N126" s="14" t="str">
        <x:f>IF(AND(ISNUMBER(K126),ISNUMBER(L126)),ABS(L126-K126),"")</x:f>
      </x:c>
      <x:c r="O126" s="15" t="str">
        <x:f>IF(AND(ISNUMBER(K126),ISNUMBER(L126)),IF(K126=0,"n.a.",ABS(L126-K126)/ABS(K126)),"")</x:f>
      </x:c>
      <x:c r="P126" s="2" t="str">
        <x:f>IF(COUNTA(A126)=0,"",IF(NOT(ISNUMBER('Status'!$B$6)),"Set tolerance",IF(COUNT(J126:L126)&lt;3,"Need 3 levels",IF(OR(J126=0,K126=0),"Use abs. Δ",IF(AND(ABS(K126-J126)/ABS(J126)&lt;='Status'!$B$6,O126&lt;='Status'!$B$6),"Yes","No")))))</x:f>
      </x:c>
      <x:c r="Q126" s="14" t="str">
        <x:f>IF(AND(ISNUMBER(E126),ISNUMBER(L126)),ABS(E126-L126),"")</x:f>
      </x:c>
      <x:c r="R126" s="2" t="str">
        <x:f>IF(COUNTA(A126)=0,"",IF(COUNT(C126:E126,J126:L126)&gt;0,1,0))</x:f>
      </x:c>
      <x:c r="S126" s="2" t="str">
        <x:f>IF(COUNTA(A126)=0,"",IF(COUNTIFS($A$6:$A$165,A126)&gt;1,"Duplicate target",""))</x:f>
      </x:c>
    </x:row>
    <x:row r="127">
      <x:c r="A127" s="6"/>
      <x:c r="B127" s="20"/>
      <x:c r="C127" s="14" t="str">
        <x:f>IF(OR(COUNTA($A127)=0,'Status'!$E$5=""),"",IF(COUNTIFS('Estimates'!$A$5:$A$2004,$A127,'Estimates'!$B$5:$B$2004,"MPS",'Estimates'!$C$5:$C$2004,'Status'!$E$5)=0,"",IF(COUNTIFS('Estimates'!$A$5:$A$2004,$A127,'Estimates'!$B$5:$B$2004,"MPS",'Estimates'!$C$5:$C$2004,'Status'!$E$5)&gt;1,"DUP",SUMIFS('Estimates'!$F$5:$F$2004,'Estimates'!$A$5:$A$2004,$A127,'Estimates'!$B$5:$B$2004,"MPS",'Estimates'!$C$5:$C$2004,'Status'!$E$5))))</x:f>
      </x:c>
      <x:c r="D127" s="14" t="str">
        <x:f>IF(OR(COUNTA($A127)=0,'Status'!$F$5=""),"",IF(COUNTIFS('Estimates'!$A$5:$A$2004,$A127,'Estimates'!$B$5:$B$2004,"MPS",'Estimates'!$C$5:$C$2004,'Status'!$F$5)=0,"",IF(COUNTIFS('Estimates'!$A$5:$A$2004,$A127,'Estimates'!$B$5:$B$2004,"MPS",'Estimates'!$C$5:$C$2004,'Status'!$F$5)&gt;1,"DUP",SUMIFS('Estimates'!$F$5:$F$2004,'Estimates'!$A$5:$A$2004,$A127,'Estimates'!$B$5:$B$2004,"MPS",'Estimates'!$C$5:$C$2004,'Status'!$F$5))))</x:f>
      </x:c>
      <x:c r="E127" s="14" t="str">
        <x:f>IF(OR(COUNTA($A127)=0,'Status'!$G$5=""),"",IF(COUNTIFS('Estimates'!$A$5:$A$2004,$A127,'Estimates'!$B$5:$B$2004,"MPS",'Estimates'!$C$5:$C$2004,'Status'!$G$5)=0,"",IF(COUNTIFS('Estimates'!$A$5:$A$2004,$A127,'Estimates'!$B$5:$B$2004,"MPS",'Estimates'!$C$5:$C$2004,'Status'!$G$5)&gt;1,"DUP",SUMIFS('Estimates'!$F$5:$F$2004,'Estimates'!$A$5:$A$2004,$A127,'Estimates'!$B$5:$B$2004,"MPS",'Estimates'!$C$5:$C$2004,'Status'!$G$5))))</x:f>
      </x:c>
      <x:c r="F127" s="14" t="str">
        <x:f>IF(COUNT(C127:E127)&lt;2,"",_xlfn.STDEV.S(C127:E127))</x:f>
      </x:c>
      <x:c r="G127" s="14" t="str">
        <x:f>IF(AND(ISNUMBER(D127),ISNUMBER(E127)),ABS(E127-D127),"")</x:f>
      </x:c>
      <x:c r="H127" s="15" t="str">
        <x:f>IF(AND(ISNUMBER(D127),ISNUMBER(E127)),IF(D127=0,"n.a.",ABS(E127-D127)/ABS(D127)),"")</x:f>
      </x:c>
      <x:c r="I127" s="2" t="str">
        <x:f>IF(COUNTA(A127)=0,"",IF(NOT(ISNUMBER('Status'!$B$6)),"Set tolerance",IF(COUNT(C127:E127)&lt;3,"Need 3 levels",IF(OR(C127=0,D127=0),"Use abs. Δ",IF(AND(ABS(D127-C127)/ABS(C127)&lt;='Status'!$B$6,H127&lt;='Status'!$B$6),"Yes","No")))))</x:f>
      </x:c>
      <x:c r="J127" s="14" t="str">
        <x:f>IF(OR(COUNTA($A127)=0,'Status'!$E$6=""),"",IF(COUNTIFS('Estimates'!$A$5:$A$2004,$A127,'Estimates'!$B$5:$B$2004,"PPS",'Estimates'!$D$5:$D$2004,'Status'!$E$6,'Estimates'!$E$5:$E$2004,'Status'!$E$7)=0,"",IF(COUNTIFS('Estimates'!$A$5:$A$2004,$A127,'Estimates'!$B$5:$B$2004,"PPS",'Estimates'!$D$5:$D$2004,'Status'!$E$6,'Estimates'!$E$5:$E$2004,'Status'!$E$7)&gt;1,"DUP",SUMIFS('Estimates'!$F$5:$F$2004,'Estimates'!$A$5:$A$2004,$A127,'Estimates'!$B$5:$B$2004,"PPS",'Estimates'!$D$5:$D$2004,'Status'!$E$6,'Estimates'!$E$5:$E$2004,'Status'!$E$7))))</x:f>
      </x:c>
      <x:c r="K127" s="14" t="str">
        <x:f>IF(OR(COUNTA($A127)=0,'Status'!$F$6=""),"",IF(COUNTIFS('Estimates'!$A$5:$A$2004,$A127,'Estimates'!$B$5:$B$2004,"PPS",'Estimates'!$D$5:$D$2004,'Status'!$F$6,'Estimates'!$E$5:$E$2004,'Status'!$E$7)=0,"",IF(COUNTIFS('Estimates'!$A$5:$A$2004,$A127,'Estimates'!$B$5:$B$2004,"PPS",'Estimates'!$D$5:$D$2004,'Status'!$F$6,'Estimates'!$E$5:$E$2004,'Status'!$E$7)&gt;1,"DUP",SUMIFS('Estimates'!$F$5:$F$2004,'Estimates'!$A$5:$A$2004,$A127,'Estimates'!$B$5:$B$2004,"PPS",'Estimates'!$D$5:$D$2004,'Status'!$F$6,'Estimates'!$E$5:$E$2004,'Status'!$E$7))))</x:f>
      </x:c>
      <x:c r="L127" s="14" t="str">
        <x:f>IF(OR(COUNTA($A127)=0,'Status'!$G$6=""),"",IF(COUNTIFS('Estimates'!$A$5:$A$2004,$A127,'Estimates'!$B$5:$B$2004,"PPS",'Estimates'!$D$5:$D$2004,'Status'!$G$6,'Estimates'!$E$5:$E$2004,'Status'!$E$7)=0,"",IF(COUNTIFS('Estimates'!$A$5:$A$2004,$A127,'Estimates'!$B$5:$B$2004,"PPS",'Estimates'!$D$5:$D$2004,'Status'!$G$6,'Estimates'!$E$5:$E$2004,'Status'!$E$7)&gt;1,"DUP",SUMIFS('Estimates'!$F$5:$F$2004,'Estimates'!$A$5:$A$2004,$A127,'Estimates'!$B$5:$B$2004,"PPS",'Estimates'!$D$5:$D$2004,'Status'!$G$6,'Estimates'!$E$5:$E$2004,'Status'!$E$7))))</x:f>
      </x:c>
      <x:c r="M127" s="14" t="str">
        <x:f>IF(COUNT(J127:L127)&lt;2,"",_xlfn.STDEV.S(J127:L127))</x:f>
      </x:c>
      <x:c r="N127" s="14" t="str">
        <x:f>IF(AND(ISNUMBER(K127),ISNUMBER(L127)),ABS(L127-K127),"")</x:f>
      </x:c>
      <x:c r="O127" s="15" t="str">
        <x:f>IF(AND(ISNUMBER(K127),ISNUMBER(L127)),IF(K127=0,"n.a.",ABS(L127-K127)/ABS(K127)),"")</x:f>
      </x:c>
      <x:c r="P127" s="2" t="str">
        <x:f>IF(COUNTA(A127)=0,"",IF(NOT(ISNUMBER('Status'!$B$6)),"Set tolerance",IF(COUNT(J127:L127)&lt;3,"Need 3 levels",IF(OR(J127=0,K127=0),"Use abs. Δ",IF(AND(ABS(K127-J127)/ABS(J127)&lt;='Status'!$B$6,O127&lt;='Status'!$B$6),"Yes","No")))))</x:f>
      </x:c>
      <x:c r="Q127" s="14" t="str">
        <x:f>IF(AND(ISNUMBER(E127),ISNUMBER(L127)),ABS(E127-L127),"")</x:f>
      </x:c>
      <x:c r="R127" s="2" t="str">
        <x:f>IF(COUNTA(A127)=0,"",IF(COUNT(C127:E127,J127:L127)&gt;0,1,0))</x:f>
      </x:c>
      <x:c r="S127" s="2" t="str">
        <x:f>IF(COUNTA(A127)=0,"",IF(COUNTIFS($A$6:$A$165,A127)&gt;1,"Duplicate target",""))</x:f>
      </x:c>
    </x:row>
    <x:row r="128">
      <x:c r="A128" s="6"/>
      <x:c r="B128" s="20"/>
      <x:c r="C128" s="14" t="str">
        <x:f>IF(OR(COUNTA($A128)=0,'Status'!$E$5=""),"",IF(COUNTIFS('Estimates'!$A$5:$A$2004,$A128,'Estimates'!$B$5:$B$2004,"MPS",'Estimates'!$C$5:$C$2004,'Status'!$E$5)=0,"",IF(COUNTIFS('Estimates'!$A$5:$A$2004,$A128,'Estimates'!$B$5:$B$2004,"MPS",'Estimates'!$C$5:$C$2004,'Status'!$E$5)&gt;1,"DUP",SUMIFS('Estimates'!$F$5:$F$2004,'Estimates'!$A$5:$A$2004,$A128,'Estimates'!$B$5:$B$2004,"MPS",'Estimates'!$C$5:$C$2004,'Status'!$E$5))))</x:f>
      </x:c>
      <x:c r="D128" s="14" t="str">
        <x:f>IF(OR(COUNTA($A128)=0,'Status'!$F$5=""),"",IF(COUNTIFS('Estimates'!$A$5:$A$2004,$A128,'Estimates'!$B$5:$B$2004,"MPS",'Estimates'!$C$5:$C$2004,'Status'!$F$5)=0,"",IF(COUNTIFS('Estimates'!$A$5:$A$2004,$A128,'Estimates'!$B$5:$B$2004,"MPS",'Estimates'!$C$5:$C$2004,'Status'!$F$5)&gt;1,"DUP",SUMIFS('Estimates'!$F$5:$F$2004,'Estimates'!$A$5:$A$2004,$A128,'Estimates'!$B$5:$B$2004,"MPS",'Estimates'!$C$5:$C$2004,'Status'!$F$5))))</x:f>
      </x:c>
      <x:c r="E128" s="14" t="str">
        <x:f>IF(OR(COUNTA($A128)=0,'Status'!$G$5=""),"",IF(COUNTIFS('Estimates'!$A$5:$A$2004,$A128,'Estimates'!$B$5:$B$2004,"MPS",'Estimates'!$C$5:$C$2004,'Status'!$G$5)=0,"",IF(COUNTIFS('Estimates'!$A$5:$A$2004,$A128,'Estimates'!$B$5:$B$2004,"MPS",'Estimates'!$C$5:$C$2004,'Status'!$G$5)&gt;1,"DUP",SUMIFS('Estimates'!$F$5:$F$2004,'Estimates'!$A$5:$A$2004,$A128,'Estimates'!$B$5:$B$2004,"MPS",'Estimates'!$C$5:$C$2004,'Status'!$G$5))))</x:f>
      </x:c>
      <x:c r="F128" s="14" t="str">
        <x:f>IF(COUNT(C128:E128)&lt;2,"",_xlfn.STDEV.S(C128:E128))</x:f>
      </x:c>
      <x:c r="G128" s="14" t="str">
        <x:f>IF(AND(ISNUMBER(D128),ISNUMBER(E128)),ABS(E128-D128),"")</x:f>
      </x:c>
      <x:c r="H128" s="15" t="str">
        <x:f>IF(AND(ISNUMBER(D128),ISNUMBER(E128)),IF(D128=0,"n.a.",ABS(E128-D128)/ABS(D128)),"")</x:f>
      </x:c>
      <x:c r="I128" s="2" t="str">
        <x:f>IF(COUNTA(A128)=0,"",IF(NOT(ISNUMBER('Status'!$B$6)),"Set tolerance",IF(COUNT(C128:E128)&lt;3,"Need 3 levels",IF(OR(C128=0,D128=0),"Use abs. Δ",IF(AND(ABS(D128-C128)/ABS(C128)&lt;='Status'!$B$6,H128&lt;='Status'!$B$6),"Yes","No")))))</x:f>
      </x:c>
      <x:c r="J128" s="14" t="str">
        <x:f>IF(OR(COUNTA($A128)=0,'Status'!$E$6=""),"",IF(COUNTIFS('Estimates'!$A$5:$A$2004,$A128,'Estimates'!$B$5:$B$2004,"PPS",'Estimates'!$D$5:$D$2004,'Status'!$E$6,'Estimates'!$E$5:$E$2004,'Status'!$E$7)=0,"",IF(COUNTIFS('Estimates'!$A$5:$A$2004,$A128,'Estimates'!$B$5:$B$2004,"PPS",'Estimates'!$D$5:$D$2004,'Status'!$E$6,'Estimates'!$E$5:$E$2004,'Status'!$E$7)&gt;1,"DUP",SUMIFS('Estimates'!$F$5:$F$2004,'Estimates'!$A$5:$A$2004,$A128,'Estimates'!$B$5:$B$2004,"PPS",'Estimates'!$D$5:$D$2004,'Status'!$E$6,'Estimates'!$E$5:$E$2004,'Status'!$E$7))))</x:f>
      </x:c>
      <x:c r="K128" s="14" t="str">
        <x:f>IF(OR(COUNTA($A128)=0,'Status'!$F$6=""),"",IF(COUNTIFS('Estimates'!$A$5:$A$2004,$A128,'Estimates'!$B$5:$B$2004,"PPS",'Estimates'!$D$5:$D$2004,'Status'!$F$6,'Estimates'!$E$5:$E$2004,'Status'!$E$7)=0,"",IF(COUNTIFS('Estimates'!$A$5:$A$2004,$A128,'Estimates'!$B$5:$B$2004,"PPS",'Estimates'!$D$5:$D$2004,'Status'!$F$6,'Estimates'!$E$5:$E$2004,'Status'!$E$7)&gt;1,"DUP",SUMIFS('Estimates'!$F$5:$F$2004,'Estimates'!$A$5:$A$2004,$A128,'Estimates'!$B$5:$B$2004,"PPS",'Estimates'!$D$5:$D$2004,'Status'!$F$6,'Estimates'!$E$5:$E$2004,'Status'!$E$7))))</x:f>
      </x:c>
      <x:c r="L128" s="14" t="str">
        <x:f>IF(OR(COUNTA($A128)=0,'Status'!$G$6=""),"",IF(COUNTIFS('Estimates'!$A$5:$A$2004,$A128,'Estimates'!$B$5:$B$2004,"PPS",'Estimates'!$D$5:$D$2004,'Status'!$G$6,'Estimates'!$E$5:$E$2004,'Status'!$E$7)=0,"",IF(COUNTIFS('Estimates'!$A$5:$A$2004,$A128,'Estimates'!$B$5:$B$2004,"PPS",'Estimates'!$D$5:$D$2004,'Status'!$G$6,'Estimates'!$E$5:$E$2004,'Status'!$E$7)&gt;1,"DUP",SUMIFS('Estimates'!$F$5:$F$2004,'Estimates'!$A$5:$A$2004,$A128,'Estimates'!$B$5:$B$2004,"PPS",'Estimates'!$D$5:$D$2004,'Status'!$G$6,'Estimates'!$E$5:$E$2004,'Status'!$E$7))))</x:f>
      </x:c>
      <x:c r="M128" s="14" t="str">
        <x:f>IF(COUNT(J128:L128)&lt;2,"",_xlfn.STDEV.S(J128:L128))</x:f>
      </x:c>
      <x:c r="N128" s="14" t="str">
        <x:f>IF(AND(ISNUMBER(K128),ISNUMBER(L128)),ABS(L128-K128),"")</x:f>
      </x:c>
      <x:c r="O128" s="15" t="str">
        <x:f>IF(AND(ISNUMBER(K128),ISNUMBER(L128)),IF(K128=0,"n.a.",ABS(L128-K128)/ABS(K128)),"")</x:f>
      </x:c>
      <x:c r="P128" s="2" t="str">
        <x:f>IF(COUNTA(A128)=0,"",IF(NOT(ISNUMBER('Status'!$B$6)),"Set tolerance",IF(COUNT(J128:L128)&lt;3,"Need 3 levels",IF(OR(J128=0,K128=0),"Use abs. Δ",IF(AND(ABS(K128-J128)/ABS(J128)&lt;='Status'!$B$6,O128&lt;='Status'!$B$6),"Yes","No")))))</x:f>
      </x:c>
      <x:c r="Q128" s="14" t="str">
        <x:f>IF(AND(ISNUMBER(E128),ISNUMBER(L128)),ABS(E128-L128),"")</x:f>
      </x:c>
      <x:c r="R128" s="2" t="str">
        <x:f>IF(COUNTA(A128)=0,"",IF(COUNT(C128:E128,J128:L128)&gt;0,1,0))</x:f>
      </x:c>
      <x:c r="S128" s="2" t="str">
        <x:f>IF(COUNTA(A128)=0,"",IF(COUNTIFS($A$6:$A$165,A128)&gt;1,"Duplicate target",""))</x:f>
      </x:c>
    </x:row>
    <x:row r="129">
      <x:c r="A129" s="6"/>
      <x:c r="B129" s="20"/>
      <x:c r="C129" s="14" t="str">
        <x:f>IF(OR(COUNTA($A129)=0,'Status'!$E$5=""),"",IF(COUNTIFS('Estimates'!$A$5:$A$2004,$A129,'Estimates'!$B$5:$B$2004,"MPS",'Estimates'!$C$5:$C$2004,'Status'!$E$5)=0,"",IF(COUNTIFS('Estimates'!$A$5:$A$2004,$A129,'Estimates'!$B$5:$B$2004,"MPS",'Estimates'!$C$5:$C$2004,'Status'!$E$5)&gt;1,"DUP",SUMIFS('Estimates'!$F$5:$F$2004,'Estimates'!$A$5:$A$2004,$A129,'Estimates'!$B$5:$B$2004,"MPS",'Estimates'!$C$5:$C$2004,'Status'!$E$5))))</x:f>
      </x:c>
      <x:c r="D129" s="14" t="str">
        <x:f>IF(OR(COUNTA($A129)=0,'Status'!$F$5=""),"",IF(COUNTIFS('Estimates'!$A$5:$A$2004,$A129,'Estimates'!$B$5:$B$2004,"MPS",'Estimates'!$C$5:$C$2004,'Status'!$F$5)=0,"",IF(COUNTIFS('Estimates'!$A$5:$A$2004,$A129,'Estimates'!$B$5:$B$2004,"MPS",'Estimates'!$C$5:$C$2004,'Status'!$F$5)&gt;1,"DUP",SUMIFS('Estimates'!$F$5:$F$2004,'Estimates'!$A$5:$A$2004,$A129,'Estimates'!$B$5:$B$2004,"MPS",'Estimates'!$C$5:$C$2004,'Status'!$F$5))))</x:f>
      </x:c>
      <x:c r="E129" s="14" t="str">
        <x:f>IF(OR(COUNTA($A129)=0,'Status'!$G$5=""),"",IF(COUNTIFS('Estimates'!$A$5:$A$2004,$A129,'Estimates'!$B$5:$B$2004,"MPS",'Estimates'!$C$5:$C$2004,'Status'!$G$5)=0,"",IF(COUNTIFS('Estimates'!$A$5:$A$2004,$A129,'Estimates'!$B$5:$B$2004,"MPS",'Estimates'!$C$5:$C$2004,'Status'!$G$5)&gt;1,"DUP",SUMIFS('Estimates'!$F$5:$F$2004,'Estimates'!$A$5:$A$2004,$A129,'Estimates'!$B$5:$B$2004,"MPS",'Estimates'!$C$5:$C$2004,'Status'!$G$5))))</x:f>
      </x:c>
      <x:c r="F129" s="14" t="str">
        <x:f>IF(COUNT(C129:E129)&lt;2,"",_xlfn.STDEV.S(C129:E129))</x:f>
      </x:c>
      <x:c r="G129" s="14" t="str">
        <x:f>IF(AND(ISNUMBER(D129),ISNUMBER(E129)),ABS(E129-D129),"")</x:f>
      </x:c>
      <x:c r="H129" s="15" t="str">
        <x:f>IF(AND(ISNUMBER(D129),ISNUMBER(E129)),IF(D129=0,"n.a.",ABS(E129-D129)/ABS(D129)),"")</x:f>
      </x:c>
      <x:c r="I129" s="2" t="str">
        <x:f>IF(COUNTA(A129)=0,"",IF(NOT(ISNUMBER('Status'!$B$6)),"Set tolerance",IF(COUNT(C129:E129)&lt;3,"Need 3 levels",IF(OR(C129=0,D129=0),"Use abs. Δ",IF(AND(ABS(D129-C129)/ABS(C129)&lt;='Status'!$B$6,H129&lt;='Status'!$B$6),"Yes","No")))))</x:f>
      </x:c>
      <x:c r="J129" s="14" t="str">
        <x:f>IF(OR(COUNTA($A129)=0,'Status'!$E$6=""),"",IF(COUNTIFS('Estimates'!$A$5:$A$2004,$A129,'Estimates'!$B$5:$B$2004,"PPS",'Estimates'!$D$5:$D$2004,'Status'!$E$6,'Estimates'!$E$5:$E$2004,'Status'!$E$7)=0,"",IF(COUNTIFS('Estimates'!$A$5:$A$2004,$A129,'Estimates'!$B$5:$B$2004,"PPS",'Estimates'!$D$5:$D$2004,'Status'!$E$6,'Estimates'!$E$5:$E$2004,'Status'!$E$7)&gt;1,"DUP",SUMIFS('Estimates'!$F$5:$F$2004,'Estimates'!$A$5:$A$2004,$A129,'Estimates'!$B$5:$B$2004,"PPS",'Estimates'!$D$5:$D$2004,'Status'!$E$6,'Estimates'!$E$5:$E$2004,'Status'!$E$7))))</x:f>
      </x:c>
      <x:c r="K129" s="14" t="str">
        <x:f>IF(OR(COUNTA($A129)=0,'Status'!$F$6=""),"",IF(COUNTIFS('Estimates'!$A$5:$A$2004,$A129,'Estimates'!$B$5:$B$2004,"PPS",'Estimates'!$D$5:$D$2004,'Status'!$F$6,'Estimates'!$E$5:$E$2004,'Status'!$E$7)=0,"",IF(COUNTIFS('Estimates'!$A$5:$A$2004,$A129,'Estimates'!$B$5:$B$2004,"PPS",'Estimates'!$D$5:$D$2004,'Status'!$F$6,'Estimates'!$E$5:$E$2004,'Status'!$E$7)&gt;1,"DUP",SUMIFS('Estimates'!$F$5:$F$2004,'Estimates'!$A$5:$A$2004,$A129,'Estimates'!$B$5:$B$2004,"PPS",'Estimates'!$D$5:$D$2004,'Status'!$F$6,'Estimates'!$E$5:$E$2004,'Status'!$E$7))))</x:f>
      </x:c>
      <x:c r="L129" s="14" t="str">
        <x:f>IF(OR(COUNTA($A129)=0,'Status'!$G$6=""),"",IF(COUNTIFS('Estimates'!$A$5:$A$2004,$A129,'Estimates'!$B$5:$B$2004,"PPS",'Estimates'!$D$5:$D$2004,'Status'!$G$6,'Estimates'!$E$5:$E$2004,'Status'!$E$7)=0,"",IF(COUNTIFS('Estimates'!$A$5:$A$2004,$A129,'Estimates'!$B$5:$B$2004,"PPS",'Estimates'!$D$5:$D$2004,'Status'!$G$6,'Estimates'!$E$5:$E$2004,'Status'!$E$7)&gt;1,"DUP",SUMIFS('Estimates'!$F$5:$F$2004,'Estimates'!$A$5:$A$2004,$A129,'Estimates'!$B$5:$B$2004,"PPS",'Estimates'!$D$5:$D$2004,'Status'!$G$6,'Estimates'!$E$5:$E$2004,'Status'!$E$7))))</x:f>
      </x:c>
      <x:c r="M129" s="14" t="str">
        <x:f>IF(COUNT(J129:L129)&lt;2,"",_xlfn.STDEV.S(J129:L129))</x:f>
      </x:c>
      <x:c r="N129" s="14" t="str">
        <x:f>IF(AND(ISNUMBER(K129),ISNUMBER(L129)),ABS(L129-K129),"")</x:f>
      </x:c>
      <x:c r="O129" s="15" t="str">
        <x:f>IF(AND(ISNUMBER(K129),ISNUMBER(L129)),IF(K129=0,"n.a.",ABS(L129-K129)/ABS(K129)),"")</x:f>
      </x:c>
      <x:c r="P129" s="2" t="str">
        <x:f>IF(COUNTA(A129)=0,"",IF(NOT(ISNUMBER('Status'!$B$6)),"Set tolerance",IF(COUNT(J129:L129)&lt;3,"Need 3 levels",IF(OR(J129=0,K129=0),"Use abs. Δ",IF(AND(ABS(K129-J129)/ABS(J129)&lt;='Status'!$B$6,O129&lt;='Status'!$B$6),"Yes","No")))))</x:f>
      </x:c>
      <x:c r="Q129" s="14" t="str">
        <x:f>IF(AND(ISNUMBER(E129),ISNUMBER(L129)),ABS(E129-L129),"")</x:f>
      </x:c>
      <x:c r="R129" s="2" t="str">
        <x:f>IF(COUNTA(A129)=0,"",IF(COUNT(C129:E129,J129:L129)&gt;0,1,0))</x:f>
      </x:c>
      <x:c r="S129" s="2" t="str">
        <x:f>IF(COUNTA(A129)=0,"",IF(COUNTIFS($A$6:$A$165,A129)&gt;1,"Duplicate target",""))</x:f>
      </x:c>
    </x:row>
    <x:row r="130">
      <x:c r="A130" s="6"/>
      <x:c r="B130" s="20"/>
      <x:c r="C130" s="14" t="str">
        <x:f>IF(OR(COUNTA($A130)=0,'Status'!$E$5=""),"",IF(COUNTIFS('Estimates'!$A$5:$A$2004,$A130,'Estimates'!$B$5:$B$2004,"MPS",'Estimates'!$C$5:$C$2004,'Status'!$E$5)=0,"",IF(COUNTIFS('Estimates'!$A$5:$A$2004,$A130,'Estimates'!$B$5:$B$2004,"MPS",'Estimates'!$C$5:$C$2004,'Status'!$E$5)&gt;1,"DUP",SUMIFS('Estimates'!$F$5:$F$2004,'Estimates'!$A$5:$A$2004,$A130,'Estimates'!$B$5:$B$2004,"MPS",'Estimates'!$C$5:$C$2004,'Status'!$E$5))))</x:f>
      </x:c>
      <x:c r="D130" s="14" t="str">
        <x:f>IF(OR(COUNTA($A130)=0,'Status'!$F$5=""),"",IF(COUNTIFS('Estimates'!$A$5:$A$2004,$A130,'Estimates'!$B$5:$B$2004,"MPS",'Estimates'!$C$5:$C$2004,'Status'!$F$5)=0,"",IF(COUNTIFS('Estimates'!$A$5:$A$2004,$A130,'Estimates'!$B$5:$B$2004,"MPS",'Estimates'!$C$5:$C$2004,'Status'!$F$5)&gt;1,"DUP",SUMIFS('Estimates'!$F$5:$F$2004,'Estimates'!$A$5:$A$2004,$A130,'Estimates'!$B$5:$B$2004,"MPS",'Estimates'!$C$5:$C$2004,'Status'!$F$5))))</x:f>
      </x:c>
      <x:c r="E130" s="14" t="str">
        <x:f>IF(OR(COUNTA($A130)=0,'Status'!$G$5=""),"",IF(COUNTIFS('Estimates'!$A$5:$A$2004,$A130,'Estimates'!$B$5:$B$2004,"MPS",'Estimates'!$C$5:$C$2004,'Status'!$G$5)=0,"",IF(COUNTIFS('Estimates'!$A$5:$A$2004,$A130,'Estimates'!$B$5:$B$2004,"MPS",'Estimates'!$C$5:$C$2004,'Status'!$G$5)&gt;1,"DUP",SUMIFS('Estimates'!$F$5:$F$2004,'Estimates'!$A$5:$A$2004,$A130,'Estimates'!$B$5:$B$2004,"MPS",'Estimates'!$C$5:$C$2004,'Status'!$G$5))))</x:f>
      </x:c>
      <x:c r="F130" s="14" t="str">
        <x:f>IF(COUNT(C130:E130)&lt;2,"",_xlfn.STDEV.S(C130:E130))</x:f>
      </x:c>
      <x:c r="G130" s="14" t="str">
        <x:f>IF(AND(ISNUMBER(D130),ISNUMBER(E130)),ABS(E130-D130),"")</x:f>
      </x:c>
      <x:c r="H130" s="15" t="str">
        <x:f>IF(AND(ISNUMBER(D130),ISNUMBER(E130)),IF(D130=0,"n.a.",ABS(E130-D130)/ABS(D130)),"")</x:f>
      </x:c>
      <x:c r="I130" s="2" t="str">
        <x:f>IF(COUNTA(A130)=0,"",IF(NOT(ISNUMBER('Status'!$B$6)),"Set tolerance",IF(COUNT(C130:E130)&lt;3,"Need 3 levels",IF(OR(C130=0,D130=0),"Use abs. Δ",IF(AND(ABS(D130-C130)/ABS(C130)&lt;='Status'!$B$6,H130&lt;='Status'!$B$6),"Yes","No")))))</x:f>
      </x:c>
      <x:c r="J130" s="14" t="str">
        <x:f>IF(OR(COUNTA($A130)=0,'Status'!$E$6=""),"",IF(COUNTIFS('Estimates'!$A$5:$A$2004,$A130,'Estimates'!$B$5:$B$2004,"PPS",'Estimates'!$D$5:$D$2004,'Status'!$E$6,'Estimates'!$E$5:$E$2004,'Status'!$E$7)=0,"",IF(COUNTIFS('Estimates'!$A$5:$A$2004,$A130,'Estimates'!$B$5:$B$2004,"PPS",'Estimates'!$D$5:$D$2004,'Status'!$E$6,'Estimates'!$E$5:$E$2004,'Status'!$E$7)&gt;1,"DUP",SUMIFS('Estimates'!$F$5:$F$2004,'Estimates'!$A$5:$A$2004,$A130,'Estimates'!$B$5:$B$2004,"PPS",'Estimates'!$D$5:$D$2004,'Status'!$E$6,'Estimates'!$E$5:$E$2004,'Status'!$E$7))))</x:f>
      </x:c>
      <x:c r="K130" s="14" t="str">
        <x:f>IF(OR(COUNTA($A130)=0,'Status'!$F$6=""),"",IF(COUNTIFS('Estimates'!$A$5:$A$2004,$A130,'Estimates'!$B$5:$B$2004,"PPS",'Estimates'!$D$5:$D$2004,'Status'!$F$6,'Estimates'!$E$5:$E$2004,'Status'!$E$7)=0,"",IF(COUNTIFS('Estimates'!$A$5:$A$2004,$A130,'Estimates'!$B$5:$B$2004,"PPS",'Estimates'!$D$5:$D$2004,'Status'!$F$6,'Estimates'!$E$5:$E$2004,'Status'!$E$7)&gt;1,"DUP",SUMIFS('Estimates'!$F$5:$F$2004,'Estimates'!$A$5:$A$2004,$A130,'Estimates'!$B$5:$B$2004,"PPS",'Estimates'!$D$5:$D$2004,'Status'!$F$6,'Estimates'!$E$5:$E$2004,'Status'!$E$7))))</x:f>
      </x:c>
      <x:c r="L130" s="14" t="str">
        <x:f>IF(OR(COUNTA($A130)=0,'Status'!$G$6=""),"",IF(COUNTIFS('Estimates'!$A$5:$A$2004,$A130,'Estimates'!$B$5:$B$2004,"PPS",'Estimates'!$D$5:$D$2004,'Status'!$G$6,'Estimates'!$E$5:$E$2004,'Status'!$E$7)=0,"",IF(COUNTIFS('Estimates'!$A$5:$A$2004,$A130,'Estimates'!$B$5:$B$2004,"PPS",'Estimates'!$D$5:$D$2004,'Status'!$G$6,'Estimates'!$E$5:$E$2004,'Status'!$E$7)&gt;1,"DUP",SUMIFS('Estimates'!$F$5:$F$2004,'Estimates'!$A$5:$A$2004,$A130,'Estimates'!$B$5:$B$2004,"PPS",'Estimates'!$D$5:$D$2004,'Status'!$G$6,'Estimates'!$E$5:$E$2004,'Status'!$E$7))))</x:f>
      </x:c>
      <x:c r="M130" s="14" t="str">
        <x:f>IF(COUNT(J130:L130)&lt;2,"",_xlfn.STDEV.S(J130:L130))</x:f>
      </x:c>
      <x:c r="N130" s="14" t="str">
        <x:f>IF(AND(ISNUMBER(K130),ISNUMBER(L130)),ABS(L130-K130),"")</x:f>
      </x:c>
      <x:c r="O130" s="15" t="str">
        <x:f>IF(AND(ISNUMBER(K130),ISNUMBER(L130)),IF(K130=0,"n.a.",ABS(L130-K130)/ABS(K130)),"")</x:f>
      </x:c>
      <x:c r="P130" s="2" t="str">
        <x:f>IF(COUNTA(A130)=0,"",IF(NOT(ISNUMBER('Status'!$B$6)),"Set tolerance",IF(COUNT(J130:L130)&lt;3,"Need 3 levels",IF(OR(J130=0,K130=0),"Use abs. Δ",IF(AND(ABS(K130-J130)/ABS(J130)&lt;='Status'!$B$6,O130&lt;='Status'!$B$6),"Yes","No")))))</x:f>
      </x:c>
      <x:c r="Q130" s="14" t="str">
        <x:f>IF(AND(ISNUMBER(E130),ISNUMBER(L130)),ABS(E130-L130),"")</x:f>
      </x:c>
      <x:c r="R130" s="2" t="str">
        <x:f>IF(COUNTA(A130)=0,"",IF(COUNT(C130:E130,J130:L130)&gt;0,1,0))</x:f>
      </x:c>
      <x:c r="S130" s="2" t="str">
        <x:f>IF(COUNTA(A130)=0,"",IF(COUNTIFS($A$6:$A$165,A130)&gt;1,"Duplicate target",""))</x:f>
      </x:c>
    </x:row>
    <x:row r="131">
      <x:c r="A131" s="6"/>
      <x:c r="B131" s="20"/>
      <x:c r="C131" s="14" t="str">
        <x:f>IF(OR(COUNTA($A131)=0,'Status'!$E$5=""),"",IF(COUNTIFS('Estimates'!$A$5:$A$2004,$A131,'Estimates'!$B$5:$B$2004,"MPS",'Estimates'!$C$5:$C$2004,'Status'!$E$5)=0,"",IF(COUNTIFS('Estimates'!$A$5:$A$2004,$A131,'Estimates'!$B$5:$B$2004,"MPS",'Estimates'!$C$5:$C$2004,'Status'!$E$5)&gt;1,"DUP",SUMIFS('Estimates'!$F$5:$F$2004,'Estimates'!$A$5:$A$2004,$A131,'Estimates'!$B$5:$B$2004,"MPS",'Estimates'!$C$5:$C$2004,'Status'!$E$5))))</x:f>
      </x:c>
      <x:c r="D131" s="14" t="str">
        <x:f>IF(OR(COUNTA($A131)=0,'Status'!$F$5=""),"",IF(COUNTIFS('Estimates'!$A$5:$A$2004,$A131,'Estimates'!$B$5:$B$2004,"MPS",'Estimates'!$C$5:$C$2004,'Status'!$F$5)=0,"",IF(COUNTIFS('Estimates'!$A$5:$A$2004,$A131,'Estimates'!$B$5:$B$2004,"MPS",'Estimates'!$C$5:$C$2004,'Status'!$F$5)&gt;1,"DUP",SUMIFS('Estimates'!$F$5:$F$2004,'Estimates'!$A$5:$A$2004,$A131,'Estimates'!$B$5:$B$2004,"MPS",'Estimates'!$C$5:$C$2004,'Status'!$F$5))))</x:f>
      </x:c>
      <x:c r="E131" s="14" t="str">
        <x:f>IF(OR(COUNTA($A131)=0,'Status'!$G$5=""),"",IF(COUNTIFS('Estimates'!$A$5:$A$2004,$A131,'Estimates'!$B$5:$B$2004,"MPS",'Estimates'!$C$5:$C$2004,'Status'!$G$5)=0,"",IF(COUNTIFS('Estimates'!$A$5:$A$2004,$A131,'Estimates'!$B$5:$B$2004,"MPS",'Estimates'!$C$5:$C$2004,'Status'!$G$5)&gt;1,"DUP",SUMIFS('Estimates'!$F$5:$F$2004,'Estimates'!$A$5:$A$2004,$A131,'Estimates'!$B$5:$B$2004,"MPS",'Estimates'!$C$5:$C$2004,'Status'!$G$5))))</x:f>
      </x:c>
      <x:c r="F131" s="14" t="str">
        <x:f>IF(COUNT(C131:E131)&lt;2,"",_xlfn.STDEV.S(C131:E131))</x:f>
      </x:c>
      <x:c r="G131" s="14" t="str">
        <x:f>IF(AND(ISNUMBER(D131),ISNUMBER(E131)),ABS(E131-D131),"")</x:f>
      </x:c>
      <x:c r="H131" s="15" t="str">
        <x:f>IF(AND(ISNUMBER(D131),ISNUMBER(E131)),IF(D131=0,"n.a.",ABS(E131-D131)/ABS(D131)),"")</x:f>
      </x:c>
      <x:c r="I131" s="2" t="str">
        <x:f>IF(COUNTA(A131)=0,"",IF(NOT(ISNUMBER('Status'!$B$6)),"Set tolerance",IF(COUNT(C131:E131)&lt;3,"Need 3 levels",IF(OR(C131=0,D131=0),"Use abs. Δ",IF(AND(ABS(D131-C131)/ABS(C131)&lt;='Status'!$B$6,H131&lt;='Status'!$B$6),"Yes","No")))))</x:f>
      </x:c>
      <x:c r="J131" s="14" t="str">
        <x:f>IF(OR(COUNTA($A131)=0,'Status'!$E$6=""),"",IF(COUNTIFS('Estimates'!$A$5:$A$2004,$A131,'Estimates'!$B$5:$B$2004,"PPS",'Estimates'!$D$5:$D$2004,'Status'!$E$6,'Estimates'!$E$5:$E$2004,'Status'!$E$7)=0,"",IF(COUNTIFS('Estimates'!$A$5:$A$2004,$A131,'Estimates'!$B$5:$B$2004,"PPS",'Estimates'!$D$5:$D$2004,'Status'!$E$6,'Estimates'!$E$5:$E$2004,'Status'!$E$7)&gt;1,"DUP",SUMIFS('Estimates'!$F$5:$F$2004,'Estimates'!$A$5:$A$2004,$A131,'Estimates'!$B$5:$B$2004,"PPS",'Estimates'!$D$5:$D$2004,'Status'!$E$6,'Estimates'!$E$5:$E$2004,'Status'!$E$7))))</x:f>
      </x:c>
      <x:c r="K131" s="14" t="str">
        <x:f>IF(OR(COUNTA($A131)=0,'Status'!$F$6=""),"",IF(COUNTIFS('Estimates'!$A$5:$A$2004,$A131,'Estimates'!$B$5:$B$2004,"PPS",'Estimates'!$D$5:$D$2004,'Status'!$F$6,'Estimates'!$E$5:$E$2004,'Status'!$E$7)=0,"",IF(COUNTIFS('Estimates'!$A$5:$A$2004,$A131,'Estimates'!$B$5:$B$2004,"PPS",'Estimates'!$D$5:$D$2004,'Status'!$F$6,'Estimates'!$E$5:$E$2004,'Status'!$E$7)&gt;1,"DUP",SUMIFS('Estimates'!$F$5:$F$2004,'Estimates'!$A$5:$A$2004,$A131,'Estimates'!$B$5:$B$2004,"PPS",'Estimates'!$D$5:$D$2004,'Status'!$F$6,'Estimates'!$E$5:$E$2004,'Status'!$E$7))))</x:f>
      </x:c>
      <x:c r="L131" s="14" t="str">
        <x:f>IF(OR(COUNTA($A131)=0,'Status'!$G$6=""),"",IF(COUNTIFS('Estimates'!$A$5:$A$2004,$A131,'Estimates'!$B$5:$B$2004,"PPS",'Estimates'!$D$5:$D$2004,'Status'!$G$6,'Estimates'!$E$5:$E$2004,'Status'!$E$7)=0,"",IF(COUNTIFS('Estimates'!$A$5:$A$2004,$A131,'Estimates'!$B$5:$B$2004,"PPS",'Estimates'!$D$5:$D$2004,'Status'!$G$6,'Estimates'!$E$5:$E$2004,'Status'!$E$7)&gt;1,"DUP",SUMIFS('Estimates'!$F$5:$F$2004,'Estimates'!$A$5:$A$2004,$A131,'Estimates'!$B$5:$B$2004,"PPS",'Estimates'!$D$5:$D$2004,'Status'!$G$6,'Estimates'!$E$5:$E$2004,'Status'!$E$7))))</x:f>
      </x:c>
      <x:c r="M131" s="14" t="str">
        <x:f>IF(COUNT(J131:L131)&lt;2,"",_xlfn.STDEV.S(J131:L131))</x:f>
      </x:c>
      <x:c r="N131" s="14" t="str">
        <x:f>IF(AND(ISNUMBER(K131),ISNUMBER(L131)),ABS(L131-K131),"")</x:f>
      </x:c>
      <x:c r="O131" s="15" t="str">
        <x:f>IF(AND(ISNUMBER(K131),ISNUMBER(L131)),IF(K131=0,"n.a.",ABS(L131-K131)/ABS(K131)),"")</x:f>
      </x:c>
      <x:c r="P131" s="2" t="str">
        <x:f>IF(COUNTA(A131)=0,"",IF(NOT(ISNUMBER('Status'!$B$6)),"Set tolerance",IF(COUNT(J131:L131)&lt;3,"Need 3 levels",IF(OR(J131=0,K131=0),"Use abs. Δ",IF(AND(ABS(K131-J131)/ABS(J131)&lt;='Status'!$B$6,O131&lt;='Status'!$B$6),"Yes","No")))))</x:f>
      </x:c>
      <x:c r="Q131" s="14" t="str">
        <x:f>IF(AND(ISNUMBER(E131),ISNUMBER(L131)),ABS(E131-L131),"")</x:f>
      </x:c>
      <x:c r="R131" s="2" t="str">
        <x:f>IF(COUNTA(A131)=0,"",IF(COUNT(C131:E131,J131:L131)&gt;0,1,0))</x:f>
      </x:c>
      <x:c r="S131" s="2" t="str">
        <x:f>IF(COUNTA(A131)=0,"",IF(COUNTIFS($A$6:$A$165,A131)&gt;1,"Duplicate target",""))</x:f>
      </x:c>
    </x:row>
    <x:row r="132">
      <x:c r="A132" s="6"/>
      <x:c r="B132" s="20"/>
      <x:c r="C132" s="14" t="str">
        <x:f>IF(OR(COUNTA($A132)=0,'Status'!$E$5=""),"",IF(COUNTIFS('Estimates'!$A$5:$A$2004,$A132,'Estimates'!$B$5:$B$2004,"MPS",'Estimates'!$C$5:$C$2004,'Status'!$E$5)=0,"",IF(COUNTIFS('Estimates'!$A$5:$A$2004,$A132,'Estimates'!$B$5:$B$2004,"MPS",'Estimates'!$C$5:$C$2004,'Status'!$E$5)&gt;1,"DUP",SUMIFS('Estimates'!$F$5:$F$2004,'Estimates'!$A$5:$A$2004,$A132,'Estimates'!$B$5:$B$2004,"MPS",'Estimates'!$C$5:$C$2004,'Status'!$E$5))))</x:f>
      </x:c>
      <x:c r="D132" s="14" t="str">
        <x:f>IF(OR(COUNTA($A132)=0,'Status'!$F$5=""),"",IF(COUNTIFS('Estimates'!$A$5:$A$2004,$A132,'Estimates'!$B$5:$B$2004,"MPS",'Estimates'!$C$5:$C$2004,'Status'!$F$5)=0,"",IF(COUNTIFS('Estimates'!$A$5:$A$2004,$A132,'Estimates'!$B$5:$B$2004,"MPS",'Estimates'!$C$5:$C$2004,'Status'!$F$5)&gt;1,"DUP",SUMIFS('Estimates'!$F$5:$F$2004,'Estimates'!$A$5:$A$2004,$A132,'Estimates'!$B$5:$B$2004,"MPS",'Estimates'!$C$5:$C$2004,'Status'!$F$5))))</x:f>
      </x:c>
      <x:c r="E132" s="14" t="str">
        <x:f>IF(OR(COUNTA($A132)=0,'Status'!$G$5=""),"",IF(COUNTIFS('Estimates'!$A$5:$A$2004,$A132,'Estimates'!$B$5:$B$2004,"MPS",'Estimates'!$C$5:$C$2004,'Status'!$G$5)=0,"",IF(COUNTIFS('Estimates'!$A$5:$A$2004,$A132,'Estimates'!$B$5:$B$2004,"MPS",'Estimates'!$C$5:$C$2004,'Status'!$G$5)&gt;1,"DUP",SUMIFS('Estimates'!$F$5:$F$2004,'Estimates'!$A$5:$A$2004,$A132,'Estimates'!$B$5:$B$2004,"MPS",'Estimates'!$C$5:$C$2004,'Status'!$G$5))))</x:f>
      </x:c>
      <x:c r="F132" s="14" t="str">
        <x:f>IF(COUNT(C132:E132)&lt;2,"",_xlfn.STDEV.S(C132:E132))</x:f>
      </x:c>
      <x:c r="G132" s="14" t="str">
        <x:f>IF(AND(ISNUMBER(D132),ISNUMBER(E132)),ABS(E132-D132),"")</x:f>
      </x:c>
      <x:c r="H132" s="15" t="str">
        <x:f>IF(AND(ISNUMBER(D132),ISNUMBER(E132)),IF(D132=0,"n.a.",ABS(E132-D132)/ABS(D132)),"")</x:f>
      </x:c>
      <x:c r="I132" s="2" t="str">
        <x:f>IF(COUNTA(A132)=0,"",IF(NOT(ISNUMBER('Status'!$B$6)),"Set tolerance",IF(COUNT(C132:E132)&lt;3,"Need 3 levels",IF(OR(C132=0,D132=0),"Use abs. Δ",IF(AND(ABS(D132-C132)/ABS(C132)&lt;='Status'!$B$6,H132&lt;='Status'!$B$6),"Yes","No")))))</x:f>
      </x:c>
      <x:c r="J132" s="14" t="str">
        <x:f>IF(OR(COUNTA($A132)=0,'Status'!$E$6=""),"",IF(COUNTIFS('Estimates'!$A$5:$A$2004,$A132,'Estimates'!$B$5:$B$2004,"PPS",'Estimates'!$D$5:$D$2004,'Status'!$E$6,'Estimates'!$E$5:$E$2004,'Status'!$E$7)=0,"",IF(COUNTIFS('Estimates'!$A$5:$A$2004,$A132,'Estimates'!$B$5:$B$2004,"PPS",'Estimates'!$D$5:$D$2004,'Status'!$E$6,'Estimates'!$E$5:$E$2004,'Status'!$E$7)&gt;1,"DUP",SUMIFS('Estimates'!$F$5:$F$2004,'Estimates'!$A$5:$A$2004,$A132,'Estimates'!$B$5:$B$2004,"PPS",'Estimates'!$D$5:$D$2004,'Status'!$E$6,'Estimates'!$E$5:$E$2004,'Status'!$E$7))))</x:f>
      </x:c>
      <x:c r="K132" s="14" t="str">
        <x:f>IF(OR(COUNTA($A132)=0,'Status'!$F$6=""),"",IF(COUNTIFS('Estimates'!$A$5:$A$2004,$A132,'Estimates'!$B$5:$B$2004,"PPS",'Estimates'!$D$5:$D$2004,'Status'!$F$6,'Estimates'!$E$5:$E$2004,'Status'!$E$7)=0,"",IF(COUNTIFS('Estimates'!$A$5:$A$2004,$A132,'Estimates'!$B$5:$B$2004,"PPS",'Estimates'!$D$5:$D$2004,'Status'!$F$6,'Estimates'!$E$5:$E$2004,'Status'!$E$7)&gt;1,"DUP",SUMIFS('Estimates'!$F$5:$F$2004,'Estimates'!$A$5:$A$2004,$A132,'Estimates'!$B$5:$B$2004,"PPS",'Estimates'!$D$5:$D$2004,'Status'!$F$6,'Estimates'!$E$5:$E$2004,'Status'!$E$7))))</x:f>
      </x:c>
      <x:c r="L132" s="14" t="str">
        <x:f>IF(OR(COUNTA($A132)=0,'Status'!$G$6=""),"",IF(COUNTIFS('Estimates'!$A$5:$A$2004,$A132,'Estimates'!$B$5:$B$2004,"PPS",'Estimates'!$D$5:$D$2004,'Status'!$G$6,'Estimates'!$E$5:$E$2004,'Status'!$E$7)=0,"",IF(COUNTIFS('Estimates'!$A$5:$A$2004,$A132,'Estimates'!$B$5:$B$2004,"PPS",'Estimates'!$D$5:$D$2004,'Status'!$G$6,'Estimates'!$E$5:$E$2004,'Status'!$E$7)&gt;1,"DUP",SUMIFS('Estimates'!$F$5:$F$2004,'Estimates'!$A$5:$A$2004,$A132,'Estimates'!$B$5:$B$2004,"PPS",'Estimates'!$D$5:$D$2004,'Status'!$G$6,'Estimates'!$E$5:$E$2004,'Status'!$E$7))))</x:f>
      </x:c>
      <x:c r="M132" s="14" t="str">
        <x:f>IF(COUNT(J132:L132)&lt;2,"",_xlfn.STDEV.S(J132:L132))</x:f>
      </x:c>
      <x:c r="N132" s="14" t="str">
        <x:f>IF(AND(ISNUMBER(K132),ISNUMBER(L132)),ABS(L132-K132),"")</x:f>
      </x:c>
      <x:c r="O132" s="15" t="str">
        <x:f>IF(AND(ISNUMBER(K132),ISNUMBER(L132)),IF(K132=0,"n.a.",ABS(L132-K132)/ABS(K132)),"")</x:f>
      </x:c>
      <x:c r="P132" s="2" t="str">
        <x:f>IF(COUNTA(A132)=0,"",IF(NOT(ISNUMBER('Status'!$B$6)),"Set tolerance",IF(COUNT(J132:L132)&lt;3,"Need 3 levels",IF(OR(J132=0,K132=0),"Use abs. Δ",IF(AND(ABS(K132-J132)/ABS(J132)&lt;='Status'!$B$6,O132&lt;='Status'!$B$6),"Yes","No")))))</x:f>
      </x:c>
      <x:c r="Q132" s="14" t="str">
        <x:f>IF(AND(ISNUMBER(E132),ISNUMBER(L132)),ABS(E132-L132),"")</x:f>
      </x:c>
      <x:c r="R132" s="2" t="str">
        <x:f>IF(COUNTA(A132)=0,"",IF(COUNT(C132:E132,J132:L132)&gt;0,1,0))</x:f>
      </x:c>
      <x:c r="S132" s="2" t="str">
        <x:f>IF(COUNTA(A132)=0,"",IF(COUNTIFS($A$6:$A$165,A132)&gt;1,"Duplicate target",""))</x:f>
      </x:c>
    </x:row>
    <x:row r="133">
      <x:c r="A133" s="6"/>
      <x:c r="B133" s="20"/>
      <x:c r="C133" s="14" t="str">
        <x:f>IF(OR(COUNTA($A133)=0,'Status'!$E$5=""),"",IF(COUNTIFS('Estimates'!$A$5:$A$2004,$A133,'Estimates'!$B$5:$B$2004,"MPS",'Estimates'!$C$5:$C$2004,'Status'!$E$5)=0,"",IF(COUNTIFS('Estimates'!$A$5:$A$2004,$A133,'Estimates'!$B$5:$B$2004,"MPS",'Estimates'!$C$5:$C$2004,'Status'!$E$5)&gt;1,"DUP",SUMIFS('Estimates'!$F$5:$F$2004,'Estimates'!$A$5:$A$2004,$A133,'Estimates'!$B$5:$B$2004,"MPS",'Estimates'!$C$5:$C$2004,'Status'!$E$5))))</x:f>
      </x:c>
      <x:c r="D133" s="14" t="str">
        <x:f>IF(OR(COUNTA($A133)=0,'Status'!$F$5=""),"",IF(COUNTIFS('Estimates'!$A$5:$A$2004,$A133,'Estimates'!$B$5:$B$2004,"MPS",'Estimates'!$C$5:$C$2004,'Status'!$F$5)=0,"",IF(COUNTIFS('Estimates'!$A$5:$A$2004,$A133,'Estimates'!$B$5:$B$2004,"MPS",'Estimates'!$C$5:$C$2004,'Status'!$F$5)&gt;1,"DUP",SUMIFS('Estimates'!$F$5:$F$2004,'Estimates'!$A$5:$A$2004,$A133,'Estimates'!$B$5:$B$2004,"MPS",'Estimates'!$C$5:$C$2004,'Status'!$F$5))))</x:f>
      </x:c>
      <x:c r="E133" s="14" t="str">
        <x:f>IF(OR(COUNTA($A133)=0,'Status'!$G$5=""),"",IF(COUNTIFS('Estimates'!$A$5:$A$2004,$A133,'Estimates'!$B$5:$B$2004,"MPS",'Estimates'!$C$5:$C$2004,'Status'!$G$5)=0,"",IF(COUNTIFS('Estimates'!$A$5:$A$2004,$A133,'Estimates'!$B$5:$B$2004,"MPS",'Estimates'!$C$5:$C$2004,'Status'!$G$5)&gt;1,"DUP",SUMIFS('Estimates'!$F$5:$F$2004,'Estimates'!$A$5:$A$2004,$A133,'Estimates'!$B$5:$B$2004,"MPS",'Estimates'!$C$5:$C$2004,'Status'!$G$5))))</x:f>
      </x:c>
      <x:c r="F133" s="14" t="str">
        <x:f>IF(COUNT(C133:E133)&lt;2,"",_xlfn.STDEV.S(C133:E133))</x:f>
      </x:c>
      <x:c r="G133" s="14" t="str">
        <x:f>IF(AND(ISNUMBER(D133),ISNUMBER(E133)),ABS(E133-D133),"")</x:f>
      </x:c>
      <x:c r="H133" s="15" t="str">
        <x:f>IF(AND(ISNUMBER(D133),ISNUMBER(E133)),IF(D133=0,"n.a.",ABS(E133-D133)/ABS(D133)),"")</x:f>
      </x:c>
      <x:c r="I133" s="2" t="str">
        <x:f>IF(COUNTA(A133)=0,"",IF(NOT(ISNUMBER('Status'!$B$6)),"Set tolerance",IF(COUNT(C133:E133)&lt;3,"Need 3 levels",IF(OR(C133=0,D133=0),"Use abs. Δ",IF(AND(ABS(D133-C133)/ABS(C133)&lt;='Status'!$B$6,H133&lt;='Status'!$B$6),"Yes","No")))))</x:f>
      </x:c>
      <x:c r="J133" s="14" t="str">
        <x:f>IF(OR(COUNTA($A133)=0,'Status'!$E$6=""),"",IF(COUNTIFS('Estimates'!$A$5:$A$2004,$A133,'Estimates'!$B$5:$B$2004,"PPS",'Estimates'!$D$5:$D$2004,'Status'!$E$6,'Estimates'!$E$5:$E$2004,'Status'!$E$7)=0,"",IF(COUNTIFS('Estimates'!$A$5:$A$2004,$A133,'Estimates'!$B$5:$B$2004,"PPS",'Estimates'!$D$5:$D$2004,'Status'!$E$6,'Estimates'!$E$5:$E$2004,'Status'!$E$7)&gt;1,"DUP",SUMIFS('Estimates'!$F$5:$F$2004,'Estimates'!$A$5:$A$2004,$A133,'Estimates'!$B$5:$B$2004,"PPS",'Estimates'!$D$5:$D$2004,'Status'!$E$6,'Estimates'!$E$5:$E$2004,'Status'!$E$7))))</x:f>
      </x:c>
      <x:c r="K133" s="14" t="str">
        <x:f>IF(OR(COUNTA($A133)=0,'Status'!$F$6=""),"",IF(COUNTIFS('Estimates'!$A$5:$A$2004,$A133,'Estimates'!$B$5:$B$2004,"PPS",'Estimates'!$D$5:$D$2004,'Status'!$F$6,'Estimates'!$E$5:$E$2004,'Status'!$E$7)=0,"",IF(COUNTIFS('Estimates'!$A$5:$A$2004,$A133,'Estimates'!$B$5:$B$2004,"PPS",'Estimates'!$D$5:$D$2004,'Status'!$F$6,'Estimates'!$E$5:$E$2004,'Status'!$E$7)&gt;1,"DUP",SUMIFS('Estimates'!$F$5:$F$2004,'Estimates'!$A$5:$A$2004,$A133,'Estimates'!$B$5:$B$2004,"PPS",'Estimates'!$D$5:$D$2004,'Status'!$F$6,'Estimates'!$E$5:$E$2004,'Status'!$E$7))))</x:f>
      </x:c>
      <x:c r="L133" s="14" t="str">
        <x:f>IF(OR(COUNTA($A133)=0,'Status'!$G$6=""),"",IF(COUNTIFS('Estimates'!$A$5:$A$2004,$A133,'Estimates'!$B$5:$B$2004,"PPS",'Estimates'!$D$5:$D$2004,'Status'!$G$6,'Estimates'!$E$5:$E$2004,'Status'!$E$7)=0,"",IF(COUNTIFS('Estimates'!$A$5:$A$2004,$A133,'Estimates'!$B$5:$B$2004,"PPS",'Estimates'!$D$5:$D$2004,'Status'!$G$6,'Estimates'!$E$5:$E$2004,'Status'!$E$7)&gt;1,"DUP",SUMIFS('Estimates'!$F$5:$F$2004,'Estimates'!$A$5:$A$2004,$A133,'Estimates'!$B$5:$B$2004,"PPS",'Estimates'!$D$5:$D$2004,'Status'!$G$6,'Estimates'!$E$5:$E$2004,'Status'!$E$7))))</x:f>
      </x:c>
      <x:c r="M133" s="14" t="str">
        <x:f>IF(COUNT(J133:L133)&lt;2,"",_xlfn.STDEV.S(J133:L133))</x:f>
      </x:c>
      <x:c r="N133" s="14" t="str">
        <x:f>IF(AND(ISNUMBER(K133),ISNUMBER(L133)),ABS(L133-K133),"")</x:f>
      </x:c>
      <x:c r="O133" s="15" t="str">
        <x:f>IF(AND(ISNUMBER(K133),ISNUMBER(L133)),IF(K133=0,"n.a.",ABS(L133-K133)/ABS(K133)),"")</x:f>
      </x:c>
      <x:c r="P133" s="2" t="str">
        <x:f>IF(COUNTA(A133)=0,"",IF(NOT(ISNUMBER('Status'!$B$6)),"Set tolerance",IF(COUNT(J133:L133)&lt;3,"Need 3 levels",IF(OR(J133=0,K133=0),"Use abs. Δ",IF(AND(ABS(K133-J133)/ABS(J133)&lt;='Status'!$B$6,O133&lt;='Status'!$B$6),"Yes","No")))))</x:f>
      </x:c>
      <x:c r="Q133" s="14" t="str">
        <x:f>IF(AND(ISNUMBER(E133),ISNUMBER(L133)),ABS(E133-L133),"")</x:f>
      </x:c>
      <x:c r="R133" s="2" t="str">
        <x:f>IF(COUNTA(A133)=0,"",IF(COUNT(C133:E133,J133:L133)&gt;0,1,0))</x:f>
      </x:c>
      <x:c r="S133" s="2" t="str">
        <x:f>IF(COUNTA(A133)=0,"",IF(COUNTIFS($A$6:$A$165,A133)&gt;1,"Duplicate target",""))</x:f>
      </x:c>
    </x:row>
    <x:row r="134">
      <x:c r="A134" s="6"/>
      <x:c r="B134" s="20"/>
      <x:c r="C134" s="14" t="str">
        <x:f>IF(OR(COUNTA($A134)=0,'Status'!$E$5=""),"",IF(COUNTIFS('Estimates'!$A$5:$A$2004,$A134,'Estimates'!$B$5:$B$2004,"MPS",'Estimates'!$C$5:$C$2004,'Status'!$E$5)=0,"",IF(COUNTIFS('Estimates'!$A$5:$A$2004,$A134,'Estimates'!$B$5:$B$2004,"MPS",'Estimates'!$C$5:$C$2004,'Status'!$E$5)&gt;1,"DUP",SUMIFS('Estimates'!$F$5:$F$2004,'Estimates'!$A$5:$A$2004,$A134,'Estimates'!$B$5:$B$2004,"MPS",'Estimates'!$C$5:$C$2004,'Status'!$E$5))))</x:f>
      </x:c>
      <x:c r="D134" s="14" t="str">
        <x:f>IF(OR(COUNTA($A134)=0,'Status'!$F$5=""),"",IF(COUNTIFS('Estimates'!$A$5:$A$2004,$A134,'Estimates'!$B$5:$B$2004,"MPS",'Estimates'!$C$5:$C$2004,'Status'!$F$5)=0,"",IF(COUNTIFS('Estimates'!$A$5:$A$2004,$A134,'Estimates'!$B$5:$B$2004,"MPS",'Estimates'!$C$5:$C$2004,'Status'!$F$5)&gt;1,"DUP",SUMIFS('Estimates'!$F$5:$F$2004,'Estimates'!$A$5:$A$2004,$A134,'Estimates'!$B$5:$B$2004,"MPS",'Estimates'!$C$5:$C$2004,'Status'!$F$5))))</x:f>
      </x:c>
      <x:c r="E134" s="14" t="str">
        <x:f>IF(OR(COUNTA($A134)=0,'Status'!$G$5=""),"",IF(COUNTIFS('Estimates'!$A$5:$A$2004,$A134,'Estimates'!$B$5:$B$2004,"MPS",'Estimates'!$C$5:$C$2004,'Status'!$G$5)=0,"",IF(COUNTIFS('Estimates'!$A$5:$A$2004,$A134,'Estimates'!$B$5:$B$2004,"MPS",'Estimates'!$C$5:$C$2004,'Status'!$G$5)&gt;1,"DUP",SUMIFS('Estimates'!$F$5:$F$2004,'Estimates'!$A$5:$A$2004,$A134,'Estimates'!$B$5:$B$2004,"MPS",'Estimates'!$C$5:$C$2004,'Status'!$G$5))))</x:f>
      </x:c>
      <x:c r="F134" s="14" t="str">
        <x:f>IF(COUNT(C134:E134)&lt;2,"",_xlfn.STDEV.S(C134:E134))</x:f>
      </x:c>
      <x:c r="G134" s="14" t="str">
        <x:f>IF(AND(ISNUMBER(D134),ISNUMBER(E134)),ABS(E134-D134),"")</x:f>
      </x:c>
      <x:c r="H134" s="15" t="str">
        <x:f>IF(AND(ISNUMBER(D134),ISNUMBER(E134)),IF(D134=0,"n.a.",ABS(E134-D134)/ABS(D134)),"")</x:f>
      </x:c>
      <x:c r="I134" s="2" t="str">
        <x:f>IF(COUNTA(A134)=0,"",IF(NOT(ISNUMBER('Status'!$B$6)),"Set tolerance",IF(COUNT(C134:E134)&lt;3,"Need 3 levels",IF(OR(C134=0,D134=0),"Use abs. Δ",IF(AND(ABS(D134-C134)/ABS(C134)&lt;='Status'!$B$6,H134&lt;='Status'!$B$6),"Yes","No")))))</x:f>
      </x:c>
      <x:c r="J134" s="14" t="str">
        <x:f>IF(OR(COUNTA($A134)=0,'Status'!$E$6=""),"",IF(COUNTIFS('Estimates'!$A$5:$A$2004,$A134,'Estimates'!$B$5:$B$2004,"PPS",'Estimates'!$D$5:$D$2004,'Status'!$E$6,'Estimates'!$E$5:$E$2004,'Status'!$E$7)=0,"",IF(COUNTIFS('Estimates'!$A$5:$A$2004,$A134,'Estimates'!$B$5:$B$2004,"PPS",'Estimates'!$D$5:$D$2004,'Status'!$E$6,'Estimates'!$E$5:$E$2004,'Status'!$E$7)&gt;1,"DUP",SUMIFS('Estimates'!$F$5:$F$2004,'Estimates'!$A$5:$A$2004,$A134,'Estimates'!$B$5:$B$2004,"PPS",'Estimates'!$D$5:$D$2004,'Status'!$E$6,'Estimates'!$E$5:$E$2004,'Status'!$E$7))))</x:f>
      </x:c>
      <x:c r="K134" s="14" t="str">
        <x:f>IF(OR(COUNTA($A134)=0,'Status'!$F$6=""),"",IF(COUNTIFS('Estimates'!$A$5:$A$2004,$A134,'Estimates'!$B$5:$B$2004,"PPS",'Estimates'!$D$5:$D$2004,'Status'!$F$6,'Estimates'!$E$5:$E$2004,'Status'!$E$7)=0,"",IF(COUNTIFS('Estimates'!$A$5:$A$2004,$A134,'Estimates'!$B$5:$B$2004,"PPS",'Estimates'!$D$5:$D$2004,'Status'!$F$6,'Estimates'!$E$5:$E$2004,'Status'!$E$7)&gt;1,"DUP",SUMIFS('Estimates'!$F$5:$F$2004,'Estimates'!$A$5:$A$2004,$A134,'Estimates'!$B$5:$B$2004,"PPS",'Estimates'!$D$5:$D$2004,'Status'!$F$6,'Estimates'!$E$5:$E$2004,'Status'!$E$7))))</x:f>
      </x:c>
      <x:c r="L134" s="14" t="str">
        <x:f>IF(OR(COUNTA($A134)=0,'Status'!$G$6=""),"",IF(COUNTIFS('Estimates'!$A$5:$A$2004,$A134,'Estimates'!$B$5:$B$2004,"PPS",'Estimates'!$D$5:$D$2004,'Status'!$G$6,'Estimates'!$E$5:$E$2004,'Status'!$E$7)=0,"",IF(COUNTIFS('Estimates'!$A$5:$A$2004,$A134,'Estimates'!$B$5:$B$2004,"PPS",'Estimates'!$D$5:$D$2004,'Status'!$G$6,'Estimates'!$E$5:$E$2004,'Status'!$E$7)&gt;1,"DUP",SUMIFS('Estimates'!$F$5:$F$2004,'Estimates'!$A$5:$A$2004,$A134,'Estimates'!$B$5:$B$2004,"PPS",'Estimates'!$D$5:$D$2004,'Status'!$G$6,'Estimates'!$E$5:$E$2004,'Status'!$E$7))))</x:f>
      </x:c>
      <x:c r="M134" s="14" t="str">
        <x:f>IF(COUNT(J134:L134)&lt;2,"",_xlfn.STDEV.S(J134:L134))</x:f>
      </x:c>
      <x:c r="N134" s="14" t="str">
        <x:f>IF(AND(ISNUMBER(K134),ISNUMBER(L134)),ABS(L134-K134),"")</x:f>
      </x:c>
      <x:c r="O134" s="15" t="str">
        <x:f>IF(AND(ISNUMBER(K134),ISNUMBER(L134)),IF(K134=0,"n.a.",ABS(L134-K134)/ABS(K134)),"")</x:f>
      </x:c>
      <x:c r="P134" s="2" t="str">
        <x:f>IF(COUNTA(A134)=0,"",IF(NOT(ISNUMBER('Status'!$B$6)),"Set tolerance",IF(COUNT(J134:L134)&lt;3,"Need 3 levels",IF(OR(J134=0,K134=0),"Use abs. Δ",IF(AND(ABS(K134-J134)/ABS(J134)&lt;='Status'!$B$6,O134&lt;='Status'!$B$6),"Yes","No")))))</x:f>
      </x:c>
      <x:c r="Q134" s="14" t="str">
        <x:f>IF(AND(ISNUMBER(E134),ISNUMBER(L134)),ABS(E134-L134),"")</x:f>
      </x:c>
      <x:c r="R134" s="2" t="str">
        <x:f>IF(COUNTA(A134)=0,"",IF(COUNT(C134:E134,J134:L134)&gt;0,1,0))</x:f>
      </x:c>
      <x:c r="S134" s="2" t="str">
        <x:f>IF(COUNTA(A134)=0,"",IF(COUNTIFS($A$6:$A$165,A134)&gt;1,"Duplicate target",""))</x:f>
      </x:c>
    </x:row>
    <x:row r="135">
      <x:c r="A135" s="6"/>
      <x:c r="B135" s="20"/>
      <x:c r="C135" s="14" t="str">
        <x:f>IF(OR(COUNTA($A135)=0,'Status'!$E$5=""),"",IF(COUNTIFS('Estimates'!$A$5:$A$2004,$A135,'Estimates'!$B$5:$B$2004,"MPS",'Estimates'!$C$5:$C$2004,'Status'!$E$5)=0,"",IF(COUNTIFS('Estimates'!$A$5:$A$2004,$A135,'Estimates'!$B$5:$B$2004,"MPS",'Estimates'!$C$5:$C$2004,'Status'!$E$5)&gt;1,"DUP",SUMIFS('Estimates'!$F$5:$F$2004,'Estimates'!$A$5:$A$2004,$A135,'Estimates'!$B$5:$B$2004,"MPS",'Estimates'!$C$5:$C$2004,'Status'!$E$5))))</x:f>
      </x:c>
      <x:c r="D135" s="14" t="str">
        <x:f>IF(OR(COUNTA($A135)=0,'Status'!$F$5=""),"",IF(COUNTIFS('Estimates'!$A$5:$A$2004,$A135,'Estimates'!$B$5:$B$2004,"MPS",'Estimates'!$C$5:$C$2004,'Status'!$F$5)=0,"",IF(COUNTIFS('Estimates'!$A$5:$A$2004,$A135,'Estimates'!$B$5:$B$2004,"MPS",'Estimates'!$C$5:$C$2004,'Status'!$F$5)&gt;1,"DUP",SUMIFS('Estimates'!$F$5:$F$2004,'Estimates'!$A$5:$A$2004,$A135,'Estimates'!$B$5:$B$2004,"MPS",'Estimates'!$C$5:$C$2004,'Status'!$F$5))))</x:f>
      </x:c>
      <x:c r="E135" s="14" t="str">
        <x:f>IF(OR(COUNTA($A135)=0,'Status'!$G$5=""),"",IF(COUNTIFS('Estimates'!$A$5:$A$2004,$A135,'Estimates'!$B$5:$B$2004,"MPS",'Estimates'!$C$5:$C$2004,'Status'!$G$5)=0,"",IF(COUNTIFS('Estimates'!$A$5:$A$2004,$A135,'Estimates'!$B$5:$B$2004,"MPS",'Estimates'!$C$5:$C$2004,'Status'!$G$5)&gt;1,"DUP",SUMIFS('Estimates'!$F$5:$F$2004,'Estimates'!$A$5:$A$2004,$A135,'Estimates'!$B$5:$B$2004,"MPS",'Estimates'!$C$5:$C$2004,'Status'!$G$5))))</x:f>
      </x:c>
      <x:c r="F135" s="14" t="str">
        <x:f>IF(COUNT(C135:E135)&lt;2,"",_xlfn.STDEV.S(C135:E135))</x:f>
      </x:c>
      <x:c r="G135" s="14" t="str">
        <x:f>IF(AND(ISNUMBER(D135),ISNUMBER(E135)),ABS(E135-D135),"")</x:f>
      </x:c>
      <x:c r="H135" s="15" t="str">
        <x:f>IF(AND(ISNUMBER(D135),ISNUMBER(E135)),IF(D135=0,"n.a.",ABS(E135-D135)/ABS(D135)),"")</x:f>
      </x:c>
      <x:c r="I135" s="2" t="str">
        <x:f>IF(COUNTA(A135)=0,"",IF(NOT(ISNUMBER('Status'!$B$6)),"Set tolerance",IF(COUNT(C135:E135)&lt;3,"Need 3 levels",IF(OR(C135=0,D135=0),"Use abs. Δ",IF(AND(ABS(D135-C135)/ABS(C135)&lt;='Status'!$B$6,H135&lt;='Status'!$B$6),"Yes","No")))))</x:f>
      </x:c>
      <x:c r="J135" s="14" t="str">
        <x:f>IF(OR(COUNTA($A135)=0,'Status'!$E$6=""),"",IF(COUNTIFS('Estimates'!$A$5:$A$2004,$A135,'Estimates'!$B$5:$B$2004,"PPS",'Estimates'!$D$5:$D$2004,'Status'!$E$6,'Estimates'!$E$5:$E$2004,'Status'!$E$7)=0,"",IF(COUNTIFS('Estimates'!$A$5:$A$2004,$A135,'Estimates'!$B$5:$B$2004,"PPS",'Estimates'!$D$5:$D$2004,'Status'!$E$6,'Estimates'!$E$5:$E$2004,'Status'!$E$7)&gt;1,"DUP",SUMIFS('Estimates'!$F$5:$F$2004,'Estimates'!$A$5:$A$2004,$A135,'Estimates'!$B$5:$B$2004,"PPS",'Estimates'!$D$5:$D$2004,'Status'!$E$6,'Estimates'!$E$5:$E$2004,'Status'!$E$7))))</x:f>
      </x:c>
      <x:c r="K135" s="14" t="str">
        <x:f>IF(OR(COUNTA($A135)=0,'Status'!$F$6=""),"",IF(COUNTIFS('Estimates'!$A$5:$A$2004,$A135,'Estimates'!$B$5:$B$2004,"PPS",'Estimates'!$D$5:$D$2004,'Status'!$F$6,'Estimates'!$E$5:$E$2004,'Status'!$E$7)=0,"",IF(COUNTIFS('Estimates'!$A$5:$A$2004,$A135,'Estimates'!$B$5:$B$2004,"PPS",'Estimates'!$D$5:$D$2004,'Status'!$F$6,'Estimates'!$E$5:$E$2004,'Status'!$E$7)&gt;1,"DUP",SUMIFS('Estimates'!$F$5:$F$2004,'Estimates'!$A$5:$A$2004,$A135,'Estimates'!$B$5:$B$2004,"PPS",'Estimates'!$D$5:$D$2004,'Status'!$F$6,'Estimates'!$E$5:$E$2004,'Status'!$E$7))))</x:f>
      </x:c>
      <x:c r="L135" s="14" t="str">
        <x:f>IF(OR(COUNTA($A135)=0,'Status'!$G$6=""),"",IF(COUNTIFS('Estimates'!$A$5:$A$2004,$A135,'Estimates'!$B$5:$B$2004,"PPS",'Estimates'!$D$5:$D$2004,'Status'!$G$6,'Estimates'!$E$5:$E$2004,'Status'!$E$7)=0,"",IF(COUNTIFS('Estimates'!$A$5:$A$2004,$A135,'Estimates'!$B$5:$B$2004,"PPS",'Estimates'!$D$5:$D$2004,'Status'!$G$6,'Estimates'!$E$5:$E$2004,'Status'!$E$7)&gt;1,"DUP",SUMIFS('Estimates'!$F$5:$F$2004,'Estimates'!$A$5:$A$2004,$A135,'Estimates'!$B$5:$B$2004,"PPS",'Estimates'!$D$5:$D$2004,'Status'!$G$6,'Estimates'!$E$5:$E$2004,'Status'!$E$7))))</x:f>
      </x:c>
      <x:c r="M135" s="14" t="str">
        <x:f>IF(COUNT(J135:L135)&lt;2,"",_xlfn.STDEV.S(J135:L135))</x:f>
      </x:c>
      <x:c r="N135" s="14" t="str">
        <x:f>IF(AND(ISNUMBER(K135),ISNUMBER(L135)),ABS(L135-K135),"")</x:f>
      </x:c>
      <x:c r="O135" s="15" t="str">
        <x:f>IF(AND(ISNUMBER(K135),ISNUMBER(L135)),IF(K135=0,"n.a.",ABS(L135-K135)/ABS(K135)),"")</x:f>
      </x:c>
      <x:c r="P135" s="2" t="str">
        <x:f>IF(COUNTA(A135)=0,"",IF(NOT(ISNUMBER('Status'!$B$6)),"Set tolerance",IF(COUNT(J135:L135)&lt;3,"Need 3 levels",IF(OR(J135=0,K135=0),"Use abs. Δ",IF(AND(ABS(K135-J135)/ABS(J135)&lt;='Status'!$B$6,O135&lt;='Status'!$B$6),"Yes","No")))))</x:f>
      </x:c>
      <x:c r="Q135" s="14" t="str">
        <x:f>IF(AND(ISNUMBER(E135),ISNUMBER(L135)),ABS(E135-L135),"")</x:f>
      </x:c>
      <x:c r="R135" s="2" t="str">
        <x:f>IF(COUNTA(A135)=0,"",IF(COUNT(C135:E135,J135:L135)&gt;0,1,0))</x:f>
      </x:c>
      <x:c r="S135" s="2" t="str">
        <x:f>IF(COUNTA(A135)=0,"",IF(COUNTIFS($A$6:$A$165,A135)&gt;1,"Duplicate target",""))</x:f>
      </x:c>
    </x:row>
    <x:row r="136">
      <x:c r="A136" s="6"/>
      <x:c r="B136" s="20"/>
      <x:c r="C136" s="14" t="str">
        <x:f>IF(OR(COUNTA($A136)=0,'Status'!$E$5=""),"",IF(COUNTIFS('Estimates'!$A$5:$A$2004,$A136,'Estimates'!$B$5:$B$2004,"MPS",'Estimates'!$C$5:$C$2004,'Status'!$E$5)=0,"",IF(COUNTIFS('Estimates'!$A$5:$A$2004,$A136,'Estimates'!$B$5:$B$2004,"MPS",'Estimates'!$C$5:$C$2004,'Status'!$E$5)&gt;1,"DUP",SUMIFS('Estimates'!$F$5:$F$2004,'Estimates'!$A$5:$A$2004,$A136,'Estimates'!$B$5:$B$2004,"MPS",'Estimates'!$C$5:$C$2004,'Status'!$E$5))))</x:f>
      </x:c>
      <x:c r="D136" s="14" t="str">
        <x:f>IF(OR(COUNTA($A136)=0,'Status'!$F$5=""),"",IF(COUNTIFS('Estimates'!$A$5:$A$2004,$A136,'Estimates'!$B$5:$B$2004,"MPS",'Estimates'!$C$5:$C$2004,'Status'!$F$5)=0,"",IF(COUNTIFS('Estimates'!$A$5:$A$2004,$A136,'Estimates'!$B$5:$B$2004,"MPS",'Estimates'!$C$5:$C$2004,'Status'!$F$5)&gt;1,"DUP",SUMIFS('Estimates'!$F$5:$F$2004,'Estimates'!$A$5:$A$2004,$A136,'Estimates'!$B$5:$B$2004,"MPS",'Estimates'!$C$5:$C$2004,'Status'!$F$5))))</x:f>
      </x:c>
      <x:c r="E136" s="14" t="str">
        <x:f>IF(OR(COUNTA($A136)=0,'Status'!$G$5=""),"",IF(COUNTIFS('Estimates'!$A$5:$A$2004,$A136,'Estimates'!$B$5:$B$2004,"MPS",'Estimates'!$C$5:$C$2004,'Status'!$G$5)=0,"",IF(COUNTIFS('Estimates'!$A$5:$A$2004,$A136,'Estimates'!$B$5:$B$2004,"MPS",'Estimates'!$C$5:$C$2004,'Status'!$G$5)&gt;1,"DUP",SUMIFS('Estimates'!$F$5:$F$2004,'Estimates'!$A$5:$A$2004,$A136,'Estimates'!$B$5:$B$2004,"MPS",'Estimates'!$C$5:$C$2004,'Status'!$G$5))))</x:f>
      </x:c>
      <x:c r="F136" s="14" t="str">
        <x:f>IF(COUNT(C136:E136)&lt;2,"",_xlfn.STDEV.S(C136:E136))</x:f>
      </x:c>
      <x:c r="G136" s="14" t="str">
        <x:f>IF(AND(ISNUMBER(D136),ISNUMBER(E136)),ABS(E136-D136),"")</x:f>
      </x:c>
      <x:c r="H136" s="15" t="str">
        <x:f>IF(AND(ISNUMBER(D136),ISNUMBER(E136)),IF(D136=0,"n.a.",ABS(E136-D136)/ABS(D136)),"")</x:f>
      </x:c>
      <x:c r="I136" s="2" t="str">
        <x:f>IF(COUNTA(A136)=0,"",IF(NOT(ISNUMBER('Status'!$B$6)),"Set tolerance",IF(COUNT(C136:E136)&lt;3,"Need 3 levels",IF(OR(C136=0,D136=0),"Use abs. Δ",IF(AND(ABS(D136-C136)/ABS(C136)&lt;='Status'!$B$6,H136&lt;='Status'!$B$6),"Yes","No")))))</x:f>
      </x:c>
      <x:c r="J136" s="14" t="str">
        <x:f>IF(OR(COUNTA($A136)=0,'Status'!$E$6=""),"",IF(COUNTIFS('Estimates'!$A$5:$A$2004,$A136,'Estimates'!$B$5:$B$2004,"PPS",'Estimates'!$D$5:$D$2004,'Status'!$E$6,'Estimates'!$E$5:$E$2004,'Status'!$E$7)=0,"",IF(COUNTIFS('Estimates'!$A$5:$A$2004,$A136,'Estimates'!$B$5:$B$2004,"PPS",'Estimates'!$D$5:$D$2004,'Status'!$E$6,'Estimates'!$E$5:$E$2004,'Status'!$E$7)&gt;1,"DUP",SUMIFS('Estimates'!$F$5:$F$2004,'Estimates'!$A$5:$A$2004,$A136,'Estimates'!$B$5:$B$2004,"PPS",'Estimates'!$D$5:$D$2004,'Status'!$E$6,'Estimates'!$E$5:$E$2004,'Status'!$E$7))))</x:f>
      </x:c>
      <x:c r="K136" s="14" t="str">
        <x:f>IF(OR(COUNTA($A136)=0,'Status'!$F$6=""),"",IF(COUNTIFS('Estimates'!$A$5:$A$2004,$A136,'Estimates'!$B$5:$B$2004,"PPS",'Estimates'!$D$5:$D$2004,'Status'!$F$6,'Estimates'!$E$5:$E$2004,'Status'!$E$7)=0,"",IF(COUNTIFS('Estimates'!$A$5:$A$2004,$A136,'Estimates'!$B$5:$B$2004,"PPS",'Estimates'!$D$5:$D$2004,'Status'!$F$6,'Estimates'!$E$5:$E$2004,'Status'!$E$7)&gt;1,"DUP",SUMIFS('Estimates'!$F$5:$F$2004,'Estimates'!$A$5:$A$2004,$A136,'Estimates'!$B$5:$B$2004,"PPS",'Estimates'!$D$5:$D$2004,'Status'!$F$6,'Estimates'!$E$5:$E$2004,'Status'!$E$7))))</x:f>
      </x:c>
      <x:c r="L136" s="14" t="str">
        <x:f>IF(OR(COUNTA($A136)=0,'Status'!$G$6=""),"",IF(COUNTIFS('Estimates'!$A$5:$A$2004,$A136,'Estimates'!$B$5:$B$2004,"PPS",'Estimates'!$D$5:$D$2004,'Status'!$G$6,'Estimates'!$E$5:$E$2004,'Status'!$E$7)=0,"",IF(COUNTIFS('Estimates'!$A$5:$A$2004,$A136,'Estimates'!$B$5:$B$2004,"PPS",'Estimates'!$D$5:$D$2004,'Status'!$G$6,'Estimates'!$E$5:$E$2004,'Status'!$E$7)&gt;1,"DUP",SUMIFS('Estimates'!$F$5:$F$2004,'Estimates'!$A$5:$A$2004,$A136,'Estimates'!$B$5:$B$2004,"PPS",'Estimates'!$D$5:$D$2004,'Status'!$G$6,'Estimates'!$E$5:$E$2004,'Status'!$E$7))))</x:f>
      </x:c>
      <x:c r="M136" s="14" t="str">
        <x:f>IF(COUNT(J136:L136)&lt;2,"",_xlfn.STDEV.S(J136:L136))</x:f>
      </x:c>
      <x:c r="N136" s="14" t="str">
        <x:f>IF(AND(ISNUMBER(K136),ISNUMBER(L136)),ABS(L136-K136),"")</x:f>
      </x:c>
      <x:c r="O136" s="15" t="str">
        <x:f>IF(AND(ISNUMBER(K136),ISNUMBER(L136)),IF(K136=0,"n.a.",ABS(L136-K136)/ABS(K136)),"")</x:f>
      </x:c>
      <x:c r="P136" s="2" t="str">
        <x:f>IF(COUNTA(A136)=0,"",IF(NOT(ISNUMBER('Status'!$B$6)),"Set tolerance",IF(COUNT(J136:L136)&lt;3,"Need 3 levels",IF(OR(J136=0,K136=0),"Use abs. Δ",IF(AND(ABS(K136-J136)/ABS(J136)&lt;='Status'!$B$6,O136&lt;='Status'!$B$6),"Yes","No")))))</x:f>
      </x:c>
      <x:c r="Q136" s="14" t="str">
        <x:f>IF(AND(ISNUMBER(E136),ISNUMBER(L136)),ABS(E136-L136),"")</x:f>
      </x:c>
      <x:c r="R136" s="2" t="str">
        <x:f>IF(COUNTA(A136)=0,"",IF(COUNT(C136:E136,J136:L136)&gt;0,1,0))</x:f>
      </x:c>
      <x:c r="S136" s="2" t="str">
        <x:f>IF(COUNTA(A136)=0,"",IF(COUNTIFS($A$6:$A$165,A136)&gt;1,"Duplicate target",""))</x:f>
      </x:c>
    </x:row>
    <x:row r="137">
      <x:c r="A137" s="6"/>
      <x:c r="B137" s="20"/>
      <x:c r="C137" s="14" t="str">
        <x:f>IF(OR(COUNTA($A137)=0,'Status'!$E$5=""),"",IF(COUNTIFS('Estimates'!$A$5:$A$2004,$A137,'Estimates'!$B$5:$B$2004,"MPS",'Estimates'!$C$5:$C$2004,'Status'!$E$5)=0,"",IF(COUNTIFS('Estimates'!$A$5:$A$2004,$A137,'Estimates'!$B$5:$B$2004,"MPS",'Estimates'!$C$5:$C$2004,'Status'!$E$5)&gt;1,"DUP",SUMIFS('Estimates'!$F$5:$F$2004,'Estimates'!$A$5:$A$2004,$A137,'Estimates'!$B$5:$B$2004,"MPS",'Estimates'!$C$5:$C$2004,'Status'!$E$5))))</x:f>
      </x:c>
      <x:c r="D137" s="14" t="str">
        <x:f>IF(OR(COUNTA($A137)=0,'Status'!$F$5=""),"",IF(COUNTIFS('Estimates'!$A$5:$A$2004,$A137,'Estimates'!$B$5:$B$2004,"MPS",'Estimates'!$C$5:$C$2004,'Status'!$F$5)=0,"",IF(COUNTIFS('Estimates'!$A$5:$A$2004,$A137,'Estimates'!$B$5:$B$2004,"MPS",'Estimates'!$C$5:$C$2004,'Status'!$F$5)&gt;1,"DUP",SUMIFS('Estimates'!$F$5:$F$2004,'Estimates'!$A$5:$A$2004,$A137,'Estimates'!$B$5:$B$2004,"MPS",'Estimates'!$C$5:$C$2004,'Status'!$F$5))))</x:f>
      </x:c>
      <x:c r="E137" s="14" t="str">
        <x:f>IF(OR(COUNTA($A137)=0,'Status'!$G$5=""),"",IF(COUNTIFS('Estimates'!$A$5:$A$2004,$A137,'Estimates'!$B$5:$B$2004,"MPS",'Estimates'!$C$5:$C$2004,'Status'!$G$5)=0,"",IF(COUNTIFS('Estimates'!$A$5:$A$2004,$A137,'Estimates'!$B$5:$B$2004,"MPS",'Estimates'!$C$5:$C$2004,'Status'!$G$5)&gt;1,"DUP",SUMIFS('Estimates'!$F$5:$F$2004,'Estimates'!$A$5:$A$2004,$A137,'Estimates'!$B$5:$B$2004,"MPS",'Estimates'!$C$5:$C$2004,'Status'!$G$5))))</x:f>
      </x:c>
      <x:c r="F137" s="14" t="str">
        <x:f>IF(COUNT(C137:E137)&lt;2,"",_xlfn.STDEV.S(C137:E137))</x:f>
      </x:c>
      <x:c r="G137" s="14" t="str">
        <x:f>IF(AND(ISNUMBER(D137),ISNUMBER(E137)),ABS(E137-D137),"")</x:f>
      </x:c>
      <x:c r="H137" s="15" t="str">
        <x:f>IF(AND(ISNUMBER(D137),ISNUMBER(E137)),IF(D137=0,"n.a.",ABS(E137-D137)/ABS(D137)),"")</x:f>
      </x:c>
      <x:c r="I137" s="2" t="str">
        <x:f>IF(COUNTA(A137)=0,"",IF(NOT(ISNUMBER('Status'!$B$6)),"Set tolerance",IF(COUNT(C137:E137)&lt;3,"Need 3 levels",IF(OR(C137=0,D137=0),"Use abs. Δ",IF(AND(ABS(D137-C137)/ABS(C137)&lt;='Status'!$B$6,H137&lt;='Status'!$B$6),"Yes","No")))))</x:f>
      </x:c>
      <x:c r="J137" s="14" t="str">
        <x:f>IF(OR(COUNTA($A137)=0,'Status'!$E$6=""),"",IF(COUNTIFS('Estimates'!$A$5:$A$2004,$A137,'Estimates'!$B$5:$B$2004,"PPS",'Estimates'!$D$5:$D$2004,'Status'!$E$6,'Estimates'!$E$5:$E$2004,'Status'!$E$7)=0,"",IF(COUNTIFS('Estimates'!$A$5:$A$2004,$A137,'Estimates'!$B$5:$B$2004,"PPS",'Estimates'!$D$5:$D$2004,'Status'!$E$6,'Estimates'!$E$5:$E$2004,'Status'!$E$7)&gt;1,"DUP",SUMIFS('Estimates'!$F$5:$F$2004,'Estimates'!$A$5:$A$2004,$A137,'Estimates'!$B$5:$B$2004,"PPS",'Estimates'!$D$5:$D$2004,'Status'!$E$6,'Estimates'!$E$5:$E$2004,'Status'!$E$7))))</x:f>
      </x:c>
      <x:c r="K137" s="14" t="str">
        <x:f>IF(OR(COUNTA($A137)=0,'Status'!$F$6=""),"",IF(COUNTIFS('Estimates'!$A$5:$A$2004,$A137,'Estimates'!$B$5:$B$2004,"PPS",'Estimates'!$D$5:$D$2004,'Status'!$F$6,'Estimates'!$E$5:$E$2004,'Status'!$E$7)=0,"",IF(COUNTIFS('Estimates'!$A$5:$A$2004,$A137,'Estimates'!$B$5:$B$2004,"PPS",'Estimates'!$D$5:$D$2004,'Status'!$F$6,'Estimates'!$E$5:$E$2004,'Status'!$E$7)&gt;1,"DUP",SUMIFS('Estimates'!$F$5:$F$2004,'Estimates'!$A$5:$A$2004,$A137,'Estimates'!$B$5:$B$2004,"PPS",'Estimates'!$D$5:$D$2004,'Status'!$F$6,'Estimates'!$E$5:$E$2004,'Status'!$E$7))))</x:f>
      </x:c>
      <x:c r="L137" s="14" t="str">
        <x:f>IF(OR(COUNTA($A137)=0,'Status'!$G$6=""),"",IF(COUNTIFS('Estimates'!$A$5:$A$2004,$A137,'Estimates'!$B$5:$B$2004,"PPS",'Estimates'!$D$5:$D$2004,'Status'!$G$6,'Estimates'!$E$5:$E$2004,'Status'!$E$7)=0,"",IF(COUNTIFS('Estimates'!$A$5:$A$2004,$A137,'Estimates'!$B$5:$B$2004,"PPS",'Estimates'!$D$5:$D$2004,'Status'!$G$6,'Estimates'!$E$5:$E$2004,'Status'!$E$7)&gt;1,"DUP",SUMIFS('Estimates'!$F$5:$F$2004,'Estimates'!$A$5:$A$2004,$A137,'Estimates'!$B$5:$B$2004,"PPS",'Estimates'!$D$5:$D$2004,'Status'!$G$6,'Estimates'!$E$5:$E$2004,'Status'!$E$7))))</x:f>
      </x:c>
      <x:c r="M137" s="14" t="str">
        <x:f>IF(COUNT(J137:L137)&lt;2,"",_xlfn.STDEV.S(J137:L137))</x:f>
      </x:c>
      <x:c r="N137" s="14" t="str">
        <x:f>IF(AND(ISNUMBER(K137),ISNUMBER(L137)),ABS(L137-K137),"")</x:f>
      </x:c>
      <x:c r="O137" s="15" t="str">
        <x:f>IF(AND(ISNUMBER(K137),ISNUMBER(L137)),IF(K137=0,"n.a.",ABS(L137-K137)/ABS(K137)),"")</x:f>
      </x:c>
      <x:c r="P137" s="2" t="str">
        <x:f>IF(COUNTA(A137)=0,"",IF(NOT(ISNUMBER('Status'!$B$6)),"Set tolerance",IF(COUNT(J137:L137)&lt;3,"Need 3 levels",IF(OR(J137=0,K137=0),"Use abs. Δ",IF(AND(ABS(K137-J137)/ABS(J137)&lt;='Status'!$B$6,O137&lt;='Status'!$B$6),"Yes","No")))))</x:f>
      </x:c>
      <x:c r="Q137" s="14" t="str">
        <x:f>IF(AND(ISNUMBER(E137),ISNUMBER(L137)),ABS(E137-L137),"")</x:f>
      </x:c>
      <x:c r="R137" s="2" t="str">
        <x:f>IF(COUNTA(A137)=0,"",IF(COUNT(C137:E137,J137:L137)&gt;0,1,0))</x:f>
      </x:c>
      <x:c r="S137" s="2" t="str">
        <x:f>IF(COUNTA(A137)=0,"",IF(COUNTIFS($A$6:$A$165,A137)&gt;1,"Duplicate target",""))</x:f>
      </x:c>
    </x:row>
    <x:row r="138">
      <x:c r="A138" s="6"/>
      <x:c r="B138" s="20"/>
      <x:c r="C138" s="14" t="str">
        <x:f>IF(OR(COUNTA($A138)=0,'Status'!$E$5=""),"",IF(COUNTIFS('Estimates'!$A$5:$A$2004,$A138,'Estimates'!$B$5:$B$2004,"MPS",'Estimates'!$C$5:$C$2004,'Status'!$E$5)=0,"",IF(COUNTIFS('Estimates'!$A$5:$A$2004,$A138,'Estimates'!$B$5:$B$2004,"MPS",'Estimates'!$C$5:$C$2004,'Status'!$E$5)&gt;1,"DUP",SUMIFS('Estimates'!$F$5:$F$2004,'Estimates'!$A$5:$A$2004,$A138,'Estimates'!$B$5:$B$2004,"MPS",'Estimates'!$C$5:$C$2004,'Status'!$E$5))))</x:f>
      </x:c>
      <x:c r="D138" s="14" t="str">
        <x:f>IF(OR(COUNTA($A138)=0,'Status'!$F$5=""),"",IF(COUNTIFS('Estimates'!$A$5:$A$2004,$A138,'Estimates'!$B$5:$B$2004,"MPS",'Estimates'!$C$5:$C$2004,'Status'!$F$5)=0,"",IF(COUNTIFS('Estimates'!$A$5:$A$2004,$A138,'Estimates'!$B$5:$B$2004,"MPS",'Estimates'!$C$5:$C$2004,'Status'!$F$5)&gt;1,"DUP",SUMIFS('Estimates'!$F$5:$F$2004,'Estimates'!$A$5:$A$2004,$A138,'Estimates'!$B$5:$B$2004,"MPS",'Estimates'!$C$5:$C$2004,'Status'!$F$5))))</x:f>
      </x:c>
      <x:c r="E138" s="14" t="str">
        <x:f>IF(OR(COUNTA($A138)=0,'Status'!$G$5=""),"",IF(COUNTIFS('Estimates'!$A$5:$A$2004,$A138,'Estimates'!$B$5:$B$2004,"MPS",'Estimates'!$C$5:$C$2004,'Status'!$G$5)=0,"",IF(COUNTIFS('Estimates'!$A$5:$A$2004,$A138,'Estimates'!$B$5:$B$2004,"MPS",'Estimates'!$C$5:$C$2004,'Status'!$G$5)&gt;1,"DUP",SUMIFS('Estimates'!$F$5:$F$2004,'Estimates'!$A$5:$A$2004,$A138,'Estimates'!$B$5:$B$2004,"MPS",'Estimates'!$C$5:$C$2004,'Status'!$G$5))))</x:f>
      </x:c>
      <x:c r="F138" s="14" t="str">
        <x:f>IF(COUNT(C138:E138)&lt;2,"",_xlfn.STDEV.S(C138:E138))</x:f>
      </x:c>
      <x:c r="G138" s="14" t="str">
        <x:f>IF(AND(ISNUMBER(D138),ISNUMBER(E138)),ABS(E138-D138),"")</x:f>
      </x:c>
      <x:c r="H138" s="15" t="str">
        <x:f>IF(AND(ISNUMBER(D138),ISNUMBER(E138)),IF(D138=0,"n.a.",ABS(E138-D138)/ABS(D138)),"")</x:f>
      </x:c>
      <x:c r="I138" s="2" t="str">
        <x:f>IF(COUNTA(A138)=0,"",IF(NOT(ISNUMBER('Status'!$B$6)),"Set tolerance",IF(COUNT(C138:E138)&lt;3,"Need 3 levels",IF(OR(C138=0,D138=0),"Use abs. Δ",IF(AND(ABS(D138-C138)/ABS(C138)&lt;='Status'!$B$6,H138&lt;='Status'!$B$6),"Yes","No")))))</x:f>
      </x:c>
      <x:c r="J138" s="14" t="str">
        <x:f>IF(OR(COUNTA($A138)=0,'Status'!$E$6=""),"",IF(COUNTIFS('Estimates'!$A$5:$A$2004,$A138,'Estimates'!$B$5:$B$2004,"PPS",'Estimates'!$D$5:$D$2004,'Status'!$E$6,'Estimates'!$E$5:$E$2004,'Status'!$E$7)=0,"",IF(COUNTIFS('Estimates'!$A$5:$A$2004,$A138,'Estimates'!$B$5:$B$2004,"PPS",'Estimates'!$D$5:$D$2004,'Status'!$E$6,'Estimates'!$E$5:$E$2004,'Status'!$E$7)&gt;1,"DUP",SUMIFS('Estimates'!$F$5:$F$2004,'Estimates'!$A$5:$A$2004,$A138,'Estimates'!$B$5:$B$2004,"PPS",'Estimates'!$D$5:$D$2004,'Status'!$E$6,'Estimates'!$E$5:$E$2004,'Status'!$E$7))))</x:f>
      </x:c>
      <x:c r="K138" s="14" t="str">
        <x:f>IF(OR(COUNTA($A138)=0,'Status'!$F$6=""),"",IF(COUNTIFS('Estimates'!$A$5:$A$2004,$A138,'Estimates'!$B$5:$B$2004,"PPS",'Estimates'!$D$5:$D$2004,'Status'!$F$6,'Estimates'!$E$5:$E$2004,'Status'!$E$7)=0,"",IF(COUNTIFS('Estimates'!$A$5:$A$2004,$A138,'Estimates'!$B$5:$B$2004,"PPS",'Estimates'!$D$5:$D$2004,'Status'!$F$6,'Estimates'!$E$5:$E$2004,'Status'!$E$7)&gt;1,"DUP",SUMIFS('Estimates'!$F$5:$F$2004,'Estimates'!$A$5:$A$2004,$A138,'Estimates'!$B$5:$B$2004,"PPS",'Estimates'!$D$5:$D$2004,'Status'!$F$6,'Estimates'!$E$5:$E$2004,'Status'!$E$7))))</x:f>
      </x:c>
      <x:c r="L138" s="14" t="str">
        <x:f>IF(OR(COUNTA($A138)=0,'Status'!$G$6=""),"",IF(COUNTIFS('Estimates'!$A$5:$A$2004,$A138,'Estimates'!$B$5:$B$2004,"PPS",'Estimates'!$D$5:$D$2004,'Status'!$G$6,'Estimates'!$E$5:$E$2004,'Status'!$E$7)=0,"",IF(COUNTIFS('Estimates'!$A$5:$A$2004,$A138,'Estimates'!$B$5:$B$2004,"PPS",'Estimates'!$D$5:$D$2004,'Status'!$G$6,'Estimates'!$E$5:$E$2004,'Status'!$E$7)&gt;1,"DUP",SUMIFS('Estimates'!$F$5:$F$2004,'Estimates'!$A$5:$A$2004,$A138,'Estimates'!$B$5:$B$2004,"PPS",'Estimates'!$D$5:$D$2004,'Status'!$G$6,'Estimates'!$E$5:$E$2004,'Status'!$E$7))))</x:f>
      </x:c>
      <x:c r="M138" s="14" t="str">
        <x:f>IF(COUNT(J138:L138)&lt;2,"",_xlfn.STDEV.S(J138:L138))</x:f>
      </x:c>
      <x:c r="N138" s="14" t="str">
        <x:f>IF(AND(ISNUMBER(K138),ISNUMBER(L138)),ABS(L138-K138),"")</x:f>
      </x:c>
      <x:c r="O138" s="15" t="str">
        <x:f>IF(AND(ISNUMBER(K138),ISNUMBER(L138)),IF(K138=0,"n.a.",ABS(L138-K138)/ABS(K138)),"")</x:f>
      </x:c>
      <x:c r="P138" s="2" t="str">
        <x:f>IF(COUNTA(A138)=0,"",IF(NOT(ISNUMBER('Status'!$B$6)),"Set tolerance",IF(COUNT(J138:L138)&lt;3,"Need 3 levels",IF(OR(J138=0,K138=0),"Use abs. Δ",IF(AND(ABS(K138-J138)/ABS(J138)&lt;='Status'!$B$6,O138&lt;='Status'!$B$6),"Yes","No")))))</x:f>
      </x:c>
      <x:c r="Q138" s="14" t="str">
        <x:f>IF(AND(ISNUMBER(E138),ISNUMBER(L138)),ABS(E138-L138),"")</x:f>
      </x:c>
      <x:c r="R138" s="2" t="str">
        <x:f>IF(COUNTA(A138)=0,"",IF(COUNT(C138:E138,J138:L138)&gt;0,1,0))</x:f>
      </x:c>
      <x:c r="S138" s="2" t="str">
        <x:f>IF(COUNTA(A138)=0,"",IF(COUNTIFS($A$6:$A$165,A138)&gt;1,"Duplicate target",""))</x:f>
      </x:c>
    </x:row>
    <x:row r="139">
      <x:c r="A139" s="6"/>
      <x:c r="B139" s="20"/>
      <x:c r="C139" s="14" t="str">
        <x:f>IF(OR(COUNTA($A139)=0,'Status'!$E$5=""),"",IF(COUNTIFS('Estimates'!$A$5:$A$2004,$A139,'Estimates'!$B$5:$B$2004,"MPS",'Estimates'!$C$5:$C$2004,'Status'!$E$5)=0,"",IF(COUNTIFS('Estimates'!$A$5:$A$2004,$A139,'Estimates'!$B$5:$B$2004,"MPS",'Estimates'!$C$5:$C$2004,'Status'!$E$5)&gt;1,"DUP",SUMIFS('Estimates'!$F$5:$F$2004,'Estimates'!$A$5:$A$2004,$A139,'Estimates'!$B$5:$B$2004,"MPS",'Estimates'!$C$5:$C$2004,'Status'!$E$5))))</x:f>
      </x:c>
      <x:c r="D139" s="14" t="str">
        <x:f>IF(OR(COUNTA($A139)=0,'Status'!$F$5=""),"",IF(COUNTIFS('Estimates'!$A$5:$A$2004,$A139,'Estimates'!$B$5:$B$2004,"MPS",'Estimates'!$C$5:$C$2004,'Status'!$F$5)=0,"",IF(COUNTIFS('Estimates'!$A$5:$A$2004,$A139,'Estimates'!$B$5:$B$2004,"MPS",'Estimates'!$C$5:$C$2004,'Status'!$F$5)&gt;1,"DUP",SUMIFS('Estimates'!$F$5:$F$2004,'Estimates'!$A$5:$A$2004,$A139,'Estimates'!$B$5:$B$2004,"MPS",'Estimates'!$C$5:$C$2004,'Status'!$F$5))))</x:f>
      </x:c>
      <x:c r="E139" s="14" t="str">
        <x:f>IF(OR(COUNTA($A139)=0,'Status'!$G$5=""),"",IF(COUNTIFS('Estimates'!$A$5:$A$2004,$A139,'Estimates'!$B$5:$B$2004,"MPS",'Estimates'!$C$5:$C$2004,'Status'!$G$5)=0,"",IF(COUNTIFS('Estimates'!$A$5:$A$2004,$A139,'Estimates'!$B$5:$B$2004,"MPS",'Estimates'!$C$5:$C$2004,'Status'!$G$5)&gt;1,"DUP",SUMIFS('Estimates'!$F$5:$F$2004,'Estimates'!$A$5:$A$2004,$A139,'Estimates'!$B$5:$B$2004,"MPS",'Estimates'!$C$5:$C$2004,'Status'!$G$5))))</x:f>
      </x:c>
      <x:c r="F139" s="14" t="str">
        <x:f>IF(COUNT(C139:E139)&lt;2,"",_xlfn.STDEV.S(C139:E139))</x:f>
      </x:c>
      <x:c r="G139" s="14" t="str">
        <x:f>IF(AND(ISNUMBER(D139),ISNUMBER(E139)),ABS(E139-D139),"")</x:f>
      </x:c>
      <x:c r="H139" s="15" t="str">
        <x:f>IF(AND(ISNUMBER(D139),ISNUMBER(E139)),IF(D139=0,"n.a.",ABS(E139-D139)/ABS(D139)),"")</x:f>
      </x:c>
      <x:c r="I139" s="2" t="str">
        <x:f>IF(COUNTA(A139)=0,"",IF(NOT(ISNUMBER('Status'!$B$6)),"Set tolerance",IF(COUNT(C139:E139)&lt;3,"Need 3 levels",IF(OR(C139=0,D139=0),"Use abs. Δ",IF(AND(ABS(D139-C139)/ABS(C139)&lt;='Status'!$B$6,H139&lt;='Status'!$B$6),"Yes","No")))))</x:f>
      </x:c>
      <x:c r="J139" s="14" t="str">
        <x:f>IF(OR(COUNTA($A139)=0,'Status'!$E$6=""),"",IF(COUNTIFS('Estimates'!$A$5:$A$2004,$A139,'Estimates'!$B$5:$B$2004,"PPS",'Estimates'!$D$5:$D$2004,'Status'!$E$6,'Estimates'!$E$5:$E$2004,'Status'!$E$7)=0,"",IF(COUNTIFS('Estimates'!$A$5:$A$2004,$A139,'Estimates'!$B$5:$B$2004,"PPS",'Estimates'!$D$5:$D$2004,'Status'!$E$6,'Estimates'!$E$5:$E$2004,'Status'!$E$7)&gt;1,"DUP",SUMIFS('Estimates'!$F$5:$F$2004,'Estimates'!$A$5:$A$2004,$A139,'Estimates'!$B$5:$B$2004,"PPS",'Estimates'!$D$5:$D$2004,'Status'!$E$6,'Estimates'!$E$5:$E$2004,'Status'!$E$7))))</x:f>
      </x:c>
      <x:c r="K139" s="14" t="str">
        <x:f>IF(OR(COUNTA($A139)=0,'Status'!$F$6=""),"",IF(COUNTIFS('Estimates'!$A$5:$A$2004,$A139,'Estimates'!$B$5:$B$2004,"PPS",'Estimates'!$D$5:$D$2004,'Status'!$F$6,'Estimates'!$E$5:$E$2004,'Status'!$E$7)=0,"",IF(COUNTIFS('Estimates'!$A$5:$A$2004,$A139,'Estimates'!$B$5:$B$2004,"PPS",'Estimates'!$D$5:$D$2004,'Status'!$F$6,'Estimates'!$E$5:$E$2004,'Status'!$E$7)&gt;1,"DUP",SUMIFS('Estimates'!$F$5:$F$2004,'Estimates'!$A$5:$A$2004,$A139,'Estimates'!$B$5:$B$2004,"PPS",'Estimates'!$D$5:$D$2004,'Status'!$F$6,'Estimates'!$E$5:$E$2004,'Status'!$E$7))))</x:f>
      </x:c>
      <x:c r="L139" s="14" t="str">
        <x:f>IF(OR(COUNTA($A139)=0,'Status'!$G$6=""),"",IF(COUNTIFS('Estimates'!$A$5:$A$2004,$A139,'Estimates'!$B$5:$B$2004,"PPS",'Estimates'!$D$5:$D$2004,'Status'!$G$6,'Estimates'!$E$5:$E$2004,'Status'!$E$7)=0,"",IF(COUNTIFS('Estimates'!$A$5:$A$2004,$A139,'Estimates'!$B$5:$B$2004,"PPS",'Estimates'!$D$5:$D$2004,'Status'!$G$6,'Estimates'!$E$5:$E$2004,'Status'!$E$7)&gt;1,"DUP",SUMIFS('Estimates'!$F$5:$F$2004,'Estimates'!$A$5:$A$2004,$A139,'Estimates'!$B$5:$B$2004,"PPS",'Estimates'!$D$5:$D$2004,'Status'!$G$6,'Estimates'!$E$5:$E$2004,'Status'!$E$7))))</x:f>
      </x:c>
      <x:c r="M139" s="14" t="str">
        <x:f>IF(COUNT(J139:L139)&lt;2,"",_xlfn.STDEV.S(J139:L139))</x:f>
      </x:c>
      <x:c r="N139" s="14" t="str">
        <x:f>IF(AND(ISNUMBER(K139),ISNUMBER(L139)),ABS(L139-K139),"")</x:f>
      </x:c>
      <x:c r="O139" s="15" t="str">
        <x:f>IF(AND(ISNUMBER(K139),ISNUMBER(L139)),IF(K139=0,"n.a.",ABS(L139-K139)/ABS(K139)),"")</x:f>
      </x:c>
      <x:c r="P139" s="2" t="str">
        <x:f>IF(COUNTA(A139)=0,"",IF(NOT(ISNUMBER('Status'!$B$6)),"Set tolerance",IF(COUNT(J139:L139)&lt;3,"Need 3 levels",IF(OR(J139=0,K139=0),"Use abs. Δ",IF(AND(ABS(K139-J139)/ABS(J139)&lt;='Status'!$B$6,O139&lt;='Status'!$B$6),"Yes","No")))))</x:f>
      </x:c>
      <x:c r="Q139" s="14" t="str">
        <x:f>IF(AND(ISNUMBER(E139),ISNUMBER(L139)),ABS(E139-L139),"")</x:f>
      </x:c>
      <x:c r="R139" s="2" t="str">
        <x:f>IF(COUNTA(A139)=0,"",IF(COUNT(C139:E139,J139:L139)&gt;0,1,0))</x:f>
      </x:c>
      <x:c r="S139" s="2" t="str">
        <x:f>IF(COUNTA(A139)=0,"",IF(COUNTIFS($A$6:$A$165,A139)&gt;1,"Duplicate target",""))</x:f>
      </x:c>
    </x:row>
    <x:row r="140">
      <x:c r="A140" s="6"/>
      <x:c r="B140" s="20"/>
      <x:c r="C140" s="14" t="str">
        <x:f>IF(OR(COUNTA($A140)=0,'Status'!$E$5=""),"",IF(COUNTIFS('Estimates'!$A$5:$A$2004,$A140,'Estimates'!$B$5:$B$2004,"MPS",'Estimates'!$C$5:$C$2004,'Status'!$E$5)=0,"",IF(COUNTIFS('Estimates'!$A$5:$A$2004,$A140,'Estimates'!$B$5:$B$2004,"MPS",'Estimates'!$C$5:$C$2004,'Status'!$E$5)&gt;1,"DUP",SUMIFS('Estimates'!$F$5:$F$2004,'Estimates'!$A$5:$A$2004,$A140,'Estimates'!$B$5:$B$2004,"MPS",'Estimates'!$C$5:$C$2004,'Status'!$E$5))))</x:f>
      </x:c>
      <x:c r="D140" s="14" t="str">
        <x:f>IF(OR(COUNTA($A140)=0,'Status'!$F$5=""),"",IF(COUNTIFS('Estimates'!$A$5:$A$2004,$A140,'Estimates'!$B$5:$B$2004,"MPS",'Estimates'!$C$5:$C$2004,'Status'!$F$5)=0,"",IF(COUNTIFS('Estimates'!$A$5:$A$2004,$A140,'Estimates'!$B$5:$B$2004,"MPS",'Estimates'!$C$5:$C$2004,'Status'!$F$5)&gt;1,"DUP",SUMIFS('Estimates'!$F$5:$F$2004,'Estimates'!$A$5:$A$2004,$A140,'Estimates'!$B$5:$B$2004,"MPS",'Estimates'!$C$5:$C$2004,'Status'!$F$5))))</x:f>
      </x:c>
      <x:c r="E140" s="14" t="str">
        <x:f>IF(OR(COUNTA($A140)=0,'Status'!$G$5=""),"",IF(COUNTIFS('Estimates'!$A$5:$A$2004,$A140,'Estimates'!$B$5:$B$2004,"MPS",'Estimates'!$C$5:$C$2004,'Status'!$G$5)=0,"",IF(COUNTIFS('Estimates'!$A$5:$A$2004,$A140,'Estimates'!$B$5:$B$2004,"MPS",'Estimates'!$C$5:$C$2004,'Status'!$G$5)&gt;1,"DUP",SUMIFS('Estimates'!$F$5:$F$2004,'Estimates'!$A$5:$A$2004,$A140,'Estimates'!$B$5:$B$2004,"MPS",'Estimates'!$C$5:$C$2004,'Status'!$G$5))))</x:f>
      </x:c>
      <x:c r="F140" s="14" t="str">
        <x:f>IF(COUNT(C140:E140)&lt;2,"",_xlfn.STDEV.S(C140:E140))</x:f>
      </x:c>
      <x:c r="G140" s="14" t="str">
        <x:f>IF(AND(ISNUMBER(D140),ISNUMBER(E140)),ABS(E140-D140),"")</x:f>
      </x:c>
      <x:c r="H140" s="15" t="str">
        <x:f>IF(AND(ISNUMBER(D140),ISNUMBER(E140)),IF(D140=0,"n.a.",ABS(E140-D140)/ABS(D140)),"")</x:f>
      </x:c>
      <x:c r="I140" s="2" t="str">
        <x:f>IF(COUNTA(A140)=0,"",IF(NOT(ISNUMBER('Status'!$B$6)),"Set tolerance",IF(COUNT(C140:E140)&lt;3,"Need 3 levels",IF(OR(C140=0,D140=0),"Use abs. Δ",IF(AND(ABS(D140-C140)/ABS(C140)&lt;='Status'!$B$6,H140&lt;='Status'!$B$6),"Yes","No")))))</x:f>
      </x:c>
      <x:c r="J140" s="14" t="str">
        <x:f>IF(OR(COUNTA($A140)=0,'Status'!$E$6=""),"",IF(COUNTIFS('Estimates'!$A$5:$A$2004,$A140,'Estimates'!$B$5:$B$2004,"PPS",'Estimates'!$D$5:$D$2004,'Status'!$E$6,'Estimates'!$E$5:$E$2004,'Status'!$E$7)=0,"",IF(COUNTIFS('Estimates'!$A$5:$A$2004,$A140,'Estimates'!$B$5:$B$2004,"PPS",'Estimates'!$D$5:$D$2004,'Status'!$E$6,'Estimates'!$E$5:$E$2004,'Status'!$E$7)&gt;1,"DUP",SUMIFS('Estimates'!$F$5:$F$2004,'Estimates'!$A$5:$A$2004,$A140,'Estimates'!$B$5:$B$2004,"PPS",'Estimates'!$D$5:$D$2004,'Status'!$E$6,'Estimates'!$E$5:$E$2004,'Status'!$E$7))))</x:f>
      </x:c>
      <x:c r="K140" s="14" t="str">
        <x:f>IF(OR(COUNTA($A140)=0,'Status'!$F$6=""),"",IF(COUNTIFS('Estimates'!$A$5:$A$2004,$A140,'Estimates'!$B$5:$B$2004,"PPS",'Estimates'!$D$5:$D$2004,'Status'!$F$6,'Estimates'!$E$5:$E$2004,'Status'!$E$7)=0,"",IF(COUNTIFS('Estimates'!$A$5:$A$2004,$A140,'Estimates'!$B$5:$B$2004,"PPS",'Estimates'!$D$5:$D$2004,'Status'!$F$6,'Estimates'!$E$5:$E$2004,'Status'!$E$7)&gt;1,"DUP",SUMIFS('Estimates'!$F$5:$F$2004,'Estimates'!$A$5:$A$2004,$A140,'Estimates'!$B$5:$B$2004,"PPS",'Estimates'!$D$5:$D$2004,'Status'!$F$6,'Estimates'!$E$5:$E$2004,'Status'!$E$7))))</x:f>
      </x:c>
      <x:c r="L140" s="14" t="str">
        <x:f>IF(OR(COUNTA($A140)=0,'Status'!$G$6=""),"",IF(COUNTIFS('Estimates'!$A$5:$A$2004,$A140,'Estimates'!$B$5:$B$2004,"PPS",'Estimates'!$D$5:$D$2004,'Status'!$G$6,'Estimates'!$E$5:$E$2004,'Status'!$E$7)=0,"",IF(COUNTIFS('Estimates'!$A$5:$A$2004,$A140,'Estimates'!$B$5:$B$2004,"PPS",'Estimates'!$D$5:$D$2004,'Status'!$G$6,'Estimates'!$E$5:$E$2004,'Status'!$E$7)&gt;1,"DUP",SUMIFS('Estimates'!$F$5:$F$2004,'Estimates'!$A$5:$A$2004,$A140,'Estimates'!$B$5:$B$2004,"PPS",'Estimates'!$D$5:$D$2004,'Status'!$G$6,'Estimates'!$E$5:$E$2004,'Status'!$E$7))))</x:f>
      </x:c>
      <x:c r="M140" s="14" t="str">
        <x:f>IF(COUNT(J140:L140)&lt;2,"",_xlfn.STDEV.S(J140:L140))</x:f>
      </x:c>
      <x:c r="N140" s="14" t="str">
        <x:f>IF(AND(ISNUMBER(K140),ISNUMBER(L140)),ABS(L140-K140),"")</x:f>
      </x:c>
      <x:c r="O140" s="15" t="str">
        <x:f>IF(AND(ISNUMBER(K140),ISNUMBER(L140)),IF(K140=0,"n.a.",ABS(L140-K140)/ABS(K140)),"")</x:f>
      </x:c>
      <x:c r="P140" s="2" t="str">
        <x:f>IF(COUNTA(A140)=0,"",IF(NOT(ISNUMBER('Status'!$B$6)),"Set tolerance",IF(COUNT(J140:L140)&lt;3,"Need 3 levels",IF(OR(J140=0,K140=0),"Use abs. Δ",IF(AND(ABS(K140-J140)/ABS(J140)&lt;='Status'!$B$6,O140&lt;='Status'!$B$6),"Yes","No")))))</x:f>
      </x:c>
      <x:c r="Q140" s="14" t="str">
        <x:f>IF(AND(ISNUMBER(E140),ISNUMBER(L140)),ABS(E140-L140),"")</x:f>
      </x:c>
      <x:c r="R140" s="2" t="str">
        <x:f>IF(COUNTA(A140)=0,"",IF(COUNT(C140:E140,J140:L140)&gt;0,1,0))</x:f>
      </x:c>
      <x:c r="S140" s="2" t="str">
        <x:f>IF(COUNTA(A140)=0,"",IF(COUNTIFS($A$6:$A$165,A140)&gt;1,"Duplicate target",""))</x:f>
      </x:c>
    </x:row>
    <x:row r="141">
      <x:c r="A141" s="6"/>
      <x:c r="B141" s="20"/>
      <x:c r="C141" s="14" t="str">
        <x:f>IF(OR(COUNTA($A141)=0,'Status'!$E$5=""),"",IF(COUNTIFS('Estimates'!$A$5:$A$2004,$A141,'Estimates'!$B$5:$B$2004,"MPS",'Estimates'!$C$5:$C$2004,'Status'!$E$5)=0,"",IF(COUNTIFS('Estimates'!$A$5:$A$2004,$A141,'Estimates'!$B$5:$B$2004,"MPS",'Estimates'!$C$5:$C$2004,'Status'!$E$5)&gt;1,"DUP",SUMIFS('Estimates'!$F$5:$F$2004,'Estimates'!$A$5:$A$2004,$A141,'Estimates'!$B$5:$B$2004,"MPS",'Estimates'!$C$5:$C$2004,'Status'!$E$5))))</x:f>
      </x:c>
      <x:c r="D141" s="14" t="str">
        <x:f>IF(OR(COUNTA($A141)=0,'Status'!$F$5=""),"",IF(COUNTIFS('Estimates'!$A$5:$A$2004,$A141,'Estimates'!$B$5:$B$2004,"MPS",'Estimates'!$C$5:$C$2004,'Status'!$F$5)=0,"",IF(COUNTIFS('Estimates'!$A$5:$A$2004,$A141,'Estimates'!$B$5:$B$2004,"MPS",'Estimates'!$C$5:$C$2004,'Status'!$F$5)&gt;1,"DUP",SUMIFS('Estimates'!$F$5:$F$2004,'Estimates'!$A$5:$A$2004,$A141,'Estimates'!$B$5:$B$2004,"MPS",'Estimates'!$C$5:$C$2004,'Status'!$F$5))))</x:f>
      </x:c>
      <x:c r="E141" s="14" t="str">
        <x:f>IF(OR(COUNTA($A141)=0,'Status'!$G$5=""),"",IF(COUNTIFS('Estimates'!$A$5:$A$2004,$A141,'Estimates'!$B$5:$B$2004,"MPS",'Estimates'!$C$5:$C$2004,'Status'!$G$5)=0,"",IF(COUNTIFS('Estimates'!$A$5:$A$2004,$A141,'Estimates'!$B$5:$B$2004,"MPS",'Estimates'!$C$5:$C$2004,'Status'!$G$5)&gt;1,"DUP",SUMIFS('Estimates'!$F$5:$F$2004,'Estimates'!$A$5:$A$2004,$A141,'Estimates'!$B$5:$B$2004,"MPS",'Estimates'!$C$5:$C$2004,'Status'!$G$5))))</x:f>
      </x:c>
      <x:c r="F141" s="14" t="str">
        <x:f>IF(COUNT(C141:E141)&lt;2,"",_xlfn.STDEV.S(C141:E141))</x:f>
      </x:c>
      <x:c r="G141" s="14" t="str">
        <x:f>IF(AND(ISNUMBER(D141),ISNUMBER(E141)),ABS(E141-D141),"")</x:f>
      </x:c>
      <x:c r="H141" s="15" t="str">
        <x:f>IF(AND(ISNUMBER(D141),ISNUMBER(E141)),IF(D141=0,"n.a.",ABS(E141-D141)/ABS(D141)),"")</x:f>
      </x:c>
      <x:c r="I141" s="2" t="str">
        <x:f>IF(COUNTA(A141)=0,"",IF(NOT(ISNUMBER('Status'!$B$6)),"Set tolerance",IF(COUNT(C141:E141)&lt;3,"Need 3 levels",IF(OR(C141=0,D141=0),"Use abs. Δ",IF(AND(ABS(D141-C141)/ABS(C141)&lt;='Status'!$B$6,H141&lt;='Status'!$B$6),"Yes","No")))))</x:f>
      </x:c>
      <x:c r="J141" s="14" t="str">
        <x:f>IF(OR(COUNTA($A141)=0,'Status'!$E$6=""),"",IF(COUNTIFS('Estimates'!$A$5:$A$2004,$A141,'Estimates'!$B$5:$B$2004,"PPS",'Estimates'!$D$5:$D$2004,'Status'!$E$6,'Estimates'!$E$5:$E$2004,'Status'!$E$7)=0,"",IF(COUNTIFS('Estimates'!$A$5:$A$2004,$A141,'Estimates'!$B$5:$B$2004,"PPS",'Estimates'!$D$5:$D$2004,'Status'!$E$6,'Estimates'!$E$5:$E$2004,'Status'!$E$7)&gt;1,"DUP",SUMIFS('Estimates'!$F$5:$F$2004,'Estimates'!$A$5:$A$2004,$A141,'Estimates'!$B$5:$B$2004,"PPS",'Estimates'!$D$5:$D$2004,'Status'!$E$6,'Estimates'!$E$5:$E$2004,'Status'!$E$7))))</x:f>
      </x:c>
      <x:c r="K141" s="14" t="str">
        <x:f>IF(OR(COUNTA($A141)=0,'Status'!$F$6=""),"",IF(COUNTIFS('Estimates'!$A$5:$A$2004,$A141,'Estimates'!$B$5:$B$2004,"PPS",'Estimates'!$D$5:$D$2004,'Status'!$F$6,'Estimates'!$E$5:$E$2004,'Status'!$E$7)=0,"",IF(COUNTIFS('Estimates'!$A$5:$A$2004,$A141,'Estimates'!$B$5:$B$2004,"PPS",'Estimates'!$D$5:$D$2004,'Status'!$F$6,'Estimates'!$E$5:$E$2004,'Status'!$E$7)&gt;1,"DUP",SUMIFS('Estimates'!$F$5:$F$2004,'Estimates'!$A$5:$A$2004,$A141,'Estimates'!$B$5:$B$2004,"PPS",'Estimates'!$D$5:$D$2004,'Status'!$F$6,'Estimates'!$E$5:$E$2004,'Status'!$E$7))))</x:f>
      </x:c>
      <x:c r="L141" s="14" t="str">
        <x:f>IF(OR(COUNTA($A141)=0,'Status'!$G$6=""),"",IF(COUNTIFS('Estimates'!$A$5:$A$2004,$A141,'Estimates'!$B$5:$B$2004,"PPS",'Estimates'!$D$5:$D$2004,'Status'!$G$6,'Estimates'!$E$5:$E$2004,'Status'!$E$7)=0,"",IF(COUNTIFS('Estimates'!$A$5:$A$2004,$A141,'Estimates'!$B$5:$B$2004,"PPS",'Estimates'!$D$5:$D$2004,'Status'!$G$6,'Estimates'!$E$5:$E$2004,'Status'!$E$7)&gt;1,"DUP",SUMIFS('Estimates'!$F$5:$F$2004,'Estimates'!$A$5:$A$2004,$A141,'Estimates'!$B$5:$B$2004,"PPS",'Estimates'!$D$5:$D$2004,'Status'!$G$6,'Estimates'!$E$5:$E$2004,'Status'!$E$7))))</x:f>
      </x:c>
      <x:c r="M141" s="14" t="str">
        <x:f>IF(COUNT(J141:L141)&lt;2,"",_xlfn.STDEV.S(J141:L141))</x:f>
      </x:c>
      <x:c r="N141" s="14" t="str">
        <x:f>IF(AND(ISNUMBER(K141),ISNUMBER(L141)),ABS(L141-K141),"")</x:f>
      </x:c>
      <x:c r="O141" s="15" t="str">
        <x:f>IF(AND(ISNUMBER(K141),ISNUMBER(L141)),IF(K141=0,"n.a.",ABS(L141-K141)/ABS(K141)),"")</x:f>
      </x:c>
      <x:c r="P141" s="2" t="str">
        <x:f>IF(COUNTA(A141)=0,"",IF(NOT(ISNUMBER('Status'!$B$6)),"Set tolerance",IF(COUNT(J141:L141)&lt;3,"Need 3 levels",IF(OR(J141=0,K141=0),"Use abs. Δ",IF(AND(ABS(K141-J141)/ABS(J141)&lt;='Status'!$B$6,O141&lt;='Status'!$B$6),"Yes","No")))))</x:f>
      </x:c>
      <x:c r="Q141" s="14" t="str">
        <x:f>IF(AND(ISNUMBER(E141),ISNUMBER(L141)),ABS(E141-L141),"")</x:f>
      </x:c>
      <x:c r="R141" s="2" t="str">
        <x:f>IF(COUNTA(A141)=0,"",IF(COUNT(C141:E141,J141:L141)&gt;0,1,0))</x:f>
      </x:c>
      <x:c r="S141" s="2" t="str">
        <x:f>IF(COUNTA(A141)=0,"",IF(COUNTIFS($A$6:$A$165,A141)&gt;1,"Duplicate target",""))</x:f>
      </x:c>
    </x:row>
    <x:row r="142">
      <x:c r="A142" s="6"/>
      <x:c r="B142" s="20"/>
      <x:c r="C142" s="14" t="str">
        <x:f>IF(OR(COUNTA($A142)=0,'Status'!$E$5=""),"",IF(COUNTIFS('Estimates'!$A$5:$A$2004,$A142,'Estimates'!$B$5:$B$2004,"MPS",'Estimates'!$C$5:$C$2004,'Status'!$E$5)=0,"",IF(COUNTIFS('Estimates'!$A$5:$A$2004,$A142,'Estimates'!$B$5:$B$2004,"MPS",'Estimates'!$C$5:$C$2004,'Status'!$E$5)&gt;1,"DUP",SUMIFS('Estimates'!$F$5:$F$2004,'Estimates'!$A$5:$A$2004,$A142,'Estimates'!$B$5:$B$2004,"MPS",'Estimates'!$C$5:$C$2004,'Status'!$E$5))))</x:f>
      </x:c>
      <x:c r="D142" s="14" t="str">
        <x:f>IF(OR(COUNTA($A142)=0,'Status'!$F$5=""),"",IF(COUNTIFS('Estimates'!$A$5:$A$2004,$A142,'Estimates'!$B$5:$B$2004,"MPS",'Estimates'!$C$5:$C$2004,'Status'!$F$5)=0,"",IF(COUNTIFS('Estimates'!$A$5:$A$2004,$A142,'Estimates'!$B$5:$B$2004,"MPS",'Estimates'!$C$5:$C$2004,'Status'!$F$5)&gt;1,"DUP",SUMIFS('Estimates'!$F$5:$F$2004,'Estimates'!$A$5:$A$2004,$A142,'Estimates'!$B$5:$B$2004,"MPS",'Estimates'!$C$5:$C$2004,'Status'!$F$5))))</x:f>
      </x:c>
      <x:c r="E142" s="14" t="str">
        <x:f>IF(OR(COUNTA($A142)=0,'Status'!$G$5=""),"",IF(COUNTIFS('Estimates'!$A$5:$A$2004,$A142,'Estimates'!$B$5:$B$2004,"MPS",'Estimates'!$C$5:$C$2004,'Status'!$G$5)=0,"",IF(COUNTIFS('Estimates'!$A$5:$A$2004,$A142,'Estimates'!$B$5:$B$2004,"MPS",'Estimates'!$C$5:$C$2004,'Status'!$G$5)&gt;1,"DUP",SUMIFS('Estimates'!$F$5:$F$2004,'Estimates'!$A$5:$A$2004,$A142,'Estimates'!$B$5:$B$2004,"MPS",'Estimates'!$C$5:$C$2004,'Status'!$G$5))))</x:f>
      </x:c>
      <x:c r="F142" s="14" t="str">
        <x:f>IF(COUNT(C142:E142)&lt;2,"",_xlfn.STDEV.S(C142:E142))</x:f>
      </x:c>
      <x:c r="G142" s="14" t="str">
        <x:f>IF(AND(ISNUMBER(D142),ISNUMBER(E142)),ABS(E142-D142),"")</x:f>
      </x:c>
      <x:c r="H142" s="15" t="str">
        <x:f>IF(AND(ISNUMBER(D142),ISNUMBER(E142)),IF(D142=0,"n.a.",ABS(E142-D142)/ABS(D142)),"")</x:f>
      </x:c>
      <x:c r="I142" s="2" t="str">
        <x:f>IF(COUNTA(A142)=0,"",IF(NOT(ISNUMBER('Status'!$B$6)),"Set tolerance",IF(COUNT(C142:E142)&lt;3,"Need 3 levels",IF(OR(C142=0,D142=0),"Use abs. Δ",IF(AND(ABS(D142-C142)/ABS(C142)&lt;='Status'!$B$6,H142&lt;='Status'!$B$6),"Yes","No")))))</x:f>
      </x:c>
      <x:c r="J142" s="14" t="str">
        <x:f>IF(OR(COUNTA($A142)=0,'Status'!$E$6=""),"",IF(COUNTIFS('Estimates'!$A$5:$A$2004,$A142,'Estimates'!$B$5:$B$2004,"PPS",'Estimates'!$D$5:$D$2004,'Status'!$E$6,'Estimates'!$E$5:$E$2004,'Status'!$E$7)=0,"",IF(COUNTIFS('Estimates'!$A$5:$A$2004,$A142,'Estimates'!$B$5:$B$2004,"PPS",'Estimates'!$D$5:$D$2004,'Status'!$E$6,'Estimates'!$E$5:$E$2004,'Status'!$E$7)&gt;1,"DUP",SUMIFS('Estimates'!$F$5:$F$2004,'Estimates'!$A$5:$A$2004,$A142,'Estimates'!$B$5:$B$2004,"PPS",'Estimates'!$D$5:$D$2004,'Status'!$E$6,'Estimates'!$E$5:$E$2004,'Status'!$E$7))))</x:f>
      </x:c>
      <x:c r="K142" s="14" t="str">
        <x:f>IF(OR(COUNTA($A142)=0,'Status'!$F$6=""),"",IF(COUNTIFS('Estimates'!$A$5:$A$2004,$A142,'Estimates'!$B$5:$B$2004,"PPS",'Estimates'!$D$5:$D$2004,'Status'!$F$6,'Estimates'!$E$5:$E$2004,'Status'!$E$7)=0,"",IF(COUNTIFS('Estimates'!$A$5:$A$2004,$A142,'Estimates'!$B$5:$B$2004,"PPS",'Estimates'!$D$5:$D$2004,'Status'!$F$6,'Estimates'!$E$5:$E$2004,'Status'!$E$7)&gt;1,"DUP",SUMIFS('Estimates'!$F$5:$F$2004,'Estimates'!$A$5:$A$2004,$A142,'Estimates'!$B$5:$B$2004,"PPS",'Estimates'!$D$5:$D$2004,'Status'!$F$6,'Estimates'!$E$5:$E$2004,'Status'!$E$7))))</x:f>
      </x:c>
      <x:c r="L142" s="14" t="str">
        <x:f>IF(OR(COUNTA($A142)=0,'Status'!$G$6=""),"",IF(COUNTIFS('Estimates'!$A$5:$A$2004,$A142,'Estimates'!$B$5:$B$2004,"PPS",'Estimates'!$D$5:$D$2004,'Status'!$G$6,'Estimates'!$E$5:$E$2004,'Status'!$E$7)=0,"",IF(COUNTIFS('Estimates'!$A$5:$A$2004,$A142,'Estimates'!$B$5:$B$2004,"PPS",'Estimates'!$D$5:$D$2004,'Status'!$G$6,'Estimates'!$E$5:$E$2004,'Status'!$E$7)&gt;1,"DUP",SUMIFS('Estimates'!$F$5:$F$2004,'Estimates'!$A$5:$A$2004,$A142,'Estimates'!$B$5:$B$2004,"PPS",'Estimates'!$D$5:$D$2004,'Status'!$G$6,'Estimates'!$E$5:$E$2004,'Status'!$E$7))))</x:f>
      </x:c>
      <x:c r="M142" s="14" t="str">
        <x:f>IF(COUNT(J142:L142)&lt;2,"",_xlfn.STDEV.S(J142:L142))</x:f>
      </x:c>
      <x:c r="N142" s="14" t="str">
        <x:f>IF(AND(ISNUMBER(K142),ISNUMBER(L142)),ABS(L142-K142),"")</x:f>
      </x:c>
      <x:c r="O142" s="15" t="str">
        <x:f>IF(AND(ISNUMBER(K142),ISNUMBER(L142)),IF(K142=0,"n.a.",ABS(L142-K142)/ABS(K142)),"")</x:f>
      </x:c>
      <x:c r="P142" s="2" t="str">
        <x:f>IF(COUNTA(A142)=0,"",IF(NOT(ISNUMBER('Status'!$B$6)),"Set tolerance",IF(COUNT(J142:L142)&lt;3,"Need 3 levels",IF(OR(J142=0,K142=0),"Use abs. Δ",IF(AND(ABS(K142-J142)/ABS(J142)&lt;='Status'!$B$6,O142&lt;='Status'!$B$6),"Yes","No")))))</x:f>
      </x:c>
      <x:c r="Q142" s="14" t="str">
        <x:f>IF(AND(ISNUMBER(E142),ISNUMBER(L142)),ABS(E142-L142),"")</x:f>
      </x:c>
      <x:c r="R142" s="2" t="str">
        <x:f>IF(COUNTA(A142)=0,"",IF(COUNT(C142:E142,J142:L142)&gt;0,1,0))</x:f>
      </x:c>
      <x:c r="S142" s="2" t="str">
        <x:f>IF(COUNTA(A142)=0,"",IF(COUNTIFS($A$6:$A$165,A142)&gt;1,"Duplicate target",""))</x:f>
      </x:c>
    </x:row>
    <x:row r="143">
      <x:c r="A143" s="6"/>
      <x:c r="B143" s="20"/>
      <x:c r="C143" s="14" t="str">
        <x:f>IF(OR(COUNTA($A143)=0,'Status'!$E$5=""),"",IF(COUNTIFS('Estimates'!$A$5:$A$2004,$A143,'Estimates'!$B$5:$B$2004,"MPS",'Estimates'!$C$5:$C$2004,'Status'!$E$5)=0,"",IF(COUNTIFS('Estimates'!$A$5:$A$2004,$A143,'Estimates'!$B$5:$B$2004,"MPS",'Estimates'!$C$5:$C$2004,'Status'!$E$5)&gt;1,"DUP",SUMIFS('Estimates'!$F$5:$F$2004,'Estimates'!$A$5:$A$2004,$A143,'Estimates'!$B$5:$B$2004,"MPS",'Estimates'!$C$5:$C$2004,'Status'!$E$5))))</x:f>
      </x:c>
      <x:c r="D143" s="14" t="str">
        <x:f>IF(OR(COUNTA($A143)=0,'Status'!$F$5=""),"",IF(COUNTIFS('Estimates'!$A$5:$A$2004,$A143,'Estimates'!$B$5:$B$2004,"MPS",'Estimates'!$C$5:$C$2004,'Status'!$F$5)=0,"",IF(COUNTIFS('Estimates'!$A$5:$A$2004,$A143,'Estimates'!$B$5:$B$2004,"MPS",'Estimates'!$C$5:$C$2004,'Status'!$F$5)&gt;1,"DUP",SUMIFS('Estimates'!$F$5:$F$2004,'Estimates'!$A$5:$A$2004,$A143,'Estimates'!$B$5:$B$2004,"MPS",'Estimates'!$C$5:$C$2004,'Status'!$F$5))))</x:f>
      </x:c>
      <x:c r="E143" s="14" t="str">
        <x:f>IF(OR(COUNTA($A143)=0,'Status'!$G$5=""),"",IF(COUNTIFS('Estimates'!$A$5:$A$2004,$A143,'Estimates'!$B$5:$B$2004,"MPS",'Estimates'!$C$5:$C$2004,'Status'!$G$5)=0,"",IF(COUNTIFS('Estimates'!$A$5:$A$2004,$A143,'Estimates'!$B$5:$B$2004,"MPS",'Estimates'!$C$5:$C$2004,'Status'!$G$5)&gt;1,"DUP",SUMIFS('Estimates'!$F$5:$F$2004,'Estimates'!$A$5:$A$2004,$A143,'Estimates'!$B$5:$B$2004,"MPS",'Estimates'!$C$5:$C$2004,'Status'!$G$5))))</x:f>
      </x:c>
      <x:c r="F143" s="14" t="str">
        <x:f>IF(COUNT(C143:E143)&lt;2,"",_xlfn.STDEV.S(C143:E143))</x:f>
      </x:c>
      <x:c r="G143" s="14" t="str">
        <x:f>IF(AND(ISNUMBER(D143),ISNUMBER(E143)),ABS(E143-D143),"")</x:f>
      </x:c>
      <x:c r="H143" s="15" t="str">
        <x:f>IF(AND(ISNUMBER(D143),ISNUMBER(E143)),IF(D143=0,"n.a.",ABS(E143-D143)/ABS(D143)),"")</x:f>
      </x:c>
      <x:c r="I143" s="2" t="str">
        <x:f>IF(COUNTA(A143)=0,"",IF(NOT(ISNUMBER('Status'!$B$6)),"Set tolerance",IF(COUNT(C143:E143)&lt;3,"Need 3 levels",IF(OR(C143=0,D143=0),"Use abs. Δ",IF(AND(ABS(D143-C143)/ABS(C143)&lt;='Status'!$B$6,H143&lt;='Status'!$B$6),"Yes","No")))))</x:f>
      </x:c>
      <x:c r="J143" s="14" t="str">
        <x:f>IF(OR(COUNTA($A143)=0,'Status'!$E$6=""),"",IF(COUNTIFS('Estimates'!$A$5:$A$2004,$A143,'Estimates'!$B$5:$B$2004,"PPS",'Estimates'!$D$5:$D$2004,'Status'!$E$6,'Estimates'!$E$5:$E$2004,'Status'!$E$7)=0,"",IF(COUNTIFS('Estimates'!$A$5:$A$2004,$A143,'Estimates'!$B$5:$B$2004,"PPS",'Estimates'!$D$5:$D$2004,'Status'!$E$6,'Estimates'!$E$5:$E$2004,'Status'!$E$7)&gt;1,"DUP",SUMIFS('Estimates'!$F$5:$F$2004,'Estimates'!$A$5:$A$2004,$A143,'Estimates'!$B$5:$B$2004,"PPS",'Estimates'!$D$5:$D$2004,'Status'!$E$6,'Estimates'!$E$5:$E$2004,'Status'!$E$7))))</x:f>
      </x:c>
      <x:c r="K143" s="14" t="str">
        <x:f>IF(OR(COUNTA($A143)=0,'Status'!$F$6=""),"",IF(COUNTIFS('Estimates'!$A$5:$A$2004,$A143,'Estimates'!$B$5:$B$2004,"PPS",'Estimates'!$D$5:$D$2004,'Status'!$F$6,'Estimates'!$E$5:$E$2004,'Status'!$E$7)=0,"",IF(COUNTIFS('Estimates'!$A$5:$A$2004,$A143,'Estimates'!$B$5:$B$2004,"PPS",'Estimates'!$D$5:$D$2004,'Status'!$F$6,'Estimates'!$E$5:$E$2004,'Status'!$E$7)&gt;1,"DUP",SUMIFS('Estimates'!$F$5:$F$2004,'Estimates'!$A$5:$A$2004,$A143,'Estimates'!$B$5:$B$2004,"PPS",'Estimates'!$D$5:$D$2004,'Status'!$F$6,'Estimates'!$E$5:$E$2004,'Status'!$E$7))))</x:f>
      </x:c>
      <x:c r="L143" s="14" t="str">
        <x:f>IF(OR(COUNTA($A143)=0,'Status'!$G$6=""),"",IF(COUNTIFS('Estimates'!$A$5:$A$2004,$A143,'Estimates'!$B$5:$B$2004,"PPS",'Estimates'!$D$5:$D$2004,'Status'!$G$6,'Estimates'!$E$5:$E$2004,'Status'!$E$7)=0,"",IF(COUNTIFS('Estimates'!$A$5:$A$2004,$A143,'Estimates'!$B$5:$B$2004,"PPS",'Estimates'!$D$5:$D$2004,'Status'!$G$6,'Estimates'!$E$5:$E$2004,'Status'!$E$7)&gt;1,"DUP",SUMIFS('Estimates'!$F$5:$F$2004,'Estimates'!$A$5:$A$2004,$A143,'Estimates'!$B$5:$B$2004,"PPS",'Estimates'!$D$5:$D$2004,'Status'!$G$6,'Estimates'!$E$5:$E$2004,'Status'!$E$7))))</x:f>
      </x:c>
      <x:c r="M143" s="14" t="str">
        <x:f>IF(COUNT(J143:L143)&lt;2,"",_xlfn.STDEV.S(J143:L143))</x:f>
      </x:c>
      <x:c r="N143" s="14" t="str">
        <x:f>IF(AND(ISNUMBER(K143),ISNUMBER(L143)),ABS(L143-K143),"")</x:f>
      </x:c>
      <x:c r="O143" s="15" t="str">
        <x:f>IF(AND(ISNUMBER(K143),ISNUMBER(L143)),IF(K143=0,"n.a.",ABS(L143-K143)/ABS(K143)),"")</x:f>
      </x:c>
      <x:c r="P143" s="2" t="str">
        <x:f>IF(COUNTA(A143)=0,"",IF(NOT(ISNUMBER('Status'!$B$6)),"Set tolerance",IF(COUNT(J143:L143)&lt;3,"Need 3 levels",IF(OR(J143=0,K143=0),"Use abs. Δ",IF(AND(ABS(K143-J143)/ABS(J143)&lt;='Status'!$B$6,O143&lt;='Status'!$B$6),"Yes","No")))))</x:f>
      </x:c>
      <x:c r="Q143" s="14" t="str">
        <x:f>IF(AND(ISNUMBER(E143),ISNUMBER(L143)),ABS(E143-L143),"")</x:f>
      </x:c>
      <x:c r="R143" s="2" t="str">
        <x:f>IF(COUNTA(A143)=0,"",IF(COUNT(C143:E143,J143:L143)&gt;0,1,0))</x:f>
      </x:c>
      <x:c r="S143" s="2" t="str">
        <x:f>IF(COUNTA(A143)=0,"",IF(COUNTIFS($A$6:$A$165,A143)&gt;1,"Duplicate target",""))</x:f>
      </x:c>
    </x:row>
    <x:row r="144">
      <x:c r="A144" s="6"/>
      <x:c r="B144" s="20"/>
      <x:c r="C144" s="14" t="str">
        <x:f>IF(OR(COUNTA($A144)=0,'Status'!$E$5=""),"",IF(COUNTIFS('Estimates'!$A$5:$A$2004,$A144,'Estimates'!$B$5:$B$2004,"MPS",'Estimates'!$C$5:$C$2004,'Status'!$E$5)=0,"",IF(COUNTIFS('Estimates'!$A$5:$A$2004,$A144,'Estimates'!$B$5:$B$2004,"MPS",'Estimates'!$C$5:$C$2004,'Status'!$E$5)&gt;1,"DUP",SUMIFS('Estimates'!$F$5:$F$2004,'Estimates'!$A$5:$A$2004,$A144,'Estimates'!$B$5:$B$2004,"MPS",'Estimates'!$C$5:$C$2004,'Status'!$E$5))))</x:f>
      </x:c>
      <x:c r="D144" s="14" t="str">
        <x:f>IF(OR(COUNTA($A144)=0,'Status'!$F$5=""),"",IF(COUNTIFS('Estimates'!$A$5:$A$2004,$A144,'Estimates'!$B$5:$B$2004,"MPS",'Estimates'!$C$5:$C$2004,'Status'!$F$5)=0,"",IF(COUNTIFS('Estimates'!$A$5:$A$2004,$A144,'Estimates'!$B$5:$B$2004,"MPS",'Estimates'!$C$5:$C$2004,'Status'!$F$5)&gt;1,"DUP",SUMIFS('Estimates'!$F$5:$F$2004,'Estimates'!$A$5:$A$2004,$A144,'Estimates'!$B$5:$B$2004,"MPS",'Estimates'!$C$5:$C$2004,'Status'!$F$5))))</x:f>
      </x:c>
      <x:c r="E144" s="14" t="str">
        <x:f>IF(OR(COUNTA($A144)=0,'Status'!$G$5=""),"",IF(COUNTIFS('Estimates'!$A$5:$A$2004,$A144,'Estimates'!$B$5:$B$2004,"MPS",'Estimates'!$C$5:$C$2004,'Status'!$G$5)=0,"",IF(COUNTIFS('Estimates'!$A$5:$A$2004,$A144,'Estimates'!$B$5:$B$2004,"MPS",'Estimates'!$C$5:$C$2004,'Status'!$G$5)&gt;1,"DUP",SUMIFS('Estimates'!$F$5:$F$2004,'Estimates'!$A$5:$A$2004,$A144,'Estimates'!$B$5:$B$2004,"MPS",'Estimates'!$C$5:$C$2004,'Status'!$G$5))))</x:f>
      </x:c>
      <x:c r="F144" s="14" t="str">
        <x:f>IF(COUNT(C144:E144)&lt;2,"",_xlfn.STDEV.S(C144:E144))</x:f>
      </x:c>
      <x:c r="G144" s="14" t="str">
        <x:f>IF(AND(ISNUMBER(D144),ISNUMBER(E144)),ABS(E144-D144),"")</x:f>
      </x:c>
      <x:c r="H144" s="15" t="str">
        <x:f>IF(AND(ISNUMBER(D144),ISNUMBER(E144)),IF(D144=0,"n.a.",ABS(E144-D144)/ABS(D144)),"")</x:f>
      </x:c>
      <x:c r="I144" s="2" t="str">
        <x:f>IF(COUNTA(A144)=0,"",IF(NOT(ISNUMBER('Status'!$B$6)),"Set tolerance",IF(COUNT(C144:E144)&lt;3,"Need 3 levels",IF(OR(C144=0,D144=0),"Use abs. Δ",IF(AND(ABS(D144-C144)/ABS(C144)&lt;='Status'!$B$6,H144&lt;='Status'!$B$6),"Yes","No")))))</x:f>
      </x:c>
      <x:c r="J144" s="14" t="str">
        <x:f>IF(OR(COUNTA($A144)=0,'Status'!$E$6=""),"",IF(COUNTIFS('Estimates'!$A$5:$A$2004,$A144,'Estimates'!$B$5:$B$2004,"PPS",'Estimates'!$D$5:$D$2004,'Status'!$E$6,'Estimates'!$E$5:$E$2004,'Status'!$E$7)=0,"",IF(COUNTIFS('Estimates'!$A$5:$A$2004,$A144,'Estimates'!$B$5:$B$2004,"PPS",'Estimates'!$D$5:$D$2004,'Status'!$E$6,'Estimates'!$E$5:$E$2004,'Status'!$E$7)&gt;1,"DUP",SUMIFS('Estimates'!$F$5:$F$2004,'Estimates'!$A$5:$A$2004,$A144,'Estimates'!$B$5:$B$2004,"PPS",'Estimates'!$D$5:$D$2004,'Status'!$E$6,'Estimates'!$E$5:$E$2004,'Status'!$E$7))))</x:f>
      </x:c>
      <x:c r="K144" s="14" t="str">
        <x:f>IF(OR(COUNTA($A144)=0,'Status'!$F$6=""),"",IF(COUNTIFS('Estimates'!$A$5:$A$2004,$A144,'Estimates'!$B$5:$B$2004,"PPS",'Estimates'!$D$5:$D$2004,'Status'!$F$6,'Estimates'!$E$5:$E$2004,'Status'!$E$7)=0,"",IF(COUNTIFS('Estimates'!$A$5:$A$2004,$A144,'Estimates'!$B$5:$B$2004,"PPS",'Estimates'!$D$5:$D$2004,'Status'!$F$6,'Estimates'!$E$5:$E$2004,'Status'!$E$7)&gt;1,"DUP",SUMIFS('Estimates'!$F$5:$F$2004,'Estimates'!$A$5:$A$2004,$A144,'Estimates'!$B$5:$B$2004,"PPS",'Estimates'!$D$5:$D$2004,'Status'!$F$6,'Estimates'!$E$5:$E$2004,'Status'!$E$7))))</x:f>
      </x:c>
      <x:c r="L144" s="14" t="str">
        <x:f>IF(OR(COUNTA($A144)=0,'Status'!$G$6=""),"",IF(COUNTIFS('Estimates'!$A$5:$A$2004,$A144,'Estimates'!$B$5:$B$2004,"PPS",'Estimates'!$D$5:$D$2004,'Status'!$G$6,'Estimates'!$E$5:$E$2004,'Status'!$E$7)=0,"",IF(COUNTIFS('Estimates'!$A$5:$A$2004,$A144,'Estimates'!$B$5:$B$2004,"PPS",'Estimates'!$D$5:$D$2004,'Status'!$G$6,'Estimates'!$E$5:$E$2004,'Status'!$E$7)&gt;1,"DUP",SUMIFS('Estimates'!$F$5:$F$2004,'Estimates'!$A$5:$A$2004,$A144,'Estimates'!$B$5:$B$2004,"PPS",'Estimates'!$D$5:$D$2004,'Status'!$G$6,'Estimates'!$E$5:$E$2004,'Status'!$E$7))))</x:f>
      </x:c>
      <x:c r="M144" s="14" t="str">
        <x:f>IF(COUNT(J144:L144)&lt;2,"",_xlfn.STDEV.S(J144:L144))</x:f>
      </x:c>
      <x:c r="N144" s="14" t="str">
        <x:f>IF(AND(ISNUMBER(K144),ISNUMBER(L144)),ABS(L144-K144),"")</x:f>
      </x:c>
      <x:c r="O144" s="15" t="str">
        <x:f>IF(AND(ISNUMBER(K144),ISNUMBER(L144)),IF(K144=0,"n.a.",ABS(L144-K144)/ABS(K144)),"")</x:f>
      </x:c>
      <x:c r="P144" s="2" t="str">
        <x:f>IF(COUNTA(A144)=0,"",IF(NOT(ISNUMBER('Status'!$B$6)),"Set tolerance",IF(COUNT(J144:L144)&lt;3,"Need 3 levels",IF(OR(J144=0,K144=0),"Use abs. Δ",IF(AND(ABS(K144-J144)/ABS(J144)&lt;='Status'!$B$6,O144&lt;='Status'!$B$6),"Yes","No")))))</x:f>
      </x:c>
      <x:c r="Q144" s="14" t="str">
        <x:f>IF(AND(ISNUMBER(E144),ISNUMBER(L144)),ABS(E144-L144),"")</x:f>
      </x:c>
      <x:c r="R144" s="2" t="str">
        <x:f>IF(COUNTA(A144)=0,"",IF(COUNT(C144:E144,J144:L144)&gt;0,1,0))</x:f>
      </x:c>
      <x:c r="S144" s="2" t="str">
        <x:f>IF(COUNTA(A144)=0,"",IF(COUNTIFS($A$6:$A$165,A144)&gt;1,"Duplicate target",""))</x:f>
      </x:c>
    </x:row>
    <x:row r="145">
      <x:c r="A145" s="6"/>
      <x:c r="B145" s="20"/>
      <x:c r="C145" s="14" t="str">
        <x:f>IF(OR(COUNTA($A145)=0,'Status'!$E$5=""),"",IF(COUNTIFS('Estimates'!$A$5:$A$2004,$A145,'Estimates'!$B$5:$B$2004,"MPS",'Estimates'!$C$5:$C$2004,'Status'!$E$5)=0,"",IF(COUNTIFS('Estimates'!$A$5:$A$2004,$A145,'Estimates'!$B$5:$B$2004,"MPS",'Estimates'!$C$5:$C$2004,'Status'!$E$5)&gt;1,"DUP",SUMIFS('Estimates'!$F$5:$F$2004,'Estimates'!$A$5:$A$2004,$A145,'Estimates'!$B$5:$B$2004,"MPS",'Estimates'!$C$5:$C$2004,'Status'!$E$5))))</x:f>
      </x:c>
      <x:c r="D145" s="14" t="str">
        <x:f>IF(OR(COUNTA($A145)=0,'Status'!$F$5=""),"",IF(COUNTIFS('Estimates'!$A$5:$A$2004,$A145,'Estimates'!$B$5:$B$2004,"MPS",'Estimates'!$C$5:$C$2004,'Status'!$F$5)=0,"",IF(COUNTIFS('Estimates'!$A$5:$A$2004,$A145,'Estimates'!$B$5:$B$2004,"MPS",'Estimates'!$C$5:$C$2004,'Status'!$F$5)&gt;1,"DUP",SUMIFS('Estimates'!$F$5:$F$2004,'Estimates'!$A$5:$A$2004,$A145,'Estimates'!$B$5:$B$2004,"MPS",'Estimates'!$C$5:$C$2004,'Status'!$F$5))))</x:f>
      </x:c>
      <x:c r="E145" s="14" t="str">
        <x:f>IF(OR(COUNTA($A145)=0,'Status'!$G$5=""),"",IF(COUNTIFS('Estimates'!$A$5:$A$2004,$A145,'Estimates'!$B$5:$B$2004,"MPS",'Estimates'!$C$5:$C$2004,'Status'!$G$5)=0,"",IF(COUNTIFS('Estimates'!$A$5:$A$2004,$A145,'Estimates'!$B$5:$B$2004,"MPS",'Estimates'!$C$5:$C$2004,'Status'!$G$5)&gt;1,"DUP",SUMIFS('Estimates'!$F$5:$F$2004,'Estimates'!$A$5:$A$2004,$A145,'Estimates'!$B$5:$B$2004,"MPS",'Estimates'!$C$5:$C$2004,'Status'!$G$5))))</x:f>
      </x:c>
      <x:c r="F145" s="14" t="str">
        <x:f>IF(COUNT(C145:E145)&lt;2,"",_xlfn.STDEV.S(C145:E145))</x:f>
      </x:c>
      <x:c r="G145" s="14" t="str">
        <x:f>IF(AND(ISNUMBER(D145),ISNUMBER(E145)),ABS(E145-D145),"")</x:f>
      </x:c>
      <x:c r="H145" s="15" t="str">
        <x:f>IF(AND(ISNUMBER(D145),ISNUMBER(E145)),IF(D145=0,"n.a.",ABS(E145-D145)/ABS(D145)),"")</x:f>
      </x:c>
      <x:c r="I145" s="2" t="str">
        <x:f>IF(COUNTA(A145)=0,"",IF(NOT(ISNUMBER('Status'!$B$6)),"Set tolerance",IF(COUNT(C145:E145)&lt;3,"Need 3 levels",IF(OR(C145=0,D145=0),"Use abs. Δ",IF(AND(ABS(D145-C145)/ABS(C145)&lt;='Status'!$B$6,H145&lt;='Status'!$B$6),"Yes","No")))))</x:f>
      </x:c>
      <x:c r="J145" s="14" t="str">
        <x:f>IF(OR(COUNTA($A145)=0,'Status'!$E$6=""),"",IF(COUNTIFS('Estimates'!$A$5:$A$2004,$A145,'Estimates'!$B$5:$B$2004,"PPS",'Estimates'!$D$5:$D$2004,'Status'!$E$6,'Estimates'!$E$5:$E$2004,'Status'!$E$7)=0,"",IF(COUNTIFS('Estimates'!$A$5:$A$2004,$A145,'Estimates'!$B$5:$B$2004,"PPS",'Estimates'!$D$5:$D$2004,'Status'!$E$6,'Estimates'!$E$5:$E$2004,'Status'!$E$7)&gt;1,"DUP",SUMIFS('Estimates'!$F$5:$F$2004,'Estimates'!$A$5:$A$2004,$A145,'Estimates'!$B$5:$B$2004,"PPS",'Estimates'!$D$5:$D$2004,'Status'!$E$6,'Estimates'!$E$5:$E$2004,'Status'!$E$7))))</x:f>
      </x:c>
      <x:c r="K145" s="14" t="str">
        <x:f>IF(OR(COUNTA($A145)=0,'Status'!$F$6=""),"",IF(COUNTIFS('Estimates'!$A$5:$A$2004,$A145,'Estimates'!$B$5:$B$2004,"PPS",'Estimates'!$D$5:$D$2004,'Status'!$F$6,'Estimates'!$E$5:$E$2004,'Status'!$E$7)=0,"",IF(COUNTIFS('Estimates'!$A$5:$A$2004,$A145,'Estimates'!$B$5:$B$2004,"PPS",'Estimates'!$D$5:$D$2004,'Status'!$F$6,'Estimates'!$E$5:$E$2004,'Status'!$E$7)&gt;1,"DUP",SUMIFS('Estimates'!$F$5:$F$2004,'Estimates'!$A$5:$A$2004,$A145,'Estimates'!$B$5:$B$2004,"PPS",'Estimates'!$D$5:$D$2004,'Status'!$F$6,'Estimates'!$E$5:$E$2004,'Status'!$E$7))))</x:f>
      </x:c>
      <x:c r="L145" s="14" t="str">
        <x:f>IF(OR(COUNTA($A145)=0,'Status'!$G$6=""),"",IF(COUNTIFS('Estimates'!$A$5:$A$2004,$A145,'Estimates'!$B$5:$B$2004,"PPS",'Estimates'!$D$5:$D$2004,'Status'!$G$6,'Estimates'!$E$5:$E$2004,'Status'!$E$7)=0,"",IF(COUNTIFS('Estimates'!$A$5:$A$2004,$A145,'Estimates'!$B$5:$B$2004,"PPS",'Estimates'!$D$5:$D$2004,'Status'!$G$6,'Estimates'!$E$5:$E$2004,'Status'!$E$7)&gt;1,"DUP",SUMIFS('Estimates'!$F$5:$F$2004,'Estimates'!$A$5:$A$2004,$A145,'Estimates'!$B$5:$B$2004,"PPS",'Estimates'!$D$5:$D$2004,'Status'!$G$6,'Estimates'!$E$5:$E$2004,'Status'!$E$7))))</x:f>
      </x:c>
      <x:c r="M145" s="14" t="str">
        <x:f>IF(COUNT(J145:L145)&lt;2,"",_xlfn.STDEV.S(J145:L145))</x:f>
      </x:c>
      <x:c r="N145" s="14" t="str">
        <x:f>IF(AND(ISNUMBER(K145),ISNUMBER(L145)),ABS(L145-K145),"")</x:f>
      </x:c>
      <x:c r="O145" s="15" t="str">
        <x:f>IF(AND(ISNUMBER(K145),ISNUMBER(L145)),IF(K145=0,"n.a.",ABS(L145-K145)/ABS(K145)),"")</x:f>
      </x:c>
      <x:c r="P145" s="2" t="str">
        <x:f>IF(COUNTA(A145)=0,"",IF(NOT(ISNUMBER('Status'!$B$6)),"Set tolerance",IF(COUNT(J145:L145)&lt;3,"Need 3 levels",IF(OR(J145=0,K145=0),"Use abs. Δ",IF(AND(ABS(K145-J145)/ABS(J145)&lt;='Status'!$B$6,O145&lt;='Status'!$B$6),"Yes","No")))))</x:f>
      </x:c>
      <x:c r="Q145" s="14" t="str">
        <x:f>IF(AND(ISNUMBER(E145),ISNUMBER(L145)),ABS(E145-L145),"")</x:f>
      </x:c>
      <x:c r="R145" s="2" t="str">
        <x:f>IF(COUNTA(A145)=0,"",IF(COUNT(C145:E145,J145:L145)&gt;0,1,0))</x:f>
      </x:c>
      <x:c r="S145" s="2" t="str">
        <x:f>IF(COUNTA(A145)=0,"",IF(COUNTIFS($A$6:$A$165,A145)&gt;1,"Duplicate target",""))</x:f>
      </x:c>
    </x:row>
    <x:row r="146">
      <x:c r="A146" s="6"/>
      <x:c r="B146" s="20"/>
      <x:c r="C146" s="14" t="str">
        <x:f>IF(OR(COUNTA($A146)=0,'Status'!$E$5=""),"",IF(COUNTIFS('Estimates'!$A$5:$A$2004,$A146,'Estimates'!$B$5:$B$2004,"MPS",'Estimates'!$C$5:$C$2004,'Status'!$E$5)=0,"",IF(COUNTIFS('Estimates'!$A$5:$A$2004,$A146,'Estimates'!$B$5:$B$2004,"MPS",'Estimates'!$C$5:$C$2004,'Status'!$E$5)&gt;1,"DUP",SUMIFS('Estimates'!$F$5:$F$2004,'Estimates'!$A$5:$A$2004,$A146,'Estimates'!$B$5:$B$2004,"MPS",'Estimates'!$C$5:$C$2004,'Status'!$E$5))))</x:f>
      </x:c>
      <x:c r="D146" s="14" t="str">
        <x:f>IF(OR(COUNTA($A146)=0,'Status'!$F$5=""),"",IF(COUNTIFS('Estimates'!$A$5:$A$2004,$A146,'Estimates'!$B$5:$B$2004,"MPS",'Estimates'!$C$5:$C$2004,'Status'!$F$5)=0,"",IF(COUNTIFS('Estimates'!$A$5:$A$2004,$A146,'Estimates'!$B$5:$B$2004,"MPS",'Estimates'!$C$5:$C$2004,'Status'!$F$5)&gt;1,"DUP",SUMIFS('Estimates'!$F$5:$F$2004,'Estimates'!$A$5:$A$2004,$A146,'Estimates'!$B$5:$B$2004,"MPS",'Estimates'!$C$5:$C$2004,'Status'!$F$5))))</x:f>
      </x:c>
      <x:c r="E146" s="14" t="str">
        <x:f>IF(OR(COUNTA($A146)=0,'Status'!$G$5=""),"",IF(COUNTIFS('Estimates'!$A$5:$A$2004,$A146,'Estimates'!$B$5:$B$2004,"MPS",'Estimates'!$C$5:$C$2004,'Status'!$G$5)=0,"",IF(COUNTIFS('Estimates'!$A$5:$A$2004,$A146,'Estimates'!$B$5:$B$2004,"MPS",'Estimates'!$C$5:$C$2004,'Status'!$G$5)&gt;1,"DUP",SUMIFS('Estimates'!$F$5:$F$2004,'Estimates'!$A$5:$A$2004,$A146,'Estimates'!$B$5:$B$2004,"MPS",'Estimates'!$C$5:$C$2004,'Status'!$G$5))))</x:f>
      </x:c>
      <x:c r="F146" s="14" t="str">
        <x:f>IF(COUNT(C146:E146)&lt;2,"",_xlfn.STDEV.S(C146:E146))</x:f>
      </x:c>
      <x:c r="G146" s="14" t="str">
        <x:f>IF(AND(ISNUMBER(D146),ISNUMBER(E146)),ABS(E146-D146),"")</x:f>
      </x:c>
      <x:c r="H146" s="15" t="str">
        <x:f>IF(AND(ISNUMBER(D146),ISNUMBER(E146)),IF(D146=0,"n.a.",ABS(E146-D146)/ABS(D146)),"")</x:f>
      </x:c>
      <x:c r="I146" s="2" t="str">
        <x:f>IF(COUNTA(A146)=0,"",IF(NOT(ISNUMBER('Status'!$B$6)),"Set tolerance",IF(COUNT(C146:E146)&lt;3,"Need 3 levels",IF(OR(C146=0,D146=0),"Use abs. Δ",IF(AND(ABS(D146-C146)/ABS(C146)&lt;='Status'!$B$6,H146&lt;='Status'!$B$6),"Yes","No")))))</x:f>
      </x:c>
      <x:c r="J146" s="14" t="str">
        <x:f>IF(OR(COUNTA($A146)=0,'Status'!$E$6=""),"",IF(COUNTIFS('Estimates'!$A$5:$A$2004,$A146,'Estimates'!$B$5:$B$2004,"PPS",'Estimates'!$D$5:$D$2004,'Status'!$E$6,'Estimates'!$E$5:$E$2004,'Status'!$E$7)=0,"",IF(COUNTIFS('Estimates'!$A$5:$A$2004,$A146,'Estimates'!$B$5:$B$2004,"PPS",'Estimates'!$D$5:$D$2004,'Status'!$E$6,'Estimates'!$E$5:$E$2004,'Status'!$E$7)&gt;1,"DUP",SUMIFS('Estimates'!$F$5:$F$2004,'Estimates'!$A$5:$A$2004,$A146,'Estimates'!$B$5:$B$2004,"PPS",'Estimates'!$D$5:$D$2004,'Status'!$E$6,'Estimates'!$E$5:$E$2004,'Status'!$E$7))))</x:f>
      </x:c>
      <x:c r="K146" s="14" t="str">
        <x:f>IF(OR(COUNTA($A146)=0,'Status'!$F$6=""),"",IF(COUNTIFS('Estimates'!$A$5:$A$2004,$A146,'Estimates'!$B$5:$B$2004,"PPS",'Estimates'!$D$5:$D$2004,'Status'!$F$6,'Estimates'!$E$5:$E$2004,'Status'!$E$7)=0,"",IF(COUNTIFS('Estimates'!$A$5:$A$2004,$A146,'Estimates'!$B$5:$B$2004,"PPS",'Estimates'!$D$5:$D$2004,'Status'!$F$6,'Estimates'!$E$5:$E$2004,'Status'!$E$7)&gt;1,"DUP",SUMIFS('Estimates'!$F$5:$F$2004,'Estimates'!$A$5:$A$2004,$A146,'Estimates'!$B$5:$B$2004,"PPS",'Estimates'!$D$5:$D$2004,'Status'!$F$6,'Estimates'!$E$5:$E$2004,'Status'!$E$7))))</x:f>
      </x:c>
      <x:c r="L146" s="14" t="str">
        <x:f>IF(OR(COUNTA($A146)=0,'Status'!$G$6=""),"",IF(COUNTIFS('Estimates'!$A$5:$A$2004,$A146,'Estimates'!$B$5:$B$2004,"PPS",'Estimates'!$D$5:$D$2004,'Status'!$G$6,'Estimates'!$E$5:$E$2004,'Status'!$E$7)=0,"",IF(COUNTIFS('Estimates'!$A$5:$A$2004,$A146,'Estimates'!$B$5:$B$2004,"PPS",'Estimates'!$D$5:$D$2004,'Status'!$G$6,'Estimates'!$E$5:$E$2004,'Status'!$E$7)&gt;1,"DUP",SUMIFS('Estimates'!$F$5:$F$2004,'Estimates'!$A$5:$A$2004,$A146,'Estimates'!$B$5:$B$2004,"PPS",'Estimates'!$D$5:$D$2004,'Status'!$G$6,'Estimates'!$E$5:$E$2004,'Status'!$E$7))))</x:f>
      </x:c>
      <x:c r="M146" s="14" t="str">
        <x:f>IF(COUNT(J146:L146)&lt;2,"",_xlfn.STDEV.S(J146:L146))</x:f>
      </x:c>
      <x:c r="N146" s="14" t="str">
        <x:f>IF(AND(ISNUMBER(K146),ISNUMBER(L146)),ABS(L146-K146),"")</x:f>
      </x:c>
      <x:c r="O146" s="15" t="str">
        <x:f>IF(AND(ISNUMBER(K146),ISNUMBER(L146)),IF(K146=0,"n.a.",ABS(L146-K146)/ABS(K146)),"")</x:f>
      </x:c>
      <x:c r="P146" s="2" t="str">
        <x:f>IF(COUNTA(A146)=0,"",IF(NOT(ISNUMBER('Status'!$B$6)),"Set tolerance",IF(COUNT(J146:L146)&lt;3,"Need 3 levels",IF(OR(J146=0,K146=0),"Use abs. Δ",IF(AND(ABS(K146-J146)/ABS(J146)&lt;='Status'!$B$6,O146&lt;='Status'!$B$6),"Yes","No")))))</x:f>
      </x:c>
      <x:c r="Q146" s="14" t="str">
        <x:f>IF(AND(ISNUMBER(E146),ISNUMBER(L146)),ABS(E146-L146),"")</x:f>
      </x:c>
      <x:c r="R146" s="2" t="str">
        <x:f>IF(COUNTA(A146)=0,"",IF(COUNT(C146:E146,J146:L146)&gt;0,1,0))</x:f>
      </x:c>
      <x:c r="S146" s="2" t="str">
        <x:f>IF(COUNTA(A146)=0,"",IF(COUNTIFS($A$6:$A$165,A146)&gt;1,"Duplicate target",""))</x:f>
      </x:c>
    </x:row>
    <x:row r="147">
      <x:c r="A147" s="6"/>
      <x:c r="B147" s="20"/>
      <x:c r="C147" s="14" t="str">
        <x:f>IF(OR(COUNTA($A147)=0,'Status'!$E$5=""),"",IF(COUNTIFS('Estimates'!$A$5:$A$2004,$A147,'Estimates'!$B$5:$B$2004,"MPS",'Estimates'!$C$5:$C$2004,'Status'!$E$5)=0,"",IF(COUNTIFS('Estimates'!$A$5:$A$2004,$A147,'Estimates'!$B$5:$B$2004,"MPS",'Estimates'!$C$5:$C$2004,'Status'!$E$5)&gt;1,"DUP",SUMIFS('Estimates'!$F$5:$F$2004,'Estimates'!$A$5:$A$2004,$A147,'Estimates'!$B$5:$B$2004,"MPS",'Estimates'!$C$5:$C$2004,'Status'!$E$5))))</x:f>
      </x:c>
      <x:c r="D147" s="14" t="str">
        <x:f>IF(OR(COUNTA($A147)=0,'Status'!$F$5=""),"",IF(COUNTIFS('Estimates'!$A$5:$A$2004,$A147,'Estimates'!$B$5:$B$2004,"MPS",'Estimates'!$C$5:$C$2004,'Status'!$F$5)=0,"",IF(COUNTIFS('Estimates'!$A$5:$A$2004,$A147,'Estimates'!$B$5:$B$2004,"MPS",'Estimates'!$C$5:$C$2004,'Status'!$F$5)&gt;1,"DUP",SUMIFS('Estimates'!$F$5:$F$2004,'Estimates'!$A$5:$A$2004,$A147,'Estimates'!$B$5:$B$2004,"MPS",'Estimates'!$C$5:$C$2004,'Status'!$F$5))))</x:f>
      </x:c>
      <x:c r="E147" s="14" t="str">
        <x:f>IF(OR(COUNTA($A147)=0,'Status'!$G$5=""),"",IF(COUNTIFS('Estimates'!$A$5:$A$2004,$A147,'Estimates'!$B$5:$B$2004,"MPS",'Estimates'!$C$5:$C$2004,'Status'!$G$5)=0,"",IF(COUNTIFS('Estimates'!$A$5:$A$2004,$A147,'Estimates'!$B$5:$B$2004,"MPS",'Estimates'!$C$5:$C$2004,'Status'!$G$5)&gt;1,"DUP",SUMIFS('Estimates'!$F$5:$F$2004,'Estimates'!$A$5:$A$2004,$A147,'Estimates'!$B$5:$B$2004,"MPS",'Estimates'!$C$5:$C$2004,'Status'!$G$5))))</x:f>
      </x:c>
      <x:c r="F147" s="14" t="str">
        <x:f>IF(COUNT(C147:E147)&lt;2,"",_xlfn.STDEV.S(C147:E147))</x:f>
      </x:c>
      <x:c r="G147" s="14" t="str">
        <x:f>IF(AND(ISNUMBER(D147),ISNUMBER(E147)),ABS(E147-D147),"")</x:f>
      </x:c>
      <x:c r="H147" s="15" t="str">
        <x:f>IF(AND(ISNUMBER(D147),ISNUMBER(E147)),IF(D147=0,"n.a.",ABS(E147-D147)/ABS(D147)),"")</x:f>
      </x:c>
      <x:c r="I147" s="2" t="str">
        <x:f>IF(COUNTA(A147)=0,"",IF(NOT(ISNUMBER('Status'!$B$6)),"Set tolerance",IF(COUNT(C147:E147)&lt;3,"Need 3 levels",IF(OR(C147=0,D147=0),"Use abs. Δ",IF(AND(ABS(D147-C147)/ABS(C147)&lt;='Status'!$B$6,H147&lt;='Status'!$B$6),"Yes","No")))))</x:f>
      </x:c>
      <x:c r="J147" s="14" t="str">
        <x:f>IF(OR(COUNTA($A147)=0,'Status'!$E$6=""),"",IF(COUNTIFS('Estimates'!$A$5:$A$2004,$A147,'Estimates'!$B$5:$B$2004,"PPS",'Estimates'!$D$5:$D$2004,'Status'!$E$6,'Estimates'!$E$5:$E$2004,'Status'!$E$7)=0,"",IF(COUNTIFS('Estimates'!$A$5:$A$2004,$A147,'Estimates'!$B$5:$B$2004,"PPS",'Estimates'!$D$5:$D$2004,'Status'!$E$6,'Estimates'!$E$5:$E$2004,'Status'!$E$7)&gt;1,"DUP",SUMIFS('Estimates'!$F$5:$F$2004,'Estimates'!$A$5:$A$2004,$A147,'Estimates'!$B$5:$B$2004,"PPS",'Estimates'!$D$5:$D$2004,'Status'!$E$6,'Estimates'!$E$5:$E$2004,'Status'!$E$7))))</x:f>
      </x:c>
      <x:c r="K147" s="14" t="str">
        <x:f>IF(OR(COUNTA($A147)=0,'Status'!$F$6=""),"",IF(COUNTIFS('Estimates'!$A$5:$A$2004,$A147,'Estimates'!$B$5:$B$2004,"PPS",'Estimates'!$D$5:$D$2004,'Status'!$F$6,'Estimates'!$E$5:$E$2004,'Status'!$E$7)=0,"",IF(COUNTIFS('Estimates'!$A$5:$A$2004,$A147,'Estimates'!$B$5:$B$2004,"PPS",'Estimates'!$D$5:$D$2004,'Status'!$F$6,'Estimates'!$E$5:$E$2004,'Status'!$E$7)&gt;1,"DUP",SUMIFS('Estimates'!$F$5:$F$2004,'Estimates'!$A$5:$A$2004,$A147,'Estimates'!$B$5:$B$2004,"PPS",'Estimates'!$D$5:$D$2004,'Status'!$F$6,'Estimates'!$E$5:$E$2004,'Status'!$E$7))))</x:f>
      </x:c>
      <x:c r="L147" s="14" t="str">
        <x:f>IF(OR(COUNTA($A147)=0,'Status'!$G$6=""),"",IF(COUNTIFS('Estimates'!$A$5:$A$2004,$A147,'Estimates'!$B$5:$B$2004,"PPS",'Estimates'!$D$5:$D$2004,'Status'!$G$6,'Estimates'!$E$5:$E$2004,'Status'!$E$7)=0,"",IF(COUNTIFS('Estimates'!$A$5:$A$2004,$A147,'Estimates'!$B$5:$B$2004,"PPS",'Estimates'!$D$5:$D$2004,'Status'!$G$6,'Estimates'!$E$5:$E$2004,'Status'!$E$7)&gt;1,"DUP",SUMIFS('Estimates'!$F$5:$F$2004,'Estimates'!$A$5:$A$2004,$A147,'Estimates'!$B$5:$B$2004,"PPS",'Estimates'!$D$5:$D$2004,'Status'!$G$6,'Estimates'!$E$5:$E$2004,'Status'!$E$7))))</x:f>
      </x:c>
      <x:c r="M147" s="14" t="str">
        <x:f>IF(COUNT(J147:L147)&lt;2,"",_xlfn.STDEV.S(J147:L147))</x:f>
      </x:c>
      <x:c r="N147" s="14" t="str">
        <x:f>IF(AND(ISNUMBER(K147),ISNUMBER(L147)),ABS(L147-K147),"")</x:f>
      </x:c>
      <x:c r="O147" s="15" t="str">
        <x:f>IF(AND(ISNUMBER(K147),ISNUMBER(L147)),IF(K147=0,"n.a.",ABS(L147-K147)/ABS(K147)),"")</x:f>
      </x:c>
      <x:c r="P147" s="2" t="str">
        <x:f>IF(COUNTA(A147)=0,"",IF(NOT(ISNUMBER('Status'!$B$6)),"Set tolerance",IF(COUNT(J147:L147)&lt;3,"Need 3 levels",IF(OR(J147=0,K147=0),"Use abs. Δ",IF(AND(ABS(K147-J147)/ABS(J147)&lt;='Status'!$B$6,O147&lt;='Status'!$B$6),"Yes","No")))))</x:f>
      </x:c>
      <x:c r="Q147" s="14" t="str">
        <x:f>IF(AND(ISNUMBER(E147),ISNUMBER(L147)),ABS(E147-L147),"")</x:f>
      </x:c>
      <x:c r="R147" s="2" t="str">
        <x:f>IF(COUNTA(A147)=0,"",IF(COUNT(C147:E147,J147:L147)&gt;0,1,0))</x:f>
      </x:c>
      <x:c r="S147" s="2" t="str">
        <x:f>IF(COUNTA(A147)=0,"",IF(COUNTIFS($A$6:$A$165,A147)&gt;1,"Duplicate target",""))</x:f>
      </x:c>
    </x:row>
    <x:row r="148">
      <x:c r="A148" s="6"/>
      <x:c r="B148" s="20"/>
      <x:c r="C148" s="14" t="str">
        <x:f>IF(OR(COUNTA($A148)=0,'Status'!$E$5=""),"",IF(COUNTIFS('Estimates'!$A$5:$A$2004,$A148,'Estimates'!$B$5:$B$2004,"MPS",'Estimates'!$C$5:$C$2004,'Status'!$E$5)=0,"",IF(COUNTIFS('Estimates'!$A$5:$A$2004,$A148,'Estimates'!$B$5:$B$2004,"MPS",'Estimates'!$C$5:$C$2004,'Status'!$E$5)&gt;1,"DUP",SUMIFS('Estimates'!$F$5:$F$2004,'Estimates'!$A$5:$A$2004,$A148,'Estimates'!$B$5:$B$2004,"MPS",'Estimates'!$C$5:$C$2004,'Status'!$E$5))))</x:f>
      </x:c>
      <x:c r="D148" s="14" t="str">
        <x:f>IF(OR(COUNTA($A148)=0,'Status'!$F$5=""),"",IF(COUNTIFS('Estimates'!$A$5:$A$2004,$A148,'Estimates'!$B$5:$B$2004,"MPS",'Estimates'!$C$5:$C$2004,'Status'!$F$5)=0,"",IF(COUNTIFS('Estimates'!$A$5:$A$2004,$A148,'Estimates'!$B$5:$B$2004,"MPS",'Estimates'!$C$5:$C$2004,'Status'!$F$5)&gt;1,"DUP",SUMIFS('Estimates'!$F$5:$F$2004,'Estimates'!$A$5:$A$2004,$A148,'Estimates'!$B$5:$B$2004,"MPS",'Estimates'!$C$5:$C$2004,'Status'!$F$5))))</x:f>
      </x:c>
      <x:c r="E148" s="14" t="str">
        <x:f>IF(OR(COUNTA($A148)=0,'Status'!$G$5=""),"",IF(COUNTIFS('Estimates'!$A$5:$A$2004,$A148,'Estimates'!$B$5:$B$2004,"MPS",'Estimates'!$C$5:$C$2004,'Status'!$G$5)=0,"",IF(COUNTIFS('Estimates'!$A$5:$A$2004,$A148,'Estimates'!$B$5:$B$2004,"MPS",'Estimates'!$C$5:$C$2004,'Status'!$G$5)&gt;1,"DUP",SUMIFS('Estimates'!$F$5:$F$2004,'Estimates'!$A$5:$A$2004,$A148,'Estimates'!$B$5:$B$2004,"MPS",'Estimates'!$C$5:$C$2004,'Status'!$G$5))))</x:f>
      </x:c>
      <x:c r="F148" s="14" t="str">
        <x:f>IF(COUNT(C148:E148)&lt;2,"",_xlfn.STDEV.S(C148:E148))</x:f>
      </x:c>
      <x:c r="G148" s="14" t="str">
        <x:f>IF(AND(ISNUMBER(D148),ISNUMBER(E148)),ABS(E148-D148),"")</x:f>
      </x:c>
      <x:c r="H148" s="15" t="str">
        <x:f>IF(AND(ISNUMBER(D148),ISNUMBER(E148)),IF(D148=0,"n.a.",ABS(E148-D148)/ABS(D148)),"")</x:f>
      </x:c>
      <x:c r="I148" s="2" t="str">
        <x:f>IF(COUNTA(A148)=0,"",IF(NOT(ISNUMBER('Status'!$B$6)),"Set tolerance",IF(COUNT(C148:E148)&lt;3,"Need 3 levels",IF(OR(C148=0,D148=0),"Use abs. Δ",IF(AND(ABS(D148-C148)/ABS(C148)&lt;='Status'!$B$6,H148&lt;='Status'!$B$6),"Yes","No")))))</x:f>
      </x:c>
      <x:c r="J148" s="14" t="str">
        <x:f>IF(OR(COUNTA($A148)=0,'Status'!$E$6=""),"",IF(COUNTIFS('Estimates'!$A$5:$A$2004,$A148,'Estimates'!$B$5:$B$2004,"PPS",'Estimates'!$D$5:$D$2004,'Status'!$E$6,'Estimates'!$E$5:$E$2004,'Status'!$E$7)=0,"",IF(COUNTIFS('Estimates'!$A$5:$A$2004,$A148,'Estimates'!$B$5:$B$2004,"PPS",'Estimates'!$D$5:$D$2004,'Status'!$E$6,'Estimates'!$E$5:$E$2004,'Status'!$E$7)&gt;1,"DUP",SUMIFS('Estimates'!$F$5:$F$2004,'Estimates'!$A$5:$A$2004,$A148,'Estimates'!$B$5:$B$2004,"PPS",'Estimates'!$D$5:$D$2004,'Status'!$E$6,'Estimates'!$E$5:$E$2004,'Status'!$E$7))))</x:f>
      </x:c>
      <x:c r="K148" s="14" t="str">
        <x:f>IF(OR(COUNTA($A148)=0,'Status'!$F$6=""),"",IF(COUNTIFS('Estimates'!$A$5:$A$2004,$A148,'Estimates'!$B$5:$B$2004,"PPS",'Estimates'!$D$5:$D$2004,'Status'!$F$6,'Estimates'!$E$5:$E$2004,'Status'!$E$7)=0,"",IF(COUNTIFS('Estimates'!$A$5:$A$2004,$A148,'Estimates'!$B$5:$B$2004,"PPS",'Estimates'!$D$5:$D$2004,'Status'!$F$6,'Estimates'!$E$5:$E$2004,'Status'!$E$7)&gt;1,"DUP",SUMIFS('Estimates'!$F$5:$F$2004,'Estimates'!$A$5:$A$2004,$A148,'Estimates'!$B$5:$B$2004,"PPS",'Estimates'!$D$5:$D$2004,'Status'!$F$6,'Estimates'!$E$5:$E$2004,'Status'!$E$7))))</x:f>
      </x:c>
      <x:c r="L148" s="14" t="str">
        <x:f>IF(OR(COUNTA($A148)=0,'Status'!$G$6=""),"",IF(COUNTIFS('Estimates'!$A$5:$A$2004,$A148,'Estimates'!$B$5:$B$2004,"PPS",'Estimates'!$D$5:$D$2004,'Status'!$G$6,'Estimates'!$E$5:$E$2004,'Status'!$E$7)=0,"",IF(COUNTIFS('Estimates'!$A$5:$A$2004,$A148,'Estimates'!$B$5:$B$2004,"PPS",'Estimates'!$D$5:$D$2004,'Status'!$G$6,'Estimates'!$E$5:$E$2004,'Status'!$E$7)&gt;1,"DUP",SUMIFS('Estimates'!$F$5:$F$2004,'Estimates'!$A$5:$A$2004,$A148,'Estimates'!$B$5:$B$2004,"PPS",'Estimates'!$D$5:$D$2004,'Status'!$G$6,'Estimates'!$E$5:$E$2004,'Status'!$E$7))))</x:f>
      </x:c>
      <x:c r="M148" s="14" t="str">
        <x:f>IF(COUNT(J148:L148)&lt;2,"",_xlfn.STDEV.S(J148:L148))</x:f>
      </x:c>
      <x:c r="N148" s="14" t="str">
        <x:f>IF(AND(ISNUMBER(K148),ISNUMBER(L148)),ABS(L148-K148),"")</x:f>
      </x:c>
      <x:c r="O148" s="15" t="str">
        <x:f>IF(AND(ISNUMBER(K148),ISNUMBER(L148)),IF(K148=0,"n.a.",ABS(L148-K148)/ABS(K148)),"")</x:f>
      </x:c>
      <x:c r="P148" s="2" t="str">
        <x:f>IF(COUNTA(A148)=0,"",IF(NOT(ISNUMBER('Status'!$B$6)),"Set tolerance",IF(COUNT(J148:L148)&lt;3,"Need 3 levels",IF(OR(J148=0,K148=0),"Use abs. Δ",IF(AND(ABS(K148-J148)/ABS(J148)&lt;='Status'!$B$6,O148&lt;='Status'!$B$6),"Yes","No")))))</x:f>
      </x:c>
      <x:c r="Q148" s="14" t="str">
        <x:f>IF(AND(ISNUMBER(E148),ISNUMBER(L148)),ABS(E148-L148),"")</x:f>
      </x:c>
      <x:c r="R148" s="2" t="str">
        <x:f>IF(COUNTA(A148)=0,"",IF(COUNT(C148:E148,J148:L148)&gt;0,1,0))</x:f>
      </x:c>
      <x:c r="S148" s="2" t="str">
        <x:f>IF(COUNTA(A148)=0,"",IF(COUNTIFS($A$6:$A$165,A148)&gt;1,"Duplicate target",""))</x:f>
      </x:c>
    </x:row>
    <x:row r="149">
      <x:c r="A149" s="6"/>
      <x:c r="B149" s="20"/>
      <x:c r="C149" s="14" t="str">
        <x:f>IF(OR(COUNTA($A149)=0,'Status'!$E$5=""),"",IF(COUNTIFS('Estimates'!$A$5:$A$2004,$A149,'Estimates'!$B$5:$B$2004,"MPS",'Estimates'!$C$5:$C$2004,'Status'!$E$5)=0,"",IF(COUNTIFS('Estimates'!$A$5:$A$2004,$A149,'Estimates'!$B$5:$B$2004,"MPS",'Estimates'!$C$5:$C$2004,'Status'!$E$5)&gt;1,"DUP",SUMIFS('Estimates'!$F$5:$F$2004,'Estimates'!$A$5:$A$2004,$A149,'Estimates'!$B$5:$B$2004,"MPS",'Estimates'!$C$5:$C$2004,'Status'!$E$5))))</x:f>
      </x:c>
      <x:c r="D149" s="14" t="str">
        <x:f>IF(OR(COUNTA($A149)=0,'Status'!$F$5=""),"",IF(COUNTIFS('Estimates'!$A$5:$A$2004,$A149,'Estimates'!$B$5:$B$2004,"MPS",'Estimates'!$C$5:$C$2004,'Status'!$F$5)=0,"",IF(COUNTIFS('Estimates'!$A$5:$A$2004,$A149,'Estimates'!$B$5:$B$2004,"MPS",'Estimates'!$C$5:$C$2004,'Status'!$F$5)&gt;1,"DUP",SUMIFS('Estimates'!$F$5:$F$2004,'Estimates'!$A$5:$A$2004,$A149,'Estimates'!$B$5:$B$2004,"MPS",'Estimates'!$C$5:$C$2004,'Status'!$F$5))))</x:f>
      </x:c>
      <x:c r="E149" s="14" t="str">
        <x:f>IF(OR(COUNTA($A149)=0,'Status'!$G$5=""),"",IF(COUNTIFS('Estimates'!$A$5:$A$2004,$A149,'Estimates'!$B$5:$B$2004,"MPS",'Estimates'!$C$5:$C$2004,'Status'!$G$5)=0,"",IF(COUNTIFS('Estimates'!$A$5:$A$2004,$A149,'Estimates'!$B$5:$B$2004,"MPS",'Estimates'!$C$5:$C$2004,'Status'!$G$5)&gt;1,"DUP",SUMIFS('Estimates'!$F$5:$F$2004,'Estimates'!$A$5:$A$2004,$A149,'Estimates'!$B$5:$B$2004,"MPS",'Estimates'!$C$5:$C$2004,'Status'!$G$5))))</x:f>
      </x:c>
      <x:c r="F149" s="14" t="str">
        <x:f>IF(COUNT(C149:E149)&lt;2,"",_xlfn.STDEV.S(C149:E149))</x:f>
      </x:c>
      <x:c r="G149" s="14" t="str">
        <x:f>IF(AND(ISNUMBER(D149),ISNUMBER(E149)),ABS(E149-D149),"")</x:f>
      </x:c>
      <x:c r="H149" s="15" t="str">
        <x:f>IF(AND(ISNUMBER(D149),ISNUMBER(E149)),IF(D149=0,"n.a.",ABS(E149-D149)/ABS(D149)),"")</x:f>
      </x:c>
      <x:c r="I149" s="2" t="str">
        <x:f>IF(COUNTA(A149)=0,"",IF(NOT(ISNUMBER('Status'!$B$6)),"Set tolerance",IF(COUNT(C149:E149)&lt;3,"Need 3 levels",IF(OR(C149=0,D149=0),"Use abs. Δ",IF(AND(ABS(D149-C149)/ABS(C149)&lt;='Status'!$B$6,H149&lt;='Status'!$B$6),"Yes","No")))))</x:f>
      </x:c>
      <x:c r="J149" s="14" t="str">
        <x:f>IF(OR(COUNTA($A149)=0,'Status'!$E$6=""),"",IF(COUNTIFS('Estimates'!$A$5:$A$2004,$A149,'Estimates'!$B$5:$B$2004,"PPS",'Estimates'!$D$5:$D$2004,'Status'!$E$6,'Estimates'!$E$5:$E$2004,'Status'!$E$7)=0,"",IF(COUNTIFS('Estimates'!$A$5:$A$2004,$A149,'Estimates'!$B$5:$B$2004,"PPS",'Estimates'!$D$5:$D$2004,'Status'!$E$6,'Estimates'!$E$5:$E$2004,'Status'!$E$7)&gt;1,"DUP",SUMIFS('Estimates'!$F$5:$F$2004,'Estimates'!$A$5:$A$2004,$A149,'Estimates'!$B$5:$B$2004,"PPS",'Estimates'!$D$5:$D$2004,'Status'!$E$6,'Estimates'!$E$5:$E$2004,'Status'!$E$7))))</x:f>
      </x:c>
      <x:c r="K149" s="14" t="str">
        <x:f>IF(OR(COUNTA($A149)=0,'Status'!$F$6=""),"",IF(COUNTIFS('Estimates'!$A$5:$A$2004,$A149,'Estimates'!$B$5:$B$2004,"PPS",'Estimates'!$D$5:$D$2004,'Status'!$F$6,'Estimates'!$E$5:$E$2004,'Status'!$E$7)=0,"",IF(COUNTIFS('Estimates'!$A$5:$A$2004,$A149,'Estimates'!$B$5:$B$2004,"PPS",'Estimates'!$D$5:$D$2004,'Status'!$F$6,'Estimates'!$E$5:$E$2004,'Status'!$E$7)&gt;1,"DUP",SUMIFS('Estimates'!$F$5:$F$2004,'Estimates'!$A$5:$A$2004,$A149,'Estimates'!$B$5:$B$2004,"PPS",'Estimates'!$D$5:$D$2004,'Status'!$F$6,'Estimates'!$E$5:$E$2004,'Status'!$E$7))))</x:f>
      </x:c>
      <x:c r="L149" s="14" t="str">
        <x:f>IF(OR(COUNTA($A149)=0,'Status'!$G$6=""),"",IF(COUNTIFS('Estimates'!$A$5:$A$2004,$A149,'Estimates'!$B$5:$B$2004,"PPS",'Estimates'!$D$5:$D$2004,'Status'!$G$6,'Estimates'!$E$5:$E$2004,'Status'!$E$7)=0,"",IF(COUNTIFS('Estimates'!$A$5:$A$2004,$A149,'Estimates'!$B$5:$B$2004,"PPS",'Estimates'!$D$5:$D$2004,'Status'!$G$6,'Estimates'!$E$5:$E$2004,'Status'!$E$7)&gt;1,"DUP",SUMIFS('Estimates'!$F$5:$F$2004,'Estimates'!$A$5:$A$2004,$A149,'Estimates'!$B$5:$B$2004,"PPS",'Estimates'!$D$5:$D$2004,'Status'!$G$6,'Estimates'!$E$5:$E$2004,'Status'!$E$7))))</x:f>
      </x:c>
      <x:c r="M149" s="14" t="str">
        <x:f>IF(COUNT(J149:L149)&lt;2,"",_xlfn.STDEV.S(J149:L149))</x:f>
      </x:c>
      <x:c r="N149" s="14" t="str">
        <x:f>IF(AND(ISNUMBER(K149),ISNUMBER(L149)),ABS(L149-K149),"")</x:f>
      </x:c>
      <x:c r="O149" s="15" t="str">
        <x:f>IF(AND(ISNUMBER(K149),ISNUMBER(L149)),IF(K149=0,"n.a.",ABS(L149-K149)/ABS(K149)),"")</x:f>
      </x:c>
      <x:c r="P149" s="2" t="str">
        <x:f>IF(COUNTA(A149)=0,"",IF(NOT(ISNUMBER('Status'!$B$6)),"Set tolerance",IF(COUNT(J149:L149)&lt;3,"Need 3 levels",IF(OR(J149=0,K149=0),"Use abs. Δ",IF(AND(ABS(K149-J149)/ABS(J149)&lt;='Status'!$B$6,O149&lt;='Status'!$B$6),"Yes","No")))))</x:f>
      </x:c>
      <x:c r="Q149" s="14" t="str">
        <x:f>IF(AND(ISNUMBER(E149),ISNUMBER(L149)),ABS(E149-L149),"")</x:f>
      </x:c>
      <x:c r="R149" s="2" t="str">
        <x:f>IF(COUNTA(A149)=0,"",IF(COUNT(C149:E149,J149:L149)&gt;0,1,0))</x:f>
      </x:c>
      <x:c r="S149" s="2" t="str">
        <x:f>IF(COUNTA(A149)=0,"",IF(COUNTIFS($A$6:$A$165,A149)&gt;1,"Duplicate target",""))</x:f>
      </x:c>
    </x:row>
    <x:row r="150">
      <x:c r="A150" s="6"/>
      <x:c r="B150" s="20"/>
      <x:c r="C150" s="14" t="str">
        <x:f>IF(OR(COUNTA($A150)=0,'Status'!$E$5=""),"",IF(COUNTIFS('Estimates'!$A$5:$A$2004,$A150,'Estimates'!$B$5:$B$2004,"MPS",'Estimates'!$C$5:$C$2004,'Status'!$E$5)=0,"",IF(COUNTIFS('Estimates'!$A$5:$A$2004,$A150,'Estimates'!$B$5:$B$2004,"MPS",'Estimates'!$C$5:$C$2004,'Status'!$E$5)&gt;1,"DUP",SUMIFS('Estimates'!$F$5:$F$2004,'Estimates'!$A$5:$A$2004,$A150,'Estimates'!$B$5:$B$2004,"MPS",'Estimates'!$C$5:$C$2004,'Status'!$E$5))))</x:f>
      </x:c>
      <x:c r="D150" s="14" t="str">
        <x:f>IF(OR(COUNTA($A150)=0,'Status'!$F$5=""),"",IF(COUNTIFS('Estimates'!$A$5:$A$2004,$A150,'Estimates'!$B$5:$B$2004,"MPS",'Estimates'!$C$5:$C$2004,'Status'!$F$5)=0,"",IF(COUNTIFS('Estimates'!$A$5:$A$2004,$A150,'Estimates'!$B$5:$B$2004,"MPS",'Estimates'!$C$5:$C$2004,'Status'!$F$5)&gt;1,"DUP",SUMIFS('Estimates'!$F$5:$F$2004,'Estimates'!$A$5:$A$2004,$A150,'Estimates'!$B$5:$B$2004,"MPS",'Estimates'!$C$5:$C$2004,'Status'!$F$5))))</x:f>
      </x:c>
      <x:c r="E150" s="14" t="str">
        <x:f>IF(OR(COUNTA($A150)=0,'Status'!$G$5=""),"",IF(COUNTIFS('Estimates'!$A$5:$A$2004,$A150,'Estimates'!$B$5:$B$2004,"MPS",'Estimates'!$C$5:$C$2004,'Status'!$G$5)=0,"",IF(COUNTIFS('Estimates'!$A$5:$A$2004,$A150,'Estimates'!$B$5:$B$2004,"MPS",'Estimates'!$C$5:$C$2004,'Status'!$G$5)&gt;1,"DUP",SUMIFS('Estimates'!$F$5:$F$2004,'Estimates'!$A$5:$A$2004,$A150,'Estimates'!$B$5:$B$2004,"MPS",'Estimates'!$C$5:$C$2004,'Status'!$G$5))))</x:f>
      </x:c>
      <x:c r="F150" s="14" t="str">
        <x:f>IF(COUNT(C150:E150)&lt;2,"",_xlfn.STDEV.S(C150:E150))</x:f>
      </x:c>
      <x:c r="G150" s="14" t="str">
        <x:f>IF(AND(ISNUMBER(D150),ISNUMBER(E150)),ABS(E150-D150),"")</x:f>
      </x:c>
      <x:c r="H150" s="15" t="str">
        <x:f>IF(AND(ISNUMBER(D150),ISNUMBER(E150)),IF(D150=0,"n.a.",ABS(E150-D150)/ABS(D150)),"")</x:f>
      </x:c>
      <x:c r="I150" s="2" t="str">
        <x:f>IF(COUNTA(A150)=0,"",IF(NOT(ISNUMBER('Status'!$B$6)),"Set tolerance",IF(COUNT(C150:E150)&lt;3,"Need 3 levels",IF(OR(C150=0,D150=0),"Use abs. Δ",IF(AND(ABS(D150-C150)/ABS(C150)&lt;='Status'!$B$6,H150&lt;='Status'!$B$6),"Yes","No")))))</x:f>
      </x:c>
      <x:c r="J150" s="14" t="str">
        <x:f>IF(OR(COUNTA($A150)=0,'Status'!$E$6=""),"",IF(COUNTIFS('Estimates'!$A$5:$A$2004,$A150,'Estimates'!$B$5:$B$2004,"PPS",'Estimates'!$D$5:$D$2004,'Status'!$E$6,'Estimates'!$E$5:$E$2004,'Status'!$E$7)=0,"",IF(COUNTIFS('Estimates'!$A$5:$A$2004,$A150,'Estimates'!$B$5:$B$2004,"PPS",'Estimates'!$D$5:$D$2004,'Status'!$E$6,'Estimates'!$E$5:$E$2004,'Status'!$E$7)&gt;1,"DUP",SUMIFS('Estimates'!$F$5:$F$2004,'Estimates'!$A$5:$A$2004,$A150,'Estimates'!$B$5:$B$2004,"PPS",'Estimates'!$D$5:$D$2004,'Status'!$E$6,'Estimates'!$E$5:$E$2004,'Status'!$E$7))))</x:f>
      </x:c>
      <x:c r="K150" s="14" t="str">
        <x:f>IF(OR(COUNTA($A150)=0,'Status'!$F$6=""),"",IF(COUNTIFS('Estimates'!$A$5:$A$2004,$A150,'Estimates'!$B$5:$B$2004,"PPS",'Estimates'!$D$5:$D$2004,'Status'!$F$6,'Estimates'!$E$5:$E$2004,'Status'!$E$7)=0,"",IF(COUNTIFS('Estimates'!$A$5:$A$2004,$A150,'Estimates'!$B$5:$B$2004,"PPS",'Estimates'!$D$5:$D$2004,'Status'!$F$6,'Estimates'!$E$5:$E$2004,'Status'!$E$7)&gt;1,"DUP",SUMIFS('Estimates'!$F$5:$F$2004,'Estimates'!$A$5:$A$2004,$A150,'Estimates'!$B$5:$B$2004,"PPS",'Estimates'!$D$5:$D$2004,'Status'!$F$6,'Estimates'!$E$5:$E$2004,'Status'!$E$7))))</x:f>
      </x:c>
      <x:c r="L150" s="14" t="str">
        <x:f>IF(OR(COUNTA($A150)=0,'Status'!$G$6=""),"",IF(COUNTIFS('Estimates'!$A$5:$A$2004,$A150,'Estimates'!$B$5:$B$2004,"PPS",'Estimates'!$D$5:$D$2004,'Status'!$G$6,'Estimates'!$E$5:$E$2004,'Status'!$E$7)=0,"",IF(COUNTIFS('Estimates'!$A$5:$A$2004,$A150,'Estimates'!$B$5:$B$2004,"PPS",'Estimates'!$D$5:$D$2004,'Status'!$G$6,'Estimates'!$E$5:$E$2004,'Status'!$E$7)&gt;1,"DUP",SUMIFS('Estimates'!$F$5:$F$2004,'Estimates'!$A$5:$A$2004,$A150,'Estimates'!$B$5:$B$2004,"PPS",'Estimates'!$D$5:$D$2004,'Status'!$G$6,'Estimates'!$E$5:$E$2004,'Status'!$E$7))))</x:f>
      </x:c>
      <x:c r="M150" s="14" t="str">
        <x:f>IF(COUNT(J150:L150)&lt;2,"",_xlfn.STDEV.S(J150:L150))</x:f>
      </x:c>
      <x:c r="N150" s="14" t="str">
        <x:f>IF(AND(ISNUMBER(K150),ISNUMBER(L150)),ABS(L150-K150),"")</x:f>
      </x:c>
      <x:c r="O150" s="15" t="str">
        <x:f>IF(AND(ISNUMBER(K150),ISNUMBER(L150)),IF(K150=0,"n.a.",ABS(L150-K150)/ABS(K150)),"")</x:f>
      </x:c>
      <x:c r="P150" s="2" t="str">
        <x:f>IF(COUNTA(A150)=0,"",IF(NOT(ISNUMBER('Status'!$B$6)),"Set tolerance",IF(COUNT(J150:L150)&lt;3,"Need 3 levels",IF(OR(J150=0,K150=0),"Use abs. Δ",IF(AND(ABS(K150-J150)/ABS(J150)&lt;='Status'!$B$6,O150&lt;='Status'!$B$6),"Yes","No")))))</x:f>
      </x:c>
      <x:c r="Q150" s="14" t="str">
        <x:f>IF(AND(ISNUMBER(E150),ISNUMBER(L150)),ABS(E150-L150),"")</x:f>
      </x:c>
      <x:c r="R150" s="2" t="str">
        <x:f>IF(COUNTA(A150)=0,"",IF(COUNT(C150:E150,J150:L150)&gt;0,1,0))</x:f>
      </x:c>
      <x:c r="S150" s="2" t="str">
        <x:f>IF(COUNTA(A150)=0,"",IF(COUNTIFS($A$6:$A$165,A150)&gt;1,"Duplicate target",""))</x:f>
      </x:c>
    </x:row>
    <x:row r="151">
      <x:c r="A151" s="6"/>
      <x:c r="B151" s="20"/>
      <x:c r="C151" s="14" t="str">
        <x:f>IF(OR(COUNTA($A151)=0,'Status'!$E$5=""),"",IF(COUNTIFS('Estimates'!$A$5:$A$2004,$A151,'Estimates'!$B$5:$B$2004,"MPS",'Estimates'!$C$5:$C$2004,'Status'!$E$5)=0,"",IF(COUNTIFS('Estimates'!$A$5:$A$2004,$A151,'Estimates'!$B$5:$B$2004,"MPS",'Estimates'!$C$5:$C$2004,'Status'!$E$5)&gt;1,"DUP",SUMIFS('Estimates'!$F$5:$F$2004,'Estimates'!$A$5:$A$2004,$A151,'Estimates'!$B$5:$B$2004,"MPS",'Estimates'!$C$5:$C$2004,'Status'!$E$5))))</x:f>
      </x:c>
      <x:c r="D151" s="14" t="str">
        <x:f>IF(OR(COUNTA($A151)=0,'Status'!$F$5=""),"",IF(COUNTIFS('Estimates'!$A$5:$A$2004,$A151,'Estimates'!$B$5:$B$2004,"MPS",'Estimates'!$C$5:$C$2004,'Status'!$F$5)=0,"",IF(COUNTIFS('Estimates'!$A$5:$A$2004,$A151,'Estimates'!$B$5:$B$2004,"MPS",'Estimates'!$C$5:$C$2004,'Status'!$F$5)&gt;1,"DUP",SUMIFS('Estimates'!$F$5:$F$2004,'Estimates'!$A$5:$A$2004,$A151,'Estimates'!$B$5:$B$2004,"MPS",'Estimates'!$C$5:$C$2004,'Status'!$F$5))))</x:f>
      </x:c>
      <x:c r="E151" s="14" t="str">
        <x:f>IF(OR(COUNTA($A151)=0,'Status'!$G$5=""),"",IF(COUNTIFS('Estimates'!$A$5:$A$2004,$A151,'Estimates'!$B$5:$B$2004,"MPS",'Estimates'!$C$5:$C$2004,'Status'!$G$5)=0,"",IF(COUNTIFS('Estimates'!$A$5:$A$2004,$A151,'Estimates'!$B$5:$B$2004,"MPS",'Estimates'!$C$5:$C$2004,'Status'!$G$5)&gt;1,"DUP",SUMIFS('Estimates'!$F$5:$F$2004,'Estimates'!$A$5:$A$2004,$A151,'Estimates'!$B$5:$B$2004,"MPS",'Estimates'!$C$5:$C$2004,'Status'!$G$5))))</x:f>
      </x:c>
      <x:c r="F151" s="14" t="str">
        <x:f>IF(COUNT(C151:E151)&lt;2,"",_xlfn.STDEV.S(C151:E151))</x:f>
      </x:c>
      <x:c r="G151" s="14" t="str">
        <x:f>IF(AND(ISNUMBER(D151),ISNUMBER(E151)),ABS(E151-D151),"")</x:f>
      </x:c>
      <x:c r="H151" s="15" t="str">
        <x:f>IF(AND(ISNUMBER(D151),ISNUMBER(E151)),IF(D151=0,"n.a.",ABS(E151-D151)/ABS(D151)),"")</x:f>
      </x:c>
      <x:c r="I151" s="2" t="str">
        <x:f>IF(COUNTA(A151)=0,"",IF(NOT(ISNUMBER('Status'!$B$6)),"Set tolerance",IF(COUNT(C151:E151)&lt;3,"Need 3 levels",IF(OR(C151=0,D151=0),"Use abs. Δ",IF(AND(ABS(D151-C151)/ABS(C151)&lt;='Status'!$B$6,H151&lt;='Status'!$B$6),"Yes","No")))))</x:f>
      </x:c>
      <x:c r="J151" s="14" t="str">
        <x:f>IF(OR(COUNTA($A151)=0,'Status'!$E$6=""),"",IF(COUNTIFS('Estimates'!$A$5:$A$2004,$A151,'Estimates'!$B$5:$B$2004,"PPS",'Estimates'!$D$5:$D$2004,'Status'!$E$6,'Estimates'!$E$5:$E$2004,'Status'!$E$7)=0,"",IF(COUNTIFS('Estimates'!$A$5:$A$2004,$A151,'Estimates'!$B$5:$B$2004,"PPS",'Estimates'!$D$5:$D$2004,'Status'!$E$6,'Estimates'!$E$5:$E$2004,'Status'!$E$7)&gt;1,"DUP",SUMIFS('Estimates'!$F$5:$F$2004,'Estimates'!$A$5:$A$2004,$A151,'Estimates'!$B$5:$B$2004,"PPS",'Estimates'!$D$5:$D$2004,'Status'!$E$6,'Estimates'!$E$5:$E$2004,'Status'!$E$7))))</x:f>
      </x:c>
      <x:c r="K151" s="14" t="str">
        <x:f>IF(OR(COUNTA($A151)=0,'Status'!$F$6=""),"",IF(COUNTIFS('Estimates'!$A$5:$A$2004,$A151,'Estimates'!$B$5:$B$2004,"PPS",'Estimates'!$D$5:$D$2004,'Status'!$F$6,'Estimates'!$E$5:$E$2004,'Status'!$E$7)=0,"",IF(COUNTIFS('Estimates'!$A$5:$A$2004,$A151,'Estimates'!$B$5:$B$2004,"PPS",'Estimates'!$D$5:$D$2004,'Status'!$F$6,'Estimates'!$E$5:$E$2004,'Status'!$E$7)&gt;1,"DUP",SUMIFS('Estimates'!$F$5:$F$2004,'Estimates'!$A$5:$A$2004,$A151,'Estimates'!$B$5:$B$2004,"PPS",'Estimates'!$D$5:$D$2004,'Status'!$F$6,'Estimates'!$E$5:$E$2004,'Status'!$E$7))))</x:f>
      </x:c>
      <x:c r="L151" s="14" t="str">
        <x:f>IF(OR(COUNTA($A151)=0,'Status'!$G$6=""),"",IF(COUNTIFS('Estimates'!$A$5:$A$2004,$A151,'Estimates'!$B$5:$B$2004,"PPS",'Estimates'!$D$5:$D$2004,'Status'!$G$6,'Estimates'!$E$5:$E$2004,'Status'!$E$7)=0,"",IF(COUNTIFS('Estimates'!$A$5:$A$2004,$A151,'Estimates'!$B$5:$B$2004,"PPS",'Estimates'!$D$5:$D$2004,'Status'!$G$6,'Estimates'!$E$5:$E$2004,'Status'!$E$7)&gt;1,"DUP",SUMIFS('Estimates'!$F$5:$F$2004,'Estimates'!$A$5:$A$2004,$A151,'Estimates'!$B$5:$B$2004,"PPS",'Estimates'!$D$5:$D$2004,'Status'!$G$6,'Estimates'!$E$5:$E$2004,'Status'!$E$7))))</x:f>
      </x:c>
      <x:c r="M151" s="14" t="str">
        <x:f>IF(COUNT(J151:L151)&lt;2,"",_xlfn.STDEV.S(J151:L151))</x:f>
      </x:c>
      <x:c r="N151" s="14" t="str">
        <x:f>IF(AND(ISNUMBER(K151),ISNUMBER(L151)),ABS(L151-K151),"")</x:f>
      </x:c>
      <x:c r="O151" s="15" t="str">
        <x:f>IF(AND(ISNUMBER(K151),ISNUMBER(L151)),IF(K151=0,"n.a.",ABS(L151-K151)/ABS(K151)),"")</x:f>
      </x:c>
      <x:c r="P151" s="2" t="str">
        <x:f>IF(COUNTA(A151)=0,"",IF(NOT(ISNUMBER('Status'!$B$6)),"Set tolerance",IF(COUNT(J151:L151)&lt;3,"Need 3 levels",IF(OR(J151=0,K151=0),"Use abs. Δ",IF(AND(ABS(K151-J151)/ABS(J151)&lt;='Status'!$B$6,O151&lt;='Status'!$B$6),"Yes","No")))))</x:f>
      </x:c>
      <x:c r="Q151" s="14" t="str">
        <x:f>IF(AND(ISNUMBER(E151),ISNUMBER(L151)),ABS(E151-L151),"")</x:f>
      </x:c>
      <x:c r="R151" s="2" t="str">
        <x:f>IF(COUNTA(A151)=0,"",IF(COUNT(C151:E151,J151:L151)&gt;0,1,0))</x:f>
      </x:c>
      <x:c r="S151" s="2" t="str">
        <x:f>IF(COUNTA(A151)=0,"",IF(COUNTIFS($A$6:$A$165,A151)&gt;1,"Duplicate target",""))</x:f>
      </x:c>
    </x:row>
    <x:row r="152">
      <x:c r="A152" s="6"/>
      <x:c r="B152" s="20"/>
      <x:c r="C152" s="14" t="str">
        <x:f>IF(OR(COUNTA($A152)=0,'Status'!$E$5=""),"",IF(COUNTIFS('Estimates'!$A$5:$A$2004,$A152,'Estimates'!$B$5:$B$2004,"MPS",'Estimates'!$C$5:$C$2004,'Status'!$E$5)=0,"",IF(COUNTIFS('Estimates'!$A$5:$A$2004,$A152,'Estimates'!$B$5:$B$2004,"MPS",'Estimates'!$C$5:$C$2004,'Status'!$E$5)&gt;1,"DUP",SUMIFS('Estimates'!$F$5:$F$2004,'Estimates'!$A$5:$A$2004,$A152,'Estimates'!$B$5:$B$2004,"MPS",'Estimates'!$C$5:$C$2004,'Status'!$E$5))))</x:f>
      </x:c>
      <x:c r="D152" s="14" t="str">
        <x:f>IF(OR(COUNTA($A152)=0,'Status'!$F$5=""),"",IF(COUNTIFS('Estimates'!$A$5:$A$2004,$A152,'Estimates'!$B$5:$B$2004,"MPS",'Estimates'!$C$5:$C$2004,'Status'!$F$5)=0,"",IF(COUNTIFS('Estimates'!$A$5:$A$2004,$A152,'Estimates'!$B$5:$B$2004,"MPS",'Estimates'!$C$5:$C$2004,'Status'!$F$5)&gt;1,"DUP",SUMIFS('Estimates'!$F$5:$F$2004,'Estimates'!$A$5:$A$2004,$A152,'Estimates'!$B$5:$B$2004,"MPS",'Estimates'!$C$5:$C$2004,'Status'!$F$5))))</x:f>
      </x:c>
      <x:c r="E152" s="14" t="str">
        <x:f>IF(OR(COUNTA($A152)=0,'Status'!$G$5=""),"",IF(COUNTIFS('Estimates'!$A$5:$A$2004,$A152,'Estimates'!$B$5:$B$2004,"MPS",'Estimates'!$C$5:$C$2004,'Status'!$G$5)=0,"",IF(COUNTIFS('Estimates'!$A$5:$A$2004,$A152,'Estimates'!$B$5:$B$2004,"MPS",'Estimates'!$C$5:$C$2004,'Status'!$G$5)&gt;1,"DUP",SUMIFS('Estimates'!$F$5:$F$2004,'Estimates'!$A$5:$A$2004,$A152,'Estimates'!$B$5:$B$2004,"MPS",'Estimates'!$C$5:$C$2004,'Status'!$G$5))))</x:f>
      </x:c>
      <x:c r="F152" s="14" t="str">
        <x:f>IF(COUNT(C152:E152)&lt;2,"",_xlfn.STDEV.S(C152:E152))</x:f>
      </x:c>
      <x:c r="G152" s="14" t="str">
        <x:f>IF(AND(ISNUMBER(D152),ISNUMBER(E152)),ABS(E152-D152),"")</x:f>
      </x:c>
      <x:c r="H152" s="15" t="str">
        <x:f>IF(AND(ISNUMBER(D152),ISNUMBER(E152)),IF(D152=0,"n.a.",ABS(E152-D152)/ABS(D152)),"")</x:f>
      </x:c>
      <x:c r="I152" s="2" t="str">
        <x:f>IF(COUNTA(A152)=0,"",IF(NOT(ISNUMBER('Status'!$B$6)),"Set tolerance",IF(COUNT(C152:E152)&lt;3,"Need 3 levels",IF(OR(C152=0,D152=0),"Use abs. Δ",IF(AND(ABS(D152-C152)/ABS(C152)&lt;='Status'!$B$6,H152&lt;='Status'!$B$6),"Yes","No")))))</x:f>
      </x:c>
      <x:c r="J152" s="14" t="str">
        <x:f>IF(OR(COUNTA($A152)=0,'Status'!$E$6=""),"",IF(COUNTIFS('Estimates'!$A$5:$A$2004,$A152,'Estimates'!$B$5:$B$2004,"PPS",'Estimates'!$D$5:$D$2004,'Status'!$E$6,'Estimates'!$E$5:$E$2004,'Status'!$E$7)=0,"",IF(COUNTIFS('Estimates'!$A$5:$A$2004,$A152,'Estimates'!$B$5:$B$2004,"PPS",'Estimates'!$D$5:$D$2004,'Status'!$E$6,'Estimates'!$E$5:$E$2004,'Status'!$E$7)&gt;1,"DUP",SUMIFS('Estimates'!$F$5:$F$2004,'Estimates'!$A$5:$A$2004,$A152,'Estimates'!$B$5:$B$2004,"PPS",'Estimates'!$D$5:$D$2004,'Status'!$E$6,'Estimates'!$E$5:$E$2004,'Status'!$E$7))))</x:f>
      </x:c>
      <x:c r="K152" s="14" t="str">
        <x:f>IF(OR(COUNTA($A152)=0,'Status'!$F$6=""),"",IF(COUNTIFS('Estimates'!$A$5:$A$2004,$A152,'Estimates'!$B$5:$B$2004,"PPS",'Estimates'!$D$5:$D$2004,'Status'!$F$6,'Estimates'!$E$5:$E$2004,'Status'!$E$7)=0,"",IF(COUNTIFS('Estimates'!$A$5:$A$2004,$A152,'Estimates'!$B$5:$B$2004,"PPS",'Estimates'!$D$5:$D$2004,'Status'!$F$6,'Estimates'!$E$5:$E$2004,'Status'!$E$7)&gt;1,"DUP",SUMIFS('Estimates'!$F$5:$F$2004,'Estimates'!$A$5:$A$2004,$A152,'Estimates'!$B$5:$B$2004,"PPS",'Estimates'!$D$5:$D$2004,'Status'!$F$6,'Estimates'!$E$5:$E$2004,'Status'!$E$7))))</x:f>
      </x:c>
      <x:c r="L152" s="14" t="str">
        <x:f>IF(OR(COUNTA($A152)=0,'Status'!$G$6=""),"",IF(COUNTIFS('Estimates'!$A$5:$A$2004,$A152,'Estimates'!$B$5:$B$2004,"PPS",'Estimates'!$D$5:$D$2004,'Status'!$G$6,'Estimates'!$E$5:$E$2004,'Status'!$E$7)=0,"",IF(COUNTIFS('Estimates'!$A$5:$A$2004,$A152,'Estimates'!$B$5:$B$2004,"PPS",'Estimates'!$D$5:$D$2004,'Status'!$G$6,'Estimates'!$E$5:$E$2004,'Status'!$E$7)&gt;1,"DUP",SUMIFS('Estimates'!$F$5:$F$2004,'Estimates'!$A$5:$A$2004,$A152,'Estimates'!$B$5:$B$2004,"PPS",'Estimates'!$D$5:$D$2004,'Status'!$G$6,'Estimates'!$E$5:$E$2004,'Status'!$E$7))))</x:f>
      </x:c>
      <x:c r="M152" s="14" t="str">
        <x:f>IF(COUNT(J152:L152)&lt;2,"",_xlfn.STDEV.S(J152:L152))</x:f>
      </x:c>
      <x:c r="N152" s="14" t="str">
        <x:f>IF(AND(ISNUMBER(K152),ISNUMBER(L152)),ABS(L152-K152),"")</x:f>
      </x:c>
      <x:c r="O152" s="15" t="str">
        <x:f>IF(AND(ISNUMBER(K152),ISNUMBER(L152)),IF(K152=0,"n.a.",ABS(L152-K152)/ABS(K152)),"")</x:f>
      </x:c>
      <x:c r="P152" s="2" t="str">
        <x:f>IF(COUNTA(A152)=0,"",IF(NOT(ISNUMBER('Status'!$B$6)),"Set tolerance",IF(COUNT(J152:L152)&lt;3,"Need 3 levels",IF(OR(J152=0,K152=0),"Use abs. Δ",IF(AND(ABS(K152-J152)/ABS(J152)&lt;='Status'!$B$6,O152&lt;='Status'!$B$6),"Yes","No")))))</x:f>
      </x:c>
      <x:c r="Q152" s="14" t="str">
        <x:f>IF(AND(ISNUMBER(E152),ISNUMBER(L152)),ABS(E152-L152),"")</x:f>
      </x:c>
      <x:c r="R152" s="2" t="str">
        <x:f>IF(COUNTA(A152)=0,"",IF(COUNT(C152:E152,J152:L152)&gt;0,1,0))</x:f>
      </x:c>
      <x:c r="S152" s="2" t="str">
        <x:f>IF(COUNTA(A152)=0,"",IF(COUNTIFS($A$6:$A$165,A152)&gt;1,"Duplicate target",""))</x:f>
      </x:c>
    </x:row>
    <x:row r="153">
      <x:c r="A153" s="6"/>
      <x:c r="B153" s="20"/>
      <x:c r="C153" s="14" t="str">
        <x:f>IF(OR(COUNTA($A153)=0,'Status'!$E$5=""),"",IF(COUNTIFS('Estimates'!$A$5:$A$2004,$A153,'Estimates'!$B$5:$B$2004,"MPS",'Estimates'!$C$5:$C$2004,'Status'!$E$5)=0,"",IF(COUNTIFS('Estimates'!$A$5:$A$2004,$A153,'Estimates'!$B$5:$B$2004,"MPS",'Estimates'!$C$5:$C$2004,'Status'!$E$5)&gt;1,"DUP",SUMIFS('Estimates'!$F$5:$F$2004,'Estimates'!$A$5:$A$2004,$A153,'Estimates'!$B$5:$B$2004,"MPS",'Estimates'!$C$5:$C$2004,'Status'!$E$5))))</x:f>
      </x:c>
      <x:c r="D153" s="14" t="str">
        <x:f>IF(OR(COUNTA($A153)=0,'Status'!$F$5=""),"",IF(COUNTIFS('Estimates'!$A$5:$A$2004,$A153,'Estimates'!$B$5:$B$2004,"MPS",'Estimates'!$C$5:$C$2004,'Status'!$F$5)=0,"",IF(COUNTIFS('Estimates'!$A$5:$A$2004,$A153,'Estimates'!$B$5:$B$2004,"MPS",'Estimates'!$C$5:$C$2004,'Status'!$F$5)&gt;1,"DUP",SUMIFS('Estimates'!$F$5:$F$2004,'Estimates'!$A$5:$A$2004,$A153,'Estimates'!$B$5:$B$2004,"MPS",'Estimates'!$C$5:$C$2004,'Status'!$F$5))))</x:f>
      </x:c>
      <x:c r="E153" s="14" t="str">
        <x:f>IF(OR(COUNTA($A153)=0,'Status'!$G$5=""),"",IF(COUNTIFS('Estimates'!$A$5:$A$2004,$A153,'Estimates'!$B$5:$B$2004,"MPS",'Estimates'!$C$5:$C$2004,'Status'!$G$5)=0,"",IF(COUNTIFS('Estimates'!$A$5:$A$2004,$A153,'Estimates'!$B$5:$B$2004,"MPS",'Estimates'!$C$5:$C$2004,'Status'!$G$5)&gt;1,"DUP",SUMIFS('Estimates'!$F$5:$F$2004,'Estimates'!$A$5:$A$2004,$A153,'Estimates'!$B$5:$B$2004,"MPS",'Estimates'!$C$5:$C$2004,'Status'!$G$5))))</x:f>
      </x:c>
      <x:c r="F153" s="14" t="str">
        <x:f>IF(COUNT(C153:E153)&lt;2,"",_xlfn.STDEV.S(C153:E153))</x:f>
      </x:c>
      <x:c r="G153" s="14" t="str">
        <x:f>IF(AND(ISNUMBER(D153),ISNUMBER(E153)),ABS(E153-D153),"")</x:f>
      </x:c>
      <x:c r="H153" s="15" t="str">
        <x:f>IF(AND(ISNUMBER(D153),ISNUMBER(E153)),IF(D153=0,"n.a.",ABS(E153-D153)/ABS(D153)),"")</x:f>
      </x:c>
      <x:c r="I153" s="2" t="str">
        <x:f>IF(COUNTA(A153)=0,"",IF(NOT(ISNUMBER('Status'!$B$6)),"Set tolerance",IF(COUNT(C153:E153)&lt;3,"Need 3 levels",IF(OR(C153=0,D153=0),"Use abs. Δ",IF(AND(ABS(D153-C153)/ABS(C153)&lt;='Status'!$B$6,H153&lt;='Status'!$B$6),"Yes","No")))))</x:f>
      </x:c>
      <x:c r="J153" s="14" t="str">
        <x:f>IF(OR(COUNTA($A153)=0,'Status'!$E$6=""),"",IF(COUNTIFS('Estimates'!$A$5:$A$2004,$A153,'Estimates'!$B$5:$B$2004,"PPS",'Estimates'!$D$5:$D$2004,'Status'!$E$6,'Estimates'!$E$5:$E$2004,'Status'!$E$7)=0,"",IF(COUNTIFS('Estimates'!$A$5:$A$2004,$A153,'Estimates'!$B$5:$B$2004,"PPS",'Estimates'!$D$5:$D$2004,'Status'!$E$6,'Estimates'!$E$5:$E$2004,'Status'!$E$7)&gt;1,"DUP",SUMIFS('Estimates'!$F$5:$F$2004,'Estimates'!$A$5:$A$2004,$A153,'Estimates'!$B$5:$B$2004,"PPS",'Estimates'!$D$5:$D$2004,'Status'!$E$6,'Estimates'!$E$5:$E$2004,'Status'!$E$7))))</x:f>
      </x:c>
      <x:c r="K153" s="14" t="str">
        <x:f>IF(OR(COUNTA($A153)=0,'Status'!$F$6=""),"",IF(COUNTIFS('Estimates'!$A$5:$A$2004,$A153,'Estimates'!$B$5:$B$2004,"PPS",'Estimates'!$D$5:$D$2004,'Status'!$F$6,'Estimates'!$E$5:$E$2004,'Status'!$E$7)=0,"",IF(COUNTIFS('Estimates'!$A$5:$A$2004,$A153,'Estimates'!$B$5:$B$2004,"PPS",'Estimates'!$D$5:$D$2004,'Status'!$F$6,'Estimates'!$E$5:$E$2004,'Status'!$E$7)&gt;1,"DUP",SUMIFS('Estimates'!$F$5:$F$2004,'Estimates'!$A$5:$A$2004,$A153,'Estimates'!$B$5:$B$2004,"PPS",'Estimates'!$D$5:$D$2004,'Status'!$F$6,'Estimates'!$E$5:$E$2004,'Status'!$E$7))))</x:f>
      </x:c>
      <x:c r="L153" s="14" t="str">
        <x:f>IF(OR(COUNTA($A153)=0,'Status'!$G$6=""),"",IF(COUNTIFS('Estimates'!$A$5:$A$2004,$A153,'Estimates'!$B$5:$B$2004,"PPS",'Estimates'!$D$5:$D$2004,'Status'!$G$6,'Estimates'!$E$5:$E$2004,'Status'!$E$7)=0,"",IF(COUNTIFS('Estimates'!$A$5:$A$2004,$A153,'Estimates'!$B$5:$B$2004,"PPS",'Estimates'!$D$5:$D$2004,'Status'!$G$6,'Estimates'!$E$5:$E$2004,'Status'!$E$7)&gt;1,"DUP",SUMIFS('Estimates'!$F$5:$F$2004,'Estimates'!$A$5:$A$2004,$A153,'Estimates'!$B$5:$B$2004,"PPS",'Estimates'!$D$5:$D$2004,'Status'!$G$6,'Estimates'!$E$5:$E$2004,'Status'!$E$7))))</x:f>
      </x:c>
      <x:c r="M153" s="14" t="str">
        <x:f>IF(COUNT(J153:L153)&lt;2,"",_xlfn.STDEV.S(J153:L153))</x:f>
      </x:c>
      <x:c r="N153" s="14" t="str">
        <x:f>IF(AND(ISNUMBER(K153),ISNUMBER(L153)),ABS(L153-K153),"")</x:f>
      </x:c>
      <x:c r="O153" s="15" t="str">
        <x:f>IF(AND(ISNUMBER(K153),ISNUMBER(L153)),IF(K153=0,"n.a.",ABS(L153-K153)/ABS(K153)),"")</x:f>
      </x:c>
      <x:c r="P153" s="2" t="str">
        <x:f>IF(COUNTA(A153)=0,"",IF(NOT(ISNUMBER('Status'!$B$6)),"Set tolerance",IF(COUNT(J153:L153)&lt;3,"Need 3 levels",IF(OR(J153=0,K153=0),"Use abs. Δ",IF(AND(ABS(K153-J153)/ABS(J153)&lt;='Status'!$B$6,O153&lt;='Status'!$B$6),"Yes","No")))))</x:f>
      </x:c>
      <x:c r="Q153" s="14" t="str">
        <x:f>IF(AND(ISNUMBER(E153),ISNUMBER(L153)),ABS(E153-L153),"")</x:f>
      </x:c>
      <x:c r="R153" s="2" t="str">
        <x:f>IF(COUNTA(A153)=0,"",IF(COUNT(C153:E153,J153:L153)&gt;0,1,0))</x:f>
      </x:c>
      <x:c r="S153" s="2" t="str">
        <x:f>IF(COUNTA(A153)=0,"",IF(COUNTIFS($A$6:$A$165,A153)&gt;1,"Duplicate target",""))</x:f>
      </x:c>
    </x:row>
    <x:row r="154">
      <x:c r="A154" s="6"/>
      <x:c r="B154" s="20"/>
      <x:c r="C154" s="14" t="str">
        <x:f>IF(OR(COUNTA($A154)=0,'Status'!$E$5=""),"",IF(COUNTIFS('Estimates'!$A$5:$A$2004,$A154,'Estimates'!$B$5:$B$2004,"MPS",'Estimates'!$C$5:$C$2004,'Status'!$E$5)=0,"",IF(COUNTIFS('Estimates'!$A$5:$A$2004,$A154,'Estimates'!$B$5:$B$2004,"MPS",'Estimates'!$C$5:$C$2004,'Status'!$E$5)&gt;1,"DUP",SUMIFS('Estimates'!$F$5:$F$2004,'Estimates'!$A$5:$A$2004,$A154,'Estimates'!$B$5:$B$2004,"MPS",'Estimates'!$C$5:$C$2004,'Status'!$E$5))))</x:f>
      </x:c>
      <x:c r="D154" s="14" t="str">
        <x:f>IF(OR(COUNTA($A154)=0,'Status'!$F$5=""),"",IF(COUNTIFS('Estimates'!$A$5:$A$2004,$A154,'Estimates'!$B$5:$B$2004,"MPS",'Estimates'!$C$5:$C$2004,'Status'!$F$5)=0,"",IF(COUNTIFS('Estimates'!$A$5:$A$2004,$A154,'Estimates'!$B$5:$B$2004,"MPS",'Estimates'!$C$5:$C$2004,'Status'!$F$5)&gt;1,"DUP",SUMIFS('Estimates'!$F$5:$F$2004,'Estimates'!$A$5:$A$2004,$A154,'Estimates'!$B$5:$B$2004,"MPS",'Estimates'!$C$5:$C$2004,'Status'!$F$5))))</x:f>
      </x:c>
      <x:c r="E154" s="14" t="str">
        <x:f>IF(OR(COUNTA($A154)=0,'Status'!$G$5=""),"",IF(COUNTIFS('Estimates'!$A$5:$A$2004,$A154,'Estimates'!$B$5:$B$2004,"MPS",'Estimates'!$C$5:$C$2004,'Status'!$G$5)=0,"",IF(COUNTIFS('Estimates'!$A$5:$A$2004,$A154,'Estimates'!$B$5:$B$2004,"MPS",'Estimates'!$C$5:$C$2004,'Status'!$G$5)&gt;1,"DUP",SUMIFS('Estimates'!$F$5:$F$2004,'Estimates'!$A$5:$A$2004,$A154,'Estimates'!$B$5:$B$2004,"MPS",'Estimates'!$C$5:$C$2004,'Status'!$G$5))))</x:f>
      </x:c>
      <x:c r="F154" s="14" t="str">
        <x:f>IF(COUNT(C154:E154)&lt;2,"",_xlfn.STDEV.S(C154:E154))</x:f>
      </x:c>
      <x:c r="G154" s="14" t="str">
        <x:f>IF(AND(ISNUMBER(D154),ISNUMBER(E154)),ABS(E154-D154),"")</x:f>
      </x:c>
      <x:c r="H154" s="15" t="str">
        <x:f>IF(AND(ISNUMBER(D154),ISNUMBER(E154)),IF(D154=0,"n.a.",ABS(E154-D154)/ABS(D154)),"")</x:f>
      </x:c>
      <x:c r="I154" s="2" t="str">
        <x:f>IF(COUNTA(A154)=0,"",IF(NOT(ISNUMBER('Status'!$B$6)),"Set tolerance",IF(COUNT(C154:E154)&lt;3,"Need 3 levels",IF(OR(C154=0,D154=0),"Use abs. Δ",IF(AND(ABS(D154-C154)/ABS(C154)&lt;='Status'!$B$6,H154&lt;='Status'!$B$6),"Yes","No")))))</x:f>
      </x:c>
      <x:c r="J154" s="14" t="str">
        <x:f>IF(OR(COUNTA($A154)=0,'Status'!$E$6=""),"",IF(COUNTIFS('Estimates'!$A$5:$A$2004,$A154,'Estimates'!$B$5:$B$2004,"PPS",'Estimates'!$D$5:$D$2004,'Status'!$E$6,'Estimates'!$E$5:$E$2004,'Status'!$E$7)=0,"",IF(COUNTIFS('Estimates'!$A$5:$A$2004,$A154,'Estimates'!$B$5:$B$2004,"PPS",'Estimates'!$D$5:$D$2004,'Status'!$E$6,'Estimates'!$E$5:$E$2004,'Status'!$E$7)&gt;1,"DUP",SUMIFS('Estimates'!$F$5:$F$2004,'Estimates'!$A$5:$A$2004,$A154,'Estimates'!$B$5:$B$2004,"PPS",'Estimates'!$D$5:$D$2004,'Status'!$E$6,'Estimates'!$E$5:$E$2004,'Status'!$E$7))))</x:f>
      </x:c>
      <x:c r="K154" s="14" t="str">
        <x:f>IF(OR(COUNTA($A154)=0,'Status'!$F$6=""),"",IF(COUNTIFS('Estimates'!$A$5:$A$2004,$A154,'Estimates'!$B$5:$B$2004,"PPS",'Estimates'!$D$5:$D$2004,'Status'!$F$6,'Estimates'!$E$5:$E$2004,'Status'!$E$7)=0,"",IF(COUNTIFS('Estimates'!$A$5:$A$2004,$A154,'Estimates'!$B$5:$B$2004,"PPS",'Estimates'!$D$5:$D$2004,'Status'!$F$6,'Estimates'!$E$5:$E$2004,'Status'!$E$7)&gt;1,"DUP",SUMIFS('Estimates'!$F$5:$F$2004,'Estimates'!$A$5:$A$2004,$A154,'Estimates'!$B$5:$B$2004,"PPS",'Estimates'!$D$5:$D$2004,'Status'!$F$6,'Estimates'!$E$5:$E$2004,'Status'!$E$7))))</x:f>
      </x:c>
      <x:c r="L154" s="14" t="str">
        <x:f>IF(OR(COUNTA($A154)=0,'Status'!$G$6=""),"",IF(COUNTIFS('Estimates'!$A$5:$A$2004,$A154,'Estimates'!$B$5:$B$2004,"PPS",'Estimates'!$D$5:$D$2004,'Status'!$G$6,'Estimates'!$E$5:$E$2004,'Status'!$E$7)=0,"",IF(COUNTIFS('Estimates'!$A$5:$A$2004,$A154,'Estimates'!$B$5:$B$2004,"PPS",'Estimates'!$D$5:$D$2004,'Status'!$G$6,'Estimates'!$E$5:$E$2004,'Status'!$E$7)&gt;1,"DUP",SUMIFS('Estimates'!$F$5:$F$2004,'Estimates'!$A$5:$A$2004,$A154,'Estimates'!$B$5:$B$2004,"PPS",'Estimates'!$D$5:$D$2004,'Status'!$G$6,'Estimates'!$E$5:$E$2004,'Status'!$E$7))))</x:f>
      </x:c>
      <x:c r="M154" s="14" t="str">
        <x:f>IF(COUNT(J154:L154)&lt;2,"",_xlfn.STDEV.S(J154:L154))</x:f>
      </x:c>
      <x:c r="N154" s="14" t="str">
        <x:f>IF(AND(ISNUMBER(K154),ISNUMBER(L154)),ABS(L154-K154),"")</x:f>
      </x:c>
      <x:c r="O154" s="15" t="str">
        <x:f>IF(AND(ISNUMBER(K154),ISNUMBER(L154)),IF(K154=0,"n.a.",ABS(L154-K154)/ABS(K154)),"")</x:f>
      </x:c>
      <x:c r="P154" s="2" t="str">
        <x:f>IF(COUNTA(A154)=0,"",IF(NOT(ISNUMBER('Status'!$B$6)),"Set tolerance",IF(COUNT(J154:L154)&lt;3,"Need 3 levels",IF(OR(J154=0,K154=0),"Use abs. Δ",IF(AND(ABS(K154-J154)/ABS(J154)&lt;='Status'!$B$6,O154&lt;='Status'!$B$6),"Yes","No")))))</x:f>
      </x:c>
      <x:c r="Q154" s="14" t="str">
        <x:f>IF(AND(ISNUMBER(E154),ISNUMBER(L154)),ABS(E154-L154),"")</x:f>
      </x:c>
      <x:c r="R154" s="2" t="str">
        <x:f>IF(COUNTA(A154)=0,"",IF(COUNT(C154:E154,J154:L154)&gt;0,1,0))</x:f>
      </x:c>
      <x:c r="S154" s="2" t="str">
        <x:f>IF(COUNTA(A154)=0,"",IF(COUNTIFS($A$6:$A$165,A154)&gt;1,"Duplicate target",""))</x:f>
      </x:c>
    </x:row>
    <x:row r="155">
      <x:c r="A155" s="6"/>
      <x:c r="B155" s="20"/>
      <x:c r="C155" s="14" t="str">
        <x:f>IF(OR(COUNTA($A155)=0,'Status'!$E$5=""),"",IF(COUNTIFS('Estimates'!$A$5:$A$2004,$A155,'Estimates'!$B$5:$B$2004,"MPS",'Estimates'!$C$5:$C$2004,'Status'!$E$5)=0,"",IF(COUNTIFS('Estimates'!$A$5:$A$2004,$A155,'Estimates'!$B$5:$B$2004,"MPS",'Estimates'!$C$5:$C$2004,'Status'!$E$5)&gt;1,"DUP",SUMIFS('Estimates'!$F$5:$F$2004,'Estimates'!$A$5:$A$2004,$A155,'Estimates'!$B$5:$B$2004,"MPS",'Estimates'!$C$5:$C$2004,'Status'!$E$5))))</x:f>
      </x:c>
      <x:c r="D155" s="14" t="str">
        <x:f>IF(OR(COUNTA($A155)=0,'Status'!$F$5=""),"",IF(COUNTIFS('Estimates'!$A$5:$A$2004,$A155,'Estimates'!$B$5:$B$2004,"MPS",'Estimates'!$C$5:$C$2004,'Status'!$F$5)=0,"",IF(COUNTIFS('Estimates'!$A$5:$A$2004,$A155,'Estimates'!$B$5:$B$2004,"MPS",'Estimates'!$C$5:$C$2004,'Status'!$F$5)&gt;1,"DUP",SUMIFS('Estimates'!$F$5:$F$2004,'Estimates'!$A$5:$A$2004,$A155,'Estimates'!$B$5:$B$2004,"MPS",'Estimates'!$C$5:$C$2004,'Status'!$F$5))))</x:f>
      </x:c>
      <x:c r="E155" s="14" t="str">
        <x:f>IF(OR(COUNTA($A155)=0,'Status'!$G$5=""),"",IF(COUNTIFS('Estimates'!$A$5:$A$2004,$A155,'Estimates'!$B$5:$B$2004,"MPS",'Estimates'!$C$5:$C$2004,'Status'!$G$5)=0,"",IF(COUNTIFS('Estimates'!$A$5:$A$2004,$A155,'Estimates'!$B$5:$B$2004,"MPS",'Estimates'!$C$5:$C$2004,'Status'!$G$5)&gt;1,"DUP",SUMIFS('Estimates'!$F$5:$F$2004,'Estimates'!$A$5:$A$2004,$A155,'Estimates'!$B$5:$B$2004,"MPS",'Estimates'!$C$5:$C$2004,'Status'!$G$5))))</x:f>
      </x:c>
      <x:c r="F155" s="14" t="str">
        <x:f>IF(COUNT(C155:E155)&lt;2,"",_xlfn.STDEV.S(C155:E155))</x:f>
      </x:c>
      <x:c r="G155" s="14" t="str">
        <x:f>IF(AND(ISNUMBER(D155),ISNUMBER(E155)),ABS(E155-D155),"")</x:f>
      </x:c>
      <x:c r="H155" s="15" t="str">
        <x:f>IF(AND(ISNUMBER(D155),ISNUMBER(E155)),IF(D155=0,"n.a.",ABS(E155-D155)/ABS(D155)),"")</x:f>
      </x:c>
      <x:c r="I155" s="2" t="str">
        <x:f>IF(COUNTA(A155)=0,"",IF(NOT(ISNUMBER('Status'!$B$6)),"Set tolerance",IF(COUNT(C155:E155)&lt;3,"Need 3 levels",IF(OR(C155=0,D155=0),"Use abs. Δ",IF(AND(ABS(D155-C155)/ABS(C155)&lt;='Status'!$B$6,H155&lt;='Status'!$B$6),"Yes","No")))))</x:f>
      </x:c>
      <x:c r="J155" s="14" t="str">
        <x:f>IF(OR(COUNTA($A155)=0,'Status'!$E$6=""),"",IF(COUNTIFS('Estimates'!$A$5:$A$2004,$A155,'Estimates'!$B$5:$B$2004,"PPS",'Estimates'!$D$5:$D$2004,'Status'!$E$6,'Estimates'!$E$5:$E$2004,'Status'!$E$7)=0,"",IF(COUNTIFS('Estimates'!$A$5:$A$2004,$A155,'Estimates'!$B$5:$B$2004,"PPS",'Estimates'!$D$5:$D$2004,'Status'!$E$6,'Estimates'!$E$5:$E$2004,'Status'!$E$7)&gt;1,"DUP",SUMIFS('Estimates'!$F$5:$F$2004,'Estimates'!$A$5:$A$2004,$A155,'Estimates'!$B$5:$B$2004,"PPS",'Estimates'!$D$5:$D$2004,'Status'!$E$6,'Estimates'!$E$5:$E$2004,'Status'!$E$7))))</x:f>
      </x:c>
      <x:c r="K155" s="14" t="str">
        <x:f>IF(OR(COUNTA($A155)=0,'Status'!$F$6=""),"",IF(COUNTIFS('Estimates'!$A$5:$A$2004,$A155,'Estimates'!$B$5:$B$2004,"PPS",'Estimates'!$D$5:$D$2004,'Status'!$F$6,'Estimates'!$E$5:$E$2004,'Status'!$E$7)=0,"",IF(COUNTIFS('Estimates'!$A$5:$A$2004,$A155,'Estimates'!$B$5:$B$2004,"PPS",'Estimates'!$D$5:$D$2004,'Status'!$F$6,'Estimates'!$E$5:$E$2004,'Status'!$E$7)&gt;1,"DUP",SUMIFS('Estimates'!$F$5:$F$2004,'Estimates'!$A$5:$A$2004,$A155,'Estimates'!$B$5:$B$2004,"PPS",'Estimates'!$D$5:$D$2004,'Status'!$F$6,'Estimates'!$E$5:$E$2004,'Status'!$E$7))))</x:f>
      </x:c>
      <x:c r="L155" s="14" t="str">
        <x:f>IF(OR(COUNTA($A155)=0,'Status'!$G$6=""),"",IF(COUNTIFS('Estimates'!$A$5:$A$2004,$A155,'Estimates'!$B$5:$B$2004,"PPS",'Estimates'!$D$5:$D$2004,'Status'!$G$6,'Estimates'!$E$5:$E$2004,'Status'!$E$7)=0,"",IF(COUNTIFS('Estimates'!$A$5:$A$2004,$A155,'Estimates'!$B$5:$B$2004,"PPS",'Estimates'!$D$5:$D$2004,'Status'!$G$6,'Estimates'!$E$5:$E$2004,'Status'!$E$7)&gt;1,"DUP",SUMIFS('Estimates'!$F$5:$F$2004,'Estimates'!$A$5:$A$2004,$A155,'Estimates'!$B$5:$B$2004,"PPS",'Estimates'!$D$5:$D$2004,'Status'!$G$6,'Estimates'!$E$5:$E$2004,'Status'!$E$7))))</x:f>
      </x:c>
      <x:c r="M155" s="14" t="str">
        <x:f>IF(COUNT(J155:L155)&lt;2,"",_xlfn.STDEV.S(J155:L155))</x:f>
      </x:c>
      <x:c r="N155" s="14" t="str">
        <x:f>IF(AND(ISNUMBER(K155),ISNUMBER(L155)),ABS(L155-K155),"")</x:f>
      </x:c>
      <x:c r="O155" s="15" t="str">
        <x:f>IF(AND(ISNUMBER(K155),ISNUMBER(L155)),IF(K155=0,"n.a.",ABS(L155-K155)/ABS(K155)),"")</x:f>
      </x:c>
      <x:c r="P155" s="2" t="str">
        <x:f>IF(COUNTA(A155)=0,"",IF(NOT(ISNUMBER('Status'!$B$6)),"Set tolerance",IF(COUNT(J155:L155)&lt;3,"Need 3 levels",IF(OR(J155=0,K155=0),"Use abs. Δ",IF(AND(ABS(K155-J155)/ABS(J155)&lt;='Status'!$B$6,O155&lt;='Status'!$B$6),"Yes","No")))))</x:f>
      </x:c>
      <x:c r="Q155" s="14" t="str">
        <x:f>IF(AND(ISNUMBER(E155),ISNUMBER(L155)),ABS(E155-L155),"")</x:f>
      </x:c>
      <x:c r="R155" s="2" t="str">
        <x:f>IF(COUNTA(A155)=0,"",IF(COUNT(C155:E155,J155:L155)&gt;0,1,0))</x:f>
      </x:c>
      <x:c r="S155" s="2" t="str">
        <x:f>IF(COUNTA(A155)=0,"",IF(COUNTIFS($A$6:$A$165,A155)&gt;1,"Duplicate target",""))</x:f>
      </x:c>
    </x:row>
    <x:row r="156">
      <x:c r="A156" s="6"/>
      <x:c r="B156" s="20"/>
      <x:c r="C156" s="14" t="str">
        <x:f>IF(OR(COUNTA($A156)=0,'Status'!$E$5=""),"",IF(COUNTIFS('Estimates'!$A$5:$A$2004,$A156,'Estimates'!$B$5:$B$2004,"MPS",'Estimates'!$C$5:$C$2004,'Status'!$E$5)=0,"",IF(COUNTIFS('Estimates'!$A$5:$A$2004,$A156,'Estimates'!$B$5:$B$2004,"MPS",'Estimates'!$C$5:$C$2004,'Status'!$E$5)&gt;1,"DUP",SUMIFS('Estimates'!$F$5:$F$2004,'Estimates'!$A$5:$A$2004,$A156,'Estimates'!$B$5:$B$2004,"MPS",'Estimates'!$C$5:$C$2004,'Status'!$E$5))))</x:f>
      </x:c>
      <x:c r="D156" s="14" t="str">
        <x:f>IF(OR(COUNTA($A156)=0,'Status'!$F$5=""),"",IF(COUNTIFS('Estimates'!$A$5:$A$2004,$A156,'Estimates'!$B$5:$B$2004,"MPS",'Estimates'!$C$5:$C$2004,'Status'!$F$5)=0,"",IF(COUNTIFS('Estimates'!$A$5:$A$2004,$A156,'Estimates'!$B$5:$B$2004,"MPS",'Estimates'!$C$5:$C$2004,'Status'!$F$5)&gt;1,"DUP",SUMIFS('Estimates'!$F$5:$F$2004,'Estimates'!$A$5:$A$2004,$A156,'Estimates'!$B$5:$B$2004,"MPS",'Estimates'!$C$5:$C$2004,'Status'!$F$5))))</x:f>
      </x:c>
      <x:c r="E156" s="14" t="str">
        <x:f>IF(OR(COUNTA($A156)=0,'Status'!$G$5=""),"",IF(COUNTIFS('Estimates'!$A$5:$A$2004,$A156,'Estimates'!$B$5:$B$2004,"MPS",'Estimates'!$C$5:$C$2004,'Status'!$G$5)=0,"",IF(COUNTIFS('Estimates'!$A$5:$A$2004,$A156,'Estimates'!$B$5:$B$2004,"MPS",'Estimates'!$C$5:$C$2004,'Status'!$G$5)&gt;1,"DUP",SUMIFS('Estimates'!$F$5:$F$2004,'Estimates'!$A$5:$A$2004,$A156,'Estimates'!$B$5:$B$2004,"MPS",'Estimates'!$C$5:$C$2004,'Status'!$G$5))))</x:f>
      </x:c>
      <x:c r="F156" s="14" t="str">
        <x:f>IF(COUNT(C156:E156)&lt;2,"",_xlfn.STDEV.S(C156:E156))</x:f>
      </x:c>
      <x:c r="G156" s="14" t="str">
        <x:f>IF(AND(ISNUMBER(D156),ISNUMBER(E156)),ABS(E156-D156),"")</x:f>
      </x:c>
      <x:c r="H156" s="15" t="str">
        <x:f>IF(AND(ISNUMBER(D156),ISNUMBER(E156)),IF(D156=0,"n.a.",ABS(E156-D156)/ABS(D156)),"")</x:f>
      </x:c>
      <x:c r="I156" s="2" t="str">
        <x:f>IF(COUNTA(A156)=0,"",IF(NOT(ISNUMBER('Status'!$B$6)),"Set tolerance",IF(COUNT(C156:E156)&lt;3,"Need 3 levels",IF(OR(C156=0,D156=0),"Use abs. Δ",IF(AND(ABS(D156-C156)/ABS(C156)&lt;='Status'!$B$6,H156&lt;='Status'!$B$6),"Yes","No")))))</x:f>
      </x:c>
      <x:c r="J156" s="14" t="str">
        <x:f>IF(OR(COUNTA($A156)=0,'Status'!$E$6=""),"",IF(COUNTIFS('Estimates'!$A$5:$A$2004,$A156,'Estimates'!$B$5:$B$2004,"PPS",'Estimates'!$D$5:$D$2004,'Status'!$E$6,'Estimates'!$E$5:$E$2004,'Status'!$E$7)=0,"",IF(COUNTIFS('Estimates'!$A$5:$A$2004,$A156,'Estimates'!$B$5:$B$2004,"PPS",'Estimates'!$D$5:$D$2004,'Status'!$E$6,'Estimates'!$E$5:$E$2004,'Status'!$E$7)&gt;1,"DUP",SUMIFS('Estimates'!$F$5:$F$2004,'Estimates'!$A$5:$A$2004,$A156,'Estimates'!$B$5:$B$2004,"PPS",'Estimates'!$D$5:$D$2004,'Status'!$E$6,'Estimates'!$E$5:$E$2004,'Status'!$E$7))))</x:f>
      </x:c>
      <x:c r="K156" s="14" t="str">
        <x:f>IF(OR(COUNTA($A156)=0,'Status'!$F$6=""),"",IF(COUNTIFS('Estimates'!$A$5:$A$2004,$A156,'Estimates'!$B$5:$B$2004,"PPS",'Estimates'!$D$5:$D$2004,'Status'!$F$6,'Estimates'!$E$5:$E$2004,'Status'!$E$7)=0,"",IF(COUNTIFS('Estimates'!$A$5:$A$2004,$A156,'Estimates'!$B$5:$B$2004,"PPS",'Estimates'!$D$5:$D$2004,'Status'!$F$6,'Estimates'!$E$5:$E$2004,'Status'!$E$7)&gt;1,"DUP",SUMIFS('Estimates'!$F$5:$F$2004,'Estimates'!$A$5:$A$2004,$A156,'Estimates'!$B$5:$B$2004,"PPS",'Estimates'!$D$5:$D$2004,'Status'!$F$6,'Estimates'!$E$5:$E$2004,'Status'!$E$7))))</x:f>
      </x:c>
      <x:c r="L156" s="14" t="str">
        <x:f>IF(OR(COUNTA($A156)=0,'Status'!$G$6=""),"",IF(COUNTIFS('Estimates'!$A$5:$A$2004,$A156,'Estimates'!$B$5:$B$2004,"PPS",'Estimates'!$D$5:$D$2004,'Status'!$G$6,'Estimates'!$E$5:$E$2004,'Status'!$E$7)=0,"",IF(COUNTIFS('Estimates'!$A$5:$A$2004,$A156,'Estimates'!$B$5:$B$2004,"PPS",'Estimates'!$D$5:$D$2004,'Status'!$G$6,'Estimates'!$E$5:$E$2004,'Status'!$E$7)&gt;1,"DUP",SUMIFS('Estimates'!$F$5:$F$2004,'Estimates'!$A$5:$A$2004,$A156,'Estimates'!$B$5:$B$2004,"PPS",'Estimates'!$D$5:$D$2004,'Status'!$G$6,'Estimates'!$E$5:$E$2004,'Status'!$E$7))))</x:f>
      </x:c>
      <x:c r="M156" s="14" t="str">
        <x:f>IF(COUNT(J156:L156)&lt;2,"",_xlfn.STDEV.S(J156:L156))</x:f>
      </x:c>
      <x:c r="N156" s="14" t="str">
        <x:f>IF(AND(ISNUMBER(K156),ISNUMBER(L156)),ABS(L156-K156),"")</x:f>
      </x:c>
      <x:c r="O156" s="15" t="str">
        <x:f>IF(AND(ISNUMBER(K156),ISNUMBER(L156)),IF(K156=0,"n.a.",ABS(L156-K156)/ABS(K156)),"")</x:f>
      </x:c>
      <x:c r="P156" s="2" t="str">
        <x:f>IF(COUNTA(A156)=0,"",IF(NOT(ISNUMBER('Status'!$B$6)),"Set tolerance",IF(COUNT(J156:L156)&lt;3,"Need 3 levels",IF(OR(J156=0,K156=0),"Use abs. Δ",IF(AND(ABS(K156-J156)/ABS(J156)&lt;='Status'!$B$6,O156&lt;='Status'!$B$6),"Yes","No")))))</x:f>
      </x:c>
      <x:c r="Q156" s="14" t="str">
        <x:f>IF(AND(ISNUMBER(E156),ISNUMBER(L156)),ABS(E156-L156),"")</x:f>
      </x:c>
      <x:c r="R156" s="2" t="str">
        <x:f>IF(COUNTA(A156)=0,"",IF(COUNT(C156:E156,J156:L156)&gt;0,1,0))</x:f>
      </x:c>
      <x:c r="S156" s="2" t="str">
        <x:f>IF(COUNTA(A156)=0,"",IF(COUNTIFS($A$6:$A$165,A156)&gt;1,"Duplicate target",""))</x:f>
      </x:c>
    </x:row>
    <x:row r="157">
      <x:c r="A157" s="6"/>
      <x:c r="B157" s="20"/>
      <x:c r="C157" s="14" t="str">
        <x:f>IF(OR(COUNTA($A157)=0,'Status'!$E$5=""),"",IF(COUNTIFS('Estimates'!$A$5:$A$2004,$A157,'Estimates'!$B$5:$B$2004,"MPS",'Estimates'!$C$5:$C$2004,'Status'!$E$5)=0,"",IF(COUNTIFS('Estimates'!$A$5:$A$2004,$A157,'Estimates'!$B$5:$B$2004,"MPS",'Estimates'!$C$5:$C$2004,'Status'!$E$5)&gt;1,"DUP",SUMIFS('Estimates'!$F$5:$F$2004,'Estimates'!$A$5:$A$2004,$A157,'Estimates'!$B$5:$B$2004,"MPS",'Estimates'!$C$5:$C$2004,'Status'!$E$5))))</x:f>
      </x:c>
      <x:c r="D157" s="14" t="str">
        <x:f>IF(OR(COUNTA($A157)=0,'Status'!$F$5=""),"",IF(COUNTIFS('Estimates'!$A$5:$A$2004,$A157,'Estimates'!$B$5:$B$2004,"MPS",'Estimates'!$C$5:$C$2004,'Status'!$F$5)=0,"",IF(COUNTIFS('Estimates'!$A$5:$A$2004,$A157,'Estimates'!$B$5:$B$2004,"MPS",'Estimates'!$C$5:$C$2004,'Status'!$F$5)&gt;1,"DUP",SUMIFS('Estimates'!$F$5:$F$2004,'Estimates'!$A$5:$A$2004,$A157,'Estimates'!$B$5:$B$2004,"MPS",'Estimates'!$C$5:$C$2004,'Status'!$F$5))))</x:f>
      </x:c>
      <x:c r="E157" s="14" t="str">
        <x:f>IF(OR(COUNTA($A157)=0,'Status'!$G$5=""),"",IF(COUNTIFS('Estimates'!$A$5:$A$2004,$A157,'Estimates'!$B$5:$B$2004,"MPS",'Estimates'!$C$5:$C$2004,'Status'!$G$5)=0,"",IF(COUNTIFS('Estimates'!$A$5:$A$2004,$A157,'Estimates'!$B$5:$B$2004,"MPS",'Estimates'!$C$5:$C$2004,'Status'!$G$5)&gt;1,"DUP",SUMIFS('Estimates'!$F$5:$F$2004,'Estimates'!$A$5:$A$2004,$A157,'Estimates'!$B$5:$B$2004,"MPS",'Estimates'!$C$5:$C$2004,'Status'!$G$5))))</x:f>
      </x:c>
      <x:c r="F157" s="14" t="str">
        <x:f>IF(COUNT(C157:E157)&lt;2,"",_xlfn.STDEV.S(C157:E157))</x:f>
      </x:c>
      <x:c r="G157" s="14" t="str">
        <x:f>IF(AND(ISNUMBER(D157),ISNUMBER(E157)),ABS(E157-D157),"")</x:f>
      </x:c>
      <x:c r="H157" s="15" t="str">
        <x:f>IF(AND(ISNUMBER(D157),ISNUMBER(E157)),IF(D157=0,"n.a.",ABS(E157-D157)/ABS(D157)),"")</x:f>
      </x:c>
      <x:c r="I157" s="2" t="str">
        <x:f>IF(COUNTA(A157)=0,"",IF(NOT(ISNUMBER('Status'!$B$6)),"Set tolerance",IF(COUNT(C157:E157)&lt;3,"Need 3 levels",IF(OR(C157=0,D157=0),"Use abs. Δ",IF(AND(ABS(D157-C157)/ABS(C157)&lt;='Status'!$B$6,H157&lt;='Status'!$B$6),"Yes","No")))))</x:f>
      </x:c>
      <x:c r="J157" s="14" t="str">
        <x:f>IF(OR(COUNTA($A157)=0,'Status'!$E$6=""),"",IF(COUNTIFS('Estimates'!$A$5:$A$2004,$A157,'Estimates'!$B$5:$B$2004,"PPS",'Estimates'!$D$5:$D$2004,'Status'!$E$6,'Estimates'!$E$5:$E$2004,'Status'!$E$7)=0,"",IF(COUNTIFS('Estimates'!$A$5:$A$2004,$A157,'Estimates'!$B$5:$B$2004,"PPS",'Estimates'!$D$5:$D$2004,'Status'!$E$6,'Estimates'!$E$5:$E$2004,'Status'!$E$7)&gt;1,"DUP",SUMIFS('Estimates'!$F$5:$F$2004,'Estimates'!$A$5:$A$2004,$A157,'Estimates'!$B$5:$B$2004,"PPS",'Estimates'!$D$5:$D$2004,'Status'!$E$6,'Estimates'!$E$5:$E$2004,'Status'!$E$7))))</x:f>
      </x:c>
      <x:c r="K157" s="14" t="str">
        <x:f>IF(OR(COUNTA($A157)=0,'Status'!$F$6=""),"",IF(COUNTIFS('Estimates'!$A$5:$A$2004,$A157,'Estimates'!$B$5:$B$2004,"PPS",'Estimates'!$D$5:$D$2004,'Status'!$F$6,'Estimates'!$E$5:$E$2004,'Status'!$E$7)=0,"",IF(COUNTIFS('Estimates'!$A$5:$A$2004,$A157,'Estimates'!$B$5:$B$2004,"PPS",'Estimates'!$D$5:$D$2004,'Status'!$F$6,'Estimates'!$E$5:$E$2004,'Status'!$E$7)&gt;1,"DUP",SUMIFS('Estimates'!$F$5:$F$2004,'Estimates'!$A$5:$A$2004,$A157,'Estimates'!$B$5:$B$2004,"PPS",'Estimates'!$D$5:$D$2004,'Status'!$F$6,'Estimates'!$E$5:$E$2004,'Status'!$E$7))))</x:f>
      </x:c>
      <x:c r="L157" s="14" t="str">
        <x:f>IF(OR(COUNTA($A157)=0,'Status'!$G$6=""),"",IF(COUNTIFS('Estimates'!$A$5:$A$2004,$A157,'Estimates'!$B$5:$B$2004,"PPS",'Estimates'!$D$5:$D$2004,'Status'!$G$6,'Estimates'!$E$5:$E$2004,'Status'!$E$7)=0,"",IF(COUNTIFS('Estimates'!$A$5:$A$2004,$A157,'Estimates'!$B$5:$B$2004,"PPS",'Estimates'!$D$5:$D$2004,'Status'!$G$6,'Estimates'!$E$5:$E$2004,'Status'!$E$7)&gt;1,"DUP",SUMIFS('Estimates'!$F$5:$F$2004,'Estimates'!$A$5:$A$2004,$A157,'Estimates'!$B$5:$B$2004,"PPS",'Estimates'!$D$5:$D$2004,'Status'!$G$6,'Estimates'!$E$5:$E$2004,'Status'!$E$7))))</x:f>
      </x:c>
      <x:c r="M157" s="14" t="str">
        <x:f>IF(COUNT(J157:L157)&lt;2,"",_xlfn.STDEV.S(J157:L157))</x:f>
      </x:c>
      <x:c r="N157" s="14" t="str">
        <x:f>IF(AND(ISNUMBER(K157),ISNUMBER(L157)),ABS(L157-K157),"")</x:f>
      </x:c>
      <x:c r="O157" s="15" t="str">
        <x:f>IF(AND(ISNUMBER(K157),ISNUMBER(L157)),IF(K157=0,"n.a.",ABS(L157-K157)/ABS(K157)),"")</x:f>
      </x:c>
      <x:c r="P157" s="2" t="str">
        <x:f>IF(COUNTA(A157)=0,"",IF(NOT(ISNUMBER('Status'!$B$6)),"Set tolerance",IF(COUNT(J157:L157)&lt;3,"Need 3 levels",IF(OR(J157=0,K157=0),"Use abs. Δ",IF(AND(ABS(K157-J157)/ABS(J157)&lt;='Status'!$B$6,O157&lt;='Status'!$B$6),"Yes","No")))))</x:f>
      </x:c>
      <x:c r="Q157" s="14" t="str">
        <x:f>IF(AND(ISNUMBER(E157),ISNUMBER(L157)),ABS(E157-L157),"")</x:f>
      </x:c>
      <x:c r="R157" s="2" t="str">
        <x:f>IF(COUNTA(A157)=0,"",IF(COUNT(C157:E157,J157:L157)&gt;0,1,0))</x:f>
      </x:c>
      <x:c r="S157" s="2" t="str">
        <x:f>IF(COUNTA(A157)=0,"",IF(COUNTIFS($A$6:$A$165,A157)&gt;1,"Duplicate target",""))</x:f>
      </x:c>
    </x:row>
    <x:row r="158">
      <x:c r="A158" s="6"/>
      <x:c r="B158" s="20"/>
      <x:c r="C158" s="14" t="str">
        <x:f>IF(OR(COUNTA($A158)=0,'Status'!$E$5=""),"",IF(COUNTIFS('Estimates'!$A$5:$A$2004,$A158,'Estimates'!$B$5:$B$2004,"MPS",'Estimates'!$C$5:$C$2004,'Status'!$E$5)=0,"",IF(COUNTIFS('Estimates'!$A$5:$A$2004,$A158,'Estimates'!$B$5:$B$2004,"MPS",'Estimates'!$C$5:$C$2004,'Status'!$E$5)&gt;1,"DUP",SUMIFS('Estimates'!$F$5:$F$2004,'Estimates'!$A$5:$A$2004,$A158,'Estimates'!$B$5:$B$2004,"MPS",'Estimates'!$C$5:$C$2004,'Status'!$E$5))))</x:f>
      </x:c>
      <x:c r="D158" s="14" t="str">
        <x:f>IF(OR(COUNTA($A158)=0,'Status'!$F$5=""),"",IF(COUNTIFS('Estimates'!$A$5:$A$2004,$A158,'Estimates'!$B$5:$B$2004,"MPS",'Estimates'!$C$5:$C$2004,'Status'!$F$5)=0,"",IF(COUNTIFS('Estimates'!$A$5:$A$2004,$A158,'Estimates'!$B$5:$B$2004,"MPS",'Estimates'!$C$5:$C$2004,'Status'!$F$5)&gt;1,"DUP",SUMIFS('Estimates'!$F$5:$F$2004,'Estimates'!$A$5:$A$2004,$A158,'Estimates'!$B$5:$B$2004,"MPS",'Estimates'!$C$5:$C$2004,'Status'!$F$5))))</x:f>
      </x:c>
      <x:c r="E158" s="14" t="str">
        <x:f>IF(OR(COUNTA($A158)=0,'Status'!$G$5=""),"",IF(COUNTIFS('Estimates'!$A$5:$A$2004,$A158,'Estimates'!$B$5:$B$2004,"MPS",'Estimates'!$C$5:$C$2004,'Status'!$G$5)=0,"",IF(COUNTIFS('Estimates'!$A$5:$A$2004,$A158,'Estimates'!$B$5:$B$2004,"MPS",'Estimates'!$C$5:$C$2004,'Status'!$G$5)&gt;1,"DUP",SUMIFS('Estimates'!$F$5:$F$2004,'Estimates'!$A$5:$A$2004,$A158,'Estimates'!$B$5:$B$2004,"MPS",'Estimates'!$C$5:$C$2004,'Status'!$G$5))))</x:f>
      </x:c>
      <x:c r="F158" s="14" t="str">
        <x:f>IF(COUNT(C158:E158)&lt;2,"",_xlfn.STDEV.S(C158:E158))</x:f>
      </x:c>
      <x:c r="G158" s="14" t="str">
        <x:f>IF(AND(ISNUMBER(D158),ISNUMBER(E158)),ABS(E158-D158),"")</x:f>
      </x:c>
      <x:c r="H158" s="15" t="str">
        <x:f>IF(AND(ISNUMBER(D158),ISNUMBER(E158)),IF(D158=0,"n.a.",ABS(E158-D158)/ABS(D158)),"")</x:f>
      </x:c>
      <x:c r="I158" s="2" t="str">
        <x:f>IF(COUNTA(A158)=0,"",IF(NOT(ISNUMBER('Status'!$B$6)),"Set tolerance",IF(COUNT(C158:E158)&lt;3,"Need 3 levels",IF(OR(C158=0,D158=0),"Use abs. Δ",IF(AND(ABS(D158-C158)/ABS(C158)&lt;='Status'!$B$6,H158&lt;='Status'!$B$6),"Yes","No")))))</x:f>
      </x:c>
      <x:c r="J158" s="14" t="str">
        <x:f>IF(OR(COUNTA($A158)=0,'Status'!$E$6=""),"",IF(COUNTIFS('Estimates'!$A$5:$A$2004,$A158,'Estimates'!$B$5:$B$2004,"PPS",'Estimates'!$D$5:$D$2004,'Status'!$E$6,'Estimates'!$E$5:$E$2004,'Status'!$E$7)=0,"",IF(COUNTIFS('Estimates'!$A$5:$A$2004,$A158,'Estimates'!$B$5:$B$2004,"PPS",'Estimates'!$D$5:$D$2004,'Status'!$E$6,'Estimates'!$E$5:$E$2004,'Status'!$E$7)&gt;1,"DUP",SUMIFS('Estimates'!$F$5:$F$2004,'Estimates'!$A$5:$A$2004,$A158,'Estimates'!$B$5:$B$2004,"PPS",'Estimates'!$D$5:$D$2004,'Status'!$E$6,'Estimates'!$E$5:$E$2004,'Status'!$E$7))))</x:f>
      </x:c>
      <x:c r="K158" s="14" t="str">
        <x:f>IF(OR(COUNTA($A158)=0,'Status'!$F$6=""),"",IF(COUNTIFS('Estimates'!$A$5:$A$2004,$A158,'Estimates'!$B$5:$B$2004,"PPS",'Estimates'!$D$5:$D$2004,'Status'!$F$6,'Estimates'!$E$5:$E$2004,'Status'!$E$7)=0,"",IF(COUNTIFS('Estimates'!$A$5:$A$2004,$A158,'Estimates'!$B$5:$B$2004,"PPS",'Estimates'!$D$5:$D$2004,'Status'!$F$6,'Estimates'!$E$5:$E$2004,'Status'!$E$7)&gt;1,"DUP",SUMIFS('Estimates'!$F$5:$F$2004,'Estimates'!$A$5:$A$2004,$A158,'Estimates'!$B$5:$B$2004,"PPS",'Estimates'!$D$5:$D$2004,'Status'!$F$6,'Estimates'!$E$5:$E$2004,'Status'!$E$7))))</x:f>
      </x:c>
      <x:c r="L158" s="14" t="str">
        <x:f>IF(OR(COUNTA($A158)=0,'Status'!$G$6=""),"",IF(COUNTIFS('Estimates'!$A$5:$A$2004,$A158,'Estimates'!$B$5:$B$2004,"PPS",'Estimates'!$D$5:$D$2004,'Status'!$G$6,'Estimates'!$E$5:$E$2004,'Status'!$E$7)=0,"",IF(COUNTIFS('Estimates'!$A$5:$A$2004,$A158,'Estimates'!$B$5:$B$2004,"PPS",'Estimates'!$D$5:$D$2004,'Status'!$G$6,'Estimates'!$E$5:$E$2004,'Status'!$E$7)&gt;1,"DUP",SUMIFS('Estimates'!$F$5:$F$2004,'Estimates'!$A$5:$A$2004,$A158,'Estimates'!$B$5:$B$2004,"PPS",'Estimates'!$D$5:$D$2004,'Status'!$G$6,'Estimates'!$E$5:$E$2004,'Status'!$E$7))))</x:f>
      </x:c>
      <x:c r="M158" s="14" t="str">
        <x:f>IF(COUNT(J158:L158)&lt;2,"",_xlfn.STDEV.S(J158:L158))</x:f>
      </x:c>
      <x:c r="N158" s="14" t="str">
        <x:f>IF(AND(ISNUMBER(K158),ISNUMBER(L158)),ABS(L158-K158),"")</x:f>
      </x:c>
      <x:c r="O158" s="15" t="str">
        <x:f>IF(AND(ISNUMBER(K158),ISNUMBER(L158)),IF(K158=0,"n.a.",ABS(L158-K158)/ABS(K158)),"")</x:f>
      </x:c>
      <x:c r="P158" s="2" t="str">
        <x:f>IF(COUNTA(A158)=0,"",IF(NOT(ISNUMBER('Status'!$B$6)),"Set tolerance",IF(COUNT(J158:L158)&lt;3,"Need 3 levels",IF(OR(J158=0,K158=0),"Use abs. Δ",IF(AND(ABS(K158-J158)/ABS(J158)&lt;='Status'!$B$6,O158&lt;='Status'!$B$6),"Yes","No")))))</x:f>
      </x:c>
      <x:c r="Q158" s="14" t="str">
        <x:f>IF(AND(ISNUMBER(E158),ISNUMBER(L158)),ABS(E158-L158),"")</x:f>
      </x:c>
      <x:c r="R158" s="2" t="str">
        <x:f>IF(COUNTA(A158)=0,"",IF(COUNT(C158:E158,J158:L158)&gt;0,1,0))</x:f>
      </x:c>
      <x:c r="S158" s="2" t="str">
        <x:f>IF(COUNTA(A158)=0,"",IF(COUNTIFS($A$6:$A$165,A158)&gt;1,"Duplicate target",""))</x:f>
      </x:c>
    </x:row>
    <x:row r="159">
      <x:c r="A159" s="6"/>
      <x:c r="B159" s="20"/>
      <x:c r="C159" s="14" t="str">
        <x:f>IF(OR(COUNTA($A159)=0,'Status'!$E$5=""),"",IF(COUNTIFS('Estimates'!$A$5:$A$2004,$A159,'Estimates'!$B$5:$B$2004,"MPS",'Estimates'!$C$5:$C$2004,'Status'!$E$5)=0,"",IF(COUNTIFS('Estimates'!$A$5:$A$2004,$A159,'Estimates'!$B$5:$B$2004,"MPS",'Estimates'!$C$5:$C$2004,'Status'!$E$5)&gt;1,"DUP",SUMIFS('Estimates'!$F$5:$F$2004,'Estimates'!$A$5:$A$2004,$A159,'Estimates'!$B$5:$B$2004,"MPS",'Estimates'!$C$5:$C$2004,'Status'!$E$5))))</x:f>
      </x:c>
      <x:c r="D159" s="14" t="str">
        <x:f>IF(OR(COUNTA($A159)=0,'Status'!$F$5=""),"",IF(COUNTIFS('Estimates'!$A$5:$A$2004,$A159,'Estimates'!$B$5:$B$2004,"MPS",'Estimates'!$C$5:$C$2004,'Status'!$F$5)=0,"",IF(COUNTIFS('Estimates'!$A$5:$A$2004,$A159,'Estimates'!$B$5:$B$2004,"MPS",'Estimates'!$C$5:$C$2004,'Status'!$F$5)&gt;1,"DUP",SUMIFS('Estimates'!$F$5:$F$2004,'Estimates'!$A$5:$A$2004,$A159,'Estimates'!$B$5:$B$2004,"MPS",'Estimates'!$C$5:$C$2004,'Status'!$F$5))))</x:f>
      </x:c>
      <x:c r="E159" s="14" t="str">
        <x:f>IF(OR(COUNTA($A159)=0,'Status'!$G$5=""),"",IF(COUNTIFS('Estimates'!$A$5:$A$2004,$A159,'Estimates'!$B$5:$B$2004,"MPS",'Estimates'!$C$5:$C$2004,'Status'!$G$5)=0,"",IF(COUNTIFS('Estimates'!$A$5:$A$2004,$A159,'Estimates'!$B$5:$B$2004,"MPS",'Estimates'!$C$5:$C$2004,'Status'!$G$5)&gt;1,"DUP",SUMIFS('Estimates'!$F$5:$F$2004,'Estimates'!$A$5:$A$2004,$A159,'Estimates'!$B$5:$B$2004,"MPS",'Estimates'!$C$5:$C$2004,'Status'!$G$5))))</x:f>
      </x:c>
      <x:c r="F159" s="14" t="str">
        <x:f>IF(COUNT(C159:E159)&lt;2,"",_xlfn.STDEV.S(C159:E159))</x:f>
      </x:c>
      <x:c r="G159" s="14" t="str">
        <x:f>IF(AND(ISNUMBER(D159),ISNUMBER(E159)),ABS(E159-D159),"")</x:f>
      </x:c>
      <x:c r="H159" s="15" t="str">
        <x:f>IF(AND(ISNUMBER(D159),ISNUMBER(E159)),IF(D159=0,"n.a.",ABS(E159-D159)/ABS(D159)),"")</x:f>
      </x:c>
      <x:c r="I159" s="2" t="str">
        <x:f>IF(COUNTA(A159)=0,"",IF(NOT(ISNUMBER('Status'!$B$6)),"Set tolerance",IF(COUNT(C159:E159)&lt;3,"Need 3 levels",IF(OR(C159=0,D159=0),"Use abs. Δ",IF(AND(ABS(D159-C159)/ABS(C159)&lt;='Status'!$B$6,H159&lt;='Status'!$B$6),"Yes","No")))))</x:f>
      </x:c>
      <x:c r="J159" s="14" t="str">
        <x:f>IF(OR(COUNTA($A159)=0,'Status'!$E$6=""),"",IF(COUNTIFS('Estimates'!$A$5:$A$2004,$A159,'Estimates'!$B$5:$B$2004,"PPS",'Estimates'!$D$5:$D$2004,'Status'!$E$6,'Estimates'!$E$5:$E$2004,'Status'!$E$7)=0,"",IF(COUNTIFS('Estimates'!$A$5:$A$2004,$A159,'Estimates'!$B$5:$B$2004,"PPS",'Estimates'!$D$5:$D$2004,'Status'!$E$6,'Estimates'!$E$5:$E$2004,'Status'!$E$7)&gt;1,"DUP",SUMIFS('Estimates'!$F$5:$F$2004,'Estimates'!$A$5:$A$2004,$A159,'Estimates'!$B$5:$B$2004,"PPS",'Estimates'!$D$5:$D$2004,'Status'!$E$6,'Estimates'!$E$5:$E$2004,'Status'!$E$7))))</x:f>
      </x:c>
      <x:c r="K159" s="14" t="str">
        <x:f>IF(OR(COUNTA($A159)=0,'Status'!$F$6=""),"",IF(COUNTIFS('Estimates'!$A$5:$A$2004,$A159,'Estimates'!$B$5:$B$2004,"PPS",'Estimates'!$D$5:$D$2004,'Status'!$F$6,'Estimates'!$E$5:$E$2004,'Status'!$E$7)=0,"",IF(COUNTIFS('Estimates'!$A$5:$A$2004,$A159,'Estimates'!$B$5:$B$2004,"PPS",'Estimates'!$D$5:$D$2004,'Status'!$F$6,'Estimates'!$E$5:$E$2004,'Status'!$E$7)&gt;1,"DUP",SUMIFS('Estimates'!$F$5:$F$2004,'Estimates'!$A$5:$A$2004,$A159,'Estimates'!$B$5:$B$2004,"PPS",'Estimates'!$D$5:$D$2004,'Status'!$F$6,'Estimates'!$E$5:$E$2004,'Status'!$E$7))))</x:f>
      </x:c>
      <x:c r="L159" s="14" t="str">
        <x:f>IF(OR(COUNTA($A159)=0,'Status'!$G$6=""),"",IF(COUNTIFS('Estimates'!$A$5:$A$2004,$A159,'Estimates'!$B$5:$B$2004,"PPS",'Estimates'!$D$5:$D$2004,'Status'!$G$6,'Estimates'!$E$5:$E$2004,'Status'!$E$7)=0,"",IF(COUNTIFS('Estimates'!$A$5:$A$2004,$A159,'Estimates'!$B$5:$B$2004,"PPS",'Estimates'!$D$5:$D$2004,'Status'!$G$6,'Estimates'!$E$5:$E$2004,'Status'!$E$7)&gt;1,"DUP",SUMIFS('Estimates'!$F$5:$F$2004,'Estimates'!$A$5:$A$2004,$A159,'Estimates'!$B$5:$B$2004,"PPS",'Estimates'!$D$5:$D$2004,'Status'!$G$6,'Estimates'!$E$5:$E$2004,'Status'!$E$7))))</x:f>
      </x:c>
      <x:c r="M159" s="14" t="str">
        <x:f>IF(COUNT(J159:L159)&lt;2,"",_xlfn.STDEV.S(J159:L159))</x:f>
      </x:c>
      <x:c r="N159" s="14" t="str">
        <x:f>IF(AND(ISNUMBER(K159),ISNUMBER(L159)),ABS(L159-K159),"")</x:f>
      </x:c>
      <x:c r="O159" s="15" t="str">
        <x:f>IF(AND(ISNUMBER(K159),ISNUMBER(L159)),IF(K159=0,"n.a.",ABS(L159-K159)/ABS(K159)),"")</x:f>
      </x:c>
      <x:c r="P159" s="2" t="str">
        <x:f>IF(COUNTA(A159)=0,"",IF(NOT(ISNUMBER('Status'!$B$6)),"Set tolerance",IF(COUNT(J159:L159)&lt;3,"Need 3 levels",IF(OR(J159=0,K159=0),"Use abs. Δ",IF(AND(ABS(K159-J159)/ABS(J159)&lt;='Status'!$B$6,O159&lt;='Status'!$B$6),"Yes","No")))))</x:f>
      </x:c>
      <x:c r="Q159" s="14" t="str">
        <x:f>IF(AND(ISNUMBER(E159),ISNUMBER(L159)),ABS(E159-L159),"")</x:f>
      </x:c>
      <x:c r="R159" s="2" t="str">
        <x:f>IF(COUNTA(A159)=0,"",IF(COUNT(C159:E159,J159:L159)&gt;0,1,0))</x:f>
      </x:c>
      <x:c r="S159" s="2" t="str">
        <x:f>IF(COUNTA(A159)=0,"",IF(COUNTIFS($A$6:$A$165,A159)&gt;1,"Duplicate target",""))</x:f>
      </x:c>
    </x:row>
    <x:row r="160">
      <x:c r="A160" s="6"/>
      <x:c r="B160" s="20"/>
      <x:c r="C160" s="14" t="str">
        <x:f>IF(OR(COUNTA($A160)=0,'Status'!$E$5=""),"",IF(COUNTIFS('Estimates'!$A$5:$A$2004,$A160,'Estimates'!$B$5:$B$2004,"MPS",'Estimates'!$C$5:$C$2004,'Status'!$E$5)=0,"",IF(COUNTIFS('Estimates'!$A$5:$A$2004,$A160,'Estimates'!$B$5:$B$2004,"MPS",'Estimates'!$C$5:$C$2004,'Status'!$E$5)&gt;1,"DUP",SUMIFS('Estimates'!$F$5:$F$2004,'Estimates'!$A$5:$A$2004,$A160,'Estimates'!$B$5:$B$2004,"MPS",'Estimates'!$C$5:$C$2004,'Status'!$E$5))))</x:f>
      </x:c>
      <x:c r="D160" s="14" t="str">
        <x:f>IF(OR(COUNTA($A160)=0,'Status'!$F$5=""),"",IF(COUNTIFS('Estimates'!$A$5:$A$2004,$A160,'Estimates'!$B$5:$B$2004,"MPS",'Estimates'!$C$5:$C$2004,'Status'!$F$5)=0,"",IF(COUNTIFS('Estimates'!$A$5:$A$2004,$A160,'Estimates'!$B$5:$B$2004,"MPS",'Estimates'!$C$5:$C$2004,'Status'!$F$5)&gt;1,"DUP",SUMIFS('Estimates'!$F$5:$F$2004,'Estimates'!$A$5:$A$2004,$A160,'Estimates'!$B$5:$B$2004,"MPS",'Estimates'!$C$5:$C$2004,'Status'!$F$5))))</x:f>
      </x:c>
      <x:c r="E160" s="14" t="str">
        <x:f>IF(OR(COUNTA($A160)=0,'Status'!$G$5=""),"",IF(COUNTIFS('Estimates'!$A$5:$A$2004,$A160,'Estimates'!$B$5:$B$2004,"MPS",'Estimates'!$C$5:$C$2004,'Status'!$G$5)=0,"",IF(COUNTIFS('Estimates'!$A$5:$A$2004,$A160,'Estimates'!$B$5:$B$2004,"MPS",'Estimates'!$C$5:$C$2004,'Status'!$G$5)&gt;1,"DUP",SUMIFS('Estimates'!$F$5:$F$2004,'Estimates'!$A$5:$A$2004,$A160,'Estimates'!$B$5:$B$2004,"MPS",'Estimates'!$C$5:$C$2004,'Status'!$G$5))))</x:f>
      </x:c>
      <x:c r="F160" s="14" t="str">
        <x:f>IF(COUNT(C160:E160)&lt;2,"",_xlfn.STDEV.S(C160:E160))</x:f>
      </x:c>
      <x:c r="G160" s="14" t="str">
        <x:f>IF(AND(ISNUMBER(D160),ISNUMBER(E160)),ABS(E160-D160),"")</x:f>
      </x:c>
      <x:c r="H160" s="15" t="str">
        <x:f>IF(AND(ISNUMBER(D160),ISNUMBER(E160)),IF(D160=0,"n.a.",ABS(E160-D160)/ABS(D160)),"")</x:f>
      </x:c>
      <x:c r="I160" s="2" t="str">
        <x:f>IF(COUNTA(A160)=0,"",IF(NOT(ISNUMBER('Status'!$B$6)),"Set tolerance",IF(COUNT(C160:E160)&lt;3,"Need 3 levels",IF(OR(C160=0,D160=0),"Use abs. Δ",IF(AND(ABS(D160-C160)/ABS(C160)&lt;='Status'!$B$6,H160&lt;='Status'!$B$6),"Yes","No")))))</x:f>
      </x:c>
      <x:c r="J160" s="14" t="str">
        <x:f>IF(OR(COUNTA($A160)=0,'Status'!$E$6=""),"",IF(COUNTIFS('Estimates'!$A$5:$A$2004,$A160,'Estimates'!$B$5:$B$2004,"PPS",'Estimates'!$D$5:$D$2004,'Status'!$E$6,'Estimates'!$E$5:$E$2004,'Status'!$E$7)=0,"",IF(COUNTIFS('Estimates'!$A$5:$A$2004,$A160,'Estimates'!$B$5:$B$2004,"PPS",'Estimates'!$D$5:$D$2004,'Status'!$E$6,'Estimates'!$E$5:$E$2004,'Status'!$E$7)&gt;1,"DUP",SUMIFS('Estimates'!$F$5:$F$2004,'Estimates'!$A$5:$A$2004,$A160,'Estimates'!$B$5:$B$2004,"PPS",'Estimates'!$D$5:$D$2004,'Status'!$E$6,'Estimates'!$E$5:$E$2004,'Status'!$E$7))))</x:f>
      </x:c>
      <x:c r="K160" s="14" t="str">
        <x:f>IF(OR(COUNTA($A160)=0,'Status'!$F$6=""),"",IF(COUNTIFS('Estimates'!$A$5:$A$2004,$A160,'Estimates'!$B$5:$B$2004,"PPS",'Estimates'!$D$5:$D$2004,'Status'!$F$6,'Estimates'!$E$5:$E$2004,'Status'!$E$7)=0,"",IF(COUNTIFS('Estimates'!$A$5:$A$2004,$A160,'Estimates'!$B$5:$B$2004,"PPS",'Estimates'!$D$5:$D$2004,'Status'!$F$6,'Estimates'!$E$5:$E$2004,'Status'!$E$7)&gt;1,"DUP",SUMIFS('Estimates'!$F$5:$F$2004,'Estimates'!$A$5:$A$2004,$A160,'Estimates'!$B$5:$B$2004,"PPS",'Estimates'!$D$5:$D$2004,'Status'!$F$6,'Estimates'!$E$5:$E$2004,'Status'!$E$7))))</x:f>
      </x:c>
      <x:c r="L160" s="14" t="str">
        <x:f>IF(OR(COUNTA($A160)=0,'Status'!$G$6=""),"",IF(COUNTIFS('Estimates'!$A$5:$A$2004,$A160,'Estimates'!$B$5:$B$2004,"PPS",'Estimates'!$D$5:$D$2004,'Status'!$G$6,'Estimates'!$E$5:$E$2004,'Status'!$E$7)=0,"",IF(COUNTIFS('Estimates'!$A$5:$A$2004,$A160,'Estimates'!$B$5:$B$2004,"PPS",'Estimates'!$D$5:$D$2004,'Status'!$G$6,'Estimates'!$E$5:$E$2004,'Status'!$E$7)&gt;1,"DUP",SUMIFS('Estimates'!$F$5:$F$2004,'Estimates'!$A$5:$A$2004,$A160,'Estimates'!$B$5:$B$2004,"PPS",'Estimates'!$D$5:$D$2004,'Status'!$G$6,'Estimates'!$E$5:$E$2004,'Status'!$E$7))))</x:f>
      </x:c>
      <x:c r="M160" s="14" t="str">
        <x:f>IF(COUNT(J160:L160)&lt;2,"",_xlfn.STDEV.S(J160:L160))</x:f>
      </x:c>
      <x:c r="N160" s="14" t="str">
        <x:f>IF(AND(ISNUMBER(K160),ISNUMBER(L160)),ABS(L160-K160),"")</x:f>
      </x:c>
      <x:c r="O160" s="15" t="str">
        <x:f>IF(AND(ISNUMBER(K160),ISNUMBER(L160)),IF(K160=0,"n.a.",ABS(L160-K160)/ABS(K160)),"")</x:f>
      </x:c>
      <x:c r="P160" s="2" t="str">
        <x:f>IF(COUNTA(A160)=0,"",IF(NOT(ISNUMBER('Status'!$B$6)),"Set tolerance",IF(COUNT(J160:L160)&lt;3,"Need 3 levels",IF(OR(J160=0,K160=0),"Use abs. Δ",IF(AND(ABS(K160-J160)/ABS(J160)&lt;='Status'!$B$6,O160&lt;='Status'!$B$6),"Yes","No")))))</x:f>
      </x:c>
      <x:c r="Q160" s="14" t="str">
        <x:f>IF(AND(ISNUMBER(E160),ISNUMBER(L160)),ABS(E160-L160),"")</x:f>
      </x:c>
      <x:c r="R160" s="2" t="str">
        <x:f>IF(COUNTA(A160)=0,"",IF(COUNT(C160:E160,J160:L160)&gt;0,1,0))</x:f>
      </x:c>
      <x:c r="S160" s="2" t="str">
        <x:f>IF(COUNTA(A160)=0,"",IF(COUNTIFS($A$6:$A$165,A160)&gt;1,"Duplicate target",""))</x:f>
      </x:c>
    </x:row>
    <x:row r="161">
      <x:c r="A161" s="6"/>
      <x:c r="B161" s="20"/>
      <x:c r="C161" s="14" t="str">
        <x:f>IF(OR(COUNTA($A161)=0,'Status'!$E$5=""),"",IF(COUNTIFS('Estimates'!$A$5:$A$2004,$A161,'Estimates'!$B$5:$B$2004,"MPS",'Estimates'!$C$5:$C$2004,'Status'!$E$5)=0,"",IF(COUNTIFS('Estimates'!$A$5:$A$2004,$A161,'Estimates'!$B$5:$B$2004,"MPS",'Estimates'!$C$5:$C$2004,'Status'!$E$5)&gt;1,"DUP",SUMIFS('Estimates'!$F$5:$F$2004,'Estimates'!$A$5:$A$2004,$A161,'Estimates'!$B$5:$B$2004,"MPS",'Estimates'!$C$5:$C$2004,'Status'!$E$5))))</x:f>
      </x:c>
      <x:c r="D161" s="14" t="str">
        <x:f>IF(OR(COUNTA($A161)=0,'Status'!$F$5=""),"",IF(COUNTIFS('Estimates'!$A$5:$A$2004,$A161,'Estimates'!$B$5:$B$2004,"MPS",'Estimates'!$C$5:$C$2004,'Status'!$F$5)=0,"",IF(COUNTIFS('Estimates'!$A$5:$A$2004,$A161,'Estimates'!$B$5:$B$2004,"MPS",'Estimates'!$C$5:$C$2004,'Status'!$F$5)&gt;1,"DUP",SUMIFS('Estimates'!$F$5:$F$2004,'Estimates'!$A$5:$A$2004,$A161,'Estimates'!$B$5:$B$2004,"MPS",'Estimates'!$C$5:$C$2004,'Status'!$F$5))))</x:f>
      </x:c>
      <x:c r="E161" s="14" t="str">
        <x:f>IF(OR(COUNTA($A161)=0,'Status'!$G$5=""),"",IF(COUNTIFS('Estimates'!$A$5:$A$2004,$A161,'Estimates'!$B$5:$B$2004,"MPS",'Estimates'!$C$5:$C$2004,'Status'!$G$5)=0,"",IF(COUNTIFS('Estimates'!$A$5:$A$2004,$A161,'Estimates'!$B$5:$B$2004,"MPS",'Estimates'!$C$5:$C$2004,'Status'!$G$5)&gt;1,"DUP",SUMIFS('Estimates'!$F$5:$F$2004,'Estimates'!$A$5:$A$2004,$A161,'Estimates'!$B$5:$B$2004,"MPS",'Estimates'!$C$5:$C$2004,'Status'!$G$5))))</x:f>
      </x:c>
      <x:c r="F161" s="14" t="str">
        <x:f>IF(COUNT(C161:E161)&lt;2,"",_xlfn.STDEV.S(C161:E161))</x:f>
      </x:c>
      <x:c r="G161" s="14" t="str">
        <x:f>IF(AND(ISNUMBER(D161),ISNUMBER(E161)),ABS(E161-D161),"")</x:f>
      </x:c>
      <x:c r="H161" s="15" t="str">
        <x:f>IF(AND(ISNUMBER(D161),ISNUMBER(E161)),IF(D161=0,"n.a.",ABS(E161-D161)/ABS(D161)),"")</x:f>
      </x:c>
      <x:c r="I161" s="2" t="str">
        <x:f>IF(COUNTA(A161)=0,"",IF(NOT(ISNUMBER('Status'!$B$6)),"Set tolerance",IF(COUNT(C161:E161)&lt;3,"Need 3 levels",IF(OR(C161=0,D161=0),"Use abs. Δ",IF(AND(ABS(D161-C161)/ABS(C161)&lt;='Status'!$B$6,H161&lt;='Status'!$B$6),"Yes","No")))))</x:f>
      </x:c>
      <x:c r="J161" s="14" t="str">
        <x:f>IF(OR(COUNTA($A161)=0,'Status'!$E$6=""),"",IF(COUNTIFS('Estimates'!$A$5:$A$2004,$A161,'Estimates'!$B$5:$B$2004,"PPS",'Estimates'!$D$5:$D$2004,'Status'!$E$6,'Estimates'!$E$5:$E$2004,'Status'!$E$7)=0,"",IF(COUNTIFS('Estimates'!$A$5:$A$2004,$A161,'Estimates'!$B$5:$B$2004,"PPS",'Estimates'!$D$5:$D$2004,'Status'!$E$6,'Estimates'!$E$5:$E$2004,'Status'!$E$7)&gt;1,"DUP",SUMIFS('Estimates'!$F$5:$F$2004,'Estimates'!$A$5:$A$2004,$A161,'Estimates'!$B$5:$B$2004,"PPS",'Estimates'!$D$5:$D$2004,'Status'!$E$6,'Estimates'!$E$5:$E$2004,'Status'!$E$7))))</x:f>
      </x:c>
      <x:c r="K161" s="14" t="str">
        <x:f>IF(OR(COUNTA($A161)=0,'Status'!$F$6=""),"",IF(COUNTIFS('Estimates'!$A$5:$A$2004,$A161,'Estimates'!$B$5:$B$2004,"PPS",'Estimates'!$D$5:$D$2004,'Status'!$F$6,'Estimates'!$E$5:$E$2004,'Status'!$E$7)=0,"",IF(COUNTIFS('Estimates'!$A$5:$A$2004,$A161,'Estimates'!$B$5:$B$2004,"PPS",'Estimates'!$D$5:$D$2004,'Status'!$F$6,'Estimates'!$E$5:$E$2004,'Status'!$E$7)&gt;1,"DUP",SUMIFS('Estimates'!$F$5:$F$2004,'Estimates'!$A$5:$A$2004,$A161,'Estimates'!$B$5:$B$2004,"PPS",'Estimates'!$D$5:$D$2004,'Status'!$F$6,'Estimates'!$E$5:$E$2004,'Status'!$E$7))))</x:f>
      </x:c>
      <x:c r="L161" s="14" t="str">
        <x:f>IF(OR(COUNTA($A161)=0,'Status'!$G$6=""),"",IF(COUNTIFS('Estimates'!$A$5:$A$2004,$A161,'Estimates'!$B$5:$B$2004,"PPS",'Estimates'!$D$5:$D$2004,'Status'!$G$6,'Estimates'!$E$5:$E$2004,'Status'!$E$7)=0,"",IF(COUNTIFS('Estimates'!$A$5:$A$2004,$A161,'Estimates'!$B$5:$B$2004,"PPS",'Estimates'!$D$5:$D$2004,'Status'!$G$6,'Estimates'!$E$5:$E$2004,'Status'!$E$7)&gt;1,"DUP",SUMIFS('Estimates'!$F$5:$F$2004,'Estimates'!$A$5:$A$2004,$A161,'Estimates'!$B$5:$B$2004,"PPS",'Estimates'!$D$5:$D$2004,'Status'!$G$6,'Estimates'!$E$5:$E$2004,'Status'!$E$7))))</x:f>
      </x:c>
      <x:c r="M161" s="14" t="str">
        <x:f>IF(COUNT(J161:L161)&lt;2,"",_xlfn.STDEV.S(J161:L161))</x:f>
      </x:c>
      <x:c r="N161" s="14" t="str">
        <x:f>IF(AND(ISNUMBER(K161),ISNUMBER(L161)),ABS(L161-K161),"")</x:f>
      </x:c>
      <x:c r="O161" s="15" t="str">
        <x:f>IF(AND(ISNUMBER(K161),ISNUMBER(L161)),IF(K161=0,"n.a.",ABS(L161-K161)/ABS(K161)),"")</x:f>
      </x:c>
      <x:c r="P161" s="2" t="str">
        <x:f>IF(COUNTA(A161)=0,"",IF(NOT(ISNUMBER('Status'!$B$6)),"Set tolerance",IF(COUNT(J161:L161)&lt;3,"Need 3 levels",IF(OR(J161=0,K161=0),"Use abs. Δ",IF(AND(ABS(K161-J161)/ABS(J161)&lt;='Status'!$B$6,O161&lt;='Status'!$B$6),"Yes","No")))))</x:f>
      </x:c>
      <x:c r="Q161" s="14" t="str">
        <x:f>IF(AND(ISNUMBER(E161),ISNUMBER(L161)),ABS(E161-L161),"")</x:f>
      </x:c>
      <x:c r="R161" s="2" t="str">
        <x:f>IF(COUNTA(A161)=0,"",IF(COUNT(C161:E161,J161:L161)&gt;0,1,0))</x:f>
      </x:c>
      <x:c r="S161" s="2" t="str">
        <x:f>IF(COUNTA(A161)=0,"",IF(COUNTIFS($A$6:$A$165,A161)&gt;1,"Duplicate target",""))</x:f>
      </x:c>
    </x:row>
    <x:row r="162">
      <x:c r="A162" s="6"/>
      <x:c r="B162" s="20"/>
      <x:c r="C162" s="14" t="str">
        <x:f>IF(OR(COUNTA($A162)=0,'Status'!$E$5=""),"",IF(COUNTIFS('Estimates'!$A$5:$A$2004,$A162,'Estimates'!$B$5:$B$2004,"MPS",'Estimates'!$C$5:$C$2004,'Status'!$E$5)=0,"",IF(COUNTIFS('Estimates'!$A$5:$A$2004,$A162,'Estimates'!$B$5:$B$2004,"MPS",'Estimates'!$C$5:$C$2004,'Status'!$E$5)&gt;1,"DUP",SUMIFS('Estimates'!$F$5:$F$2004,'Estimates'!$A$5:$A$2004,$A162,'Estimates'!$B$5:$B$2004,"MPS",'Estimates'!$C$5:$C$2004,'Status'!$E$5))))</x:f>
      </x:c>
      <x:c r="D162" s="14" t="str">
        <x:f>IF(OR(COUNTA($A162)=0,'Status'!$F$5=""),"",IF(COUNTIFS('Estimates'!$A$5:$A$2004,$A162,'Estimates'!$B$5:$B$2004,"MPS",'Estimates'!$C$5:$C$2004,'Status'!$F$5)=0,"",IF(COUNTIFS('Estimates'!$A$5:$A$2004,$A162,'Estimates'!$B$5:$B$2004,"MPS",'Estimates'!$C$5:$C$2004,'Status'!$F$5)&gt;1,"DUP",SUMIFS('Estimates'!$F$5:$F$2004,'Estimates'!$A$5:$A$2004,$A162,'Estimates'!$B$5:$B$2004,"MPS",'Estimates'!$C$5:$C$2004,'Status'!$F$5))))</x:f>
      </x:c>
      <x:c r="E162" s="14" t="str">
        <x:f>IF(OR(COUNTA($A162)=0,'Status'!$G$5=""),"",IF(COUNTIFS('Estimates'!$A$5:$A$2004,$A162,'Estimates'!$B$5:$B$2004,"MPS",'Estimates'!$C$5:$C$2004,'Status'!$G$5)=0,"",IF(COUNTIFS('Estimates'!$A$5:$A$2004,$A162,'Estimates'!$B$5:$B$2004,"MPS",'Estimates'!$C$5:$C$2004,'Status'!$G$5)&gt;1,"DUP",SUMIFS('Estimates'!$F$5:$F$2004,'Estimates'!$A$5:$A$2004,$A162,'Estimates'!$B$5:$B$2004,"MPS",'Estimates'!$C$5:$C$2004,'Status'!$G$5))))</x:f>
      </x:c>
      <x:c r="F162" s="14" t="str">
        <x:f>IF(COUNT(C162:E162)&lt;2,"",_xlfn.STDEV.S(C162:E162))</x:f>
      </x:c>
      <x:c r="G162" s="14" t="str">
        <x:f>IF(AND(ISNUMBER(D162),ISNUMBER(E162)),ABS(E162-D162),"")</x:f>
      </x:c>
      <x:c r="H162" s="15" t="str">
        <x:f>IF(AND(ISNUMBER(D162),ISNUMBER(E162)),IF(D162=0,"n.a.",ABS(E162-D162)/ABS(D162)),"")</x:f>
      </x:c>
      <x:c r="I162" s="2" t="str">
        <x:f>IF(COUNTA(A162)=0,"",IF(NOT(ISNUMBER('Status'!$B$6)),"Set tolerance",IF(COUNT(C162:E162)&lt;3,"Need 3 levels",IF(OR(C162=0,D162=0),"Use abs. Δ",IF(AND(ABS(D162-C162)/ABS(C162)&lt;='Status'!$B$6,H162&lt;='Status'!$B$6),"Yes","No")))))</x:f>
      </x:c>
      <x:c r="J162" s="14" t="str">
        <x:f>IF(OR(COUNTA($A162)=0,'Status'!$E$6=""),"",IF(COUNTIFS('Estimates'!$A$5:$A$2004,$A162,'Estimates'!$B$5:$B$2004,"PPS",'Estimates'!$D$5:$D$2004,'Status'!$E$6,'Estimates'!$E$5:$E$2004,'Status'!$E$7)=0,"",IF(COUNTIFS('Estimates'!$A$5:$A$2004,$A162,'Estimates'!$B$5:$B$2004,"PPS",'Estimates'!$D$5:$D$2004,'Status'!$E$6,'Estimates'!$E$5:$E$2004,'Status'!$E$7)&gt;1,"DUP",SUMIFS('Estimates'!$F$5:$F$2004,'Estimates'!$A$5:$A$2004,$A162,'Estimates'!$B$5:$B$2004,"PPS",'Estimates'!$D$5:$D$2004,'Status'!$E$6,'Estimates'!$E$5:$E$2004,'Status'!$E$7))))</x:f>
      </x:c>
      <x:c r="K162" s="14" t="str">
        <x:f>IF(OR(COUNTA($A162)=0,'Status'!$F$6=""),"",IF(COUNTIFS('Estimates'!$A$5:$A$2004,$A162,'Estimates'!$B$5:$B$2004,"PPS",'Estimates'!$D$5:$D$2004,'Status'!$F$6,'Estimates'!$E$5:$E$2004,'Status'!$E$7)=0,"",IF(COUNTIFS('Estimates'!$A$5:$A$2004,$A162,'Estimates'!$B$5:$B$2004,"PPS",'Estimates'!$D$5:$D$2004,'Status'!$F$6,'Estimates'!$E$5:$E$2004,'Status'!$E$7)&gt;1,"DUP",SUMIFS('Estimates'!$F$5:$F$2004,'Estimates'!$A$5:$A$2004,$A162,'Estimates'!$B$5:$B$2004,"PPS",'Estimates'!$D$5:$D$2004,'Status'!$F$6,'Estimates'!$E$5:$E$2004,'Status'!$E$7))))</x:f>
      </x:c>
      <x:c r="L162" s="14" t="str">
        <x:f>IF(OR(COUNTA($A162)=0,'Status'!$G$6=""),"",IF(COUNTIFS('Estimates'!$A$5:$A$2004,$A162,'Estimates'!$B$5:$B$2004,"PPS",'Estimates'!$D$5:$D$2004,'Status'!$G$6,'Estimates'!$E$5:$E$2004,'Status'!$E$7)=0,"",IF(COUNTIFS('Estimates'!$A$5:$A$2004,$A162,'Estimates'!$B$5:$B$2004,"PPS",'Estimates'!$D$5:$D$2004,'Status'!$G$6,'Estimates'!$E$5:$E$2004,'Status'!$E$7)&gt;1,"DUP",SUMIFS('Estimates'!$F$5:$F$2004,'Estimates'!$A$5:$A$2004,$A162,'Estimates'!$B$5:$B$2004,"PPS",'Estimates'!$D$5:$D$2004,'Status'!$G$6,'Estimates'!$E$5:$E$2004,'Status'!$E$7))))</x:f>
      </x:c>
      <x:c r="M162" s="14" t="str">
        <x:f>IF(COUNT(J162:L162)&lt;2,"",_xlfn.STDEV.S(J162:L162))</x:f>
      </x:c>
      <x:c r="N162" s="14" t="str">
        <x:f>IF(AND(ISNUMBER(K162),ISNUMBER(L162)),ABS(L162-K162),"")</x:f>
      </x:c>
      <x:c r="O162" s="15" t="str">
        <x:f>IF(AND(ISNUMBER(K162),ISNUMBER(L162)),IF(K162=0,"n.a.",ABS(L162-K162)/ABS(K162)),"")</x:f>
      </x:c>
      <x:c r="P162" s="2" t="str">
        <x:f>IF(COUNTA(A162)=0,"",IF(NOT(ISNUMBER('Status'!$B$6)),"Set tolerance",IF(COUNT(J162:L162)&lt;3,"Need 3 levels",IF(OR(J162=0,K162=0),"Use abs. Δ",IF(AND(ABS(K162-J162)/ABS(J162)&lt;='Status'!$B$6,O162&lt;='Status'!$B$6),"Yes","No")))))</x:f>
      </x:c>
      <x:c r="Q162" s="14" t="str">
        <x:f>IF(AND(ISNUMBER(E162),ISNUMBER(L162)),ABS(E162-L162),"")</x:f>
      </x:c>
      <x:c r="R162" s="2" t="str">
        <x:f>IF(COUNTA(A162)=0,"",IF(COUNT(C162:E162,J162:L162)&gt;0,1,0))</x:f>
      </x:c>
      <x:c r="S162" s="2" t="str">
        <x:f>IF(COUNTA(A162)=0,"",IF(COUNTIFS($A$6:$A$165,A162)&gt;1,"Duplicate target",""))</x:f>
      </x:c>
    </x:row>
    <x:row r="163">
      <x:c r="A163" s="6"/>
      <x:c r="B163" s="20"/>
      <x:c r="C163" s="14" t="str">
        <x:f>IF(OR(COUNTA($A163)=0,'Status'!$E$5=""),"",IF(COUNTIFS('Estimates'!$A$5:$A$2004,$A163,'Estimates'!$B$5:$B$2004,"MPS",'Estimates'!$C$5:$C$2004,'Status'!$E$5)=0,"",IF(COUNTIFS('Estimates'!$A$5:$A$2004,$A163,'Estimates'!$B$5:$B$2004,"MPS",'Estimates'!$C$5:$C$2004,'Status'!$E$5)&gt;1,"DUP",SUMIFS('Estimates'!$F$5:$F$2004,'Estimates'!$A$5:$A$2004,$A163,'Estimates'!$B$5:$B$2004,"MPS",'Estimates'!$C$5:$C$2004,'Status'!$E$5))))</x:f>
      </x:c>
      <x:c r="D163" s="14" t="str">
        <x:f>IF(OR(COUNTA($A163)=0,'Status'!$F$5=""),"",IF(COUNTIFS('Estimates'!$A$5:$A$2004,$A163,'Estimates'!$B$5:$B$2004,"MPS",'Estimates'!$C$5:$C$2004,'Status'!$F$5)=0,"",IF(COUNTIFS('Estimates'!$A$5:$A$2004,$A163,'Estimates'!$B$5:$B$2004,"MPS",'Estimates'!$C$5:$C$2004,'Status'!$F$5)&gt;1,"DUP",SUMIFS('Estimates'!$F$5:$F$2004,'Estimates'!$A$5:$A$2004,$A163,'Estimates'!$B$5:$B$2004,"MPS",'Estimates'!$C$5:$C$2004,'Status'!$F$5))))</x:f>
      </x:c>
      <x:c r="E163" s="14" t="str">
        <x:f>IF(OR(COUNTA($A163)=0,'Status'!$G$5=""),"",IF(COUNTIFS('Estimates'!$A$5:$A$2004,$A163,'Estimates'!$B$5:$B$2004,"MPS",'Estimates'!$C$5:$C$2004,'Status'!$G$5)=0,"",IF(COUNTIFS('Estimates'!$A$5:$A$2004,$A163,'Estimates'!$B$5:$B$2004,"MPS",'Estimates'!$C$5:$C$2004,'Status'!$G$5)&gt;1,"DUP",SUMIFS('Estimates'!$F$5:$F$2004,'Estimates'!$A$5:$A$2004,$A163,'Estimates'!$B$5:$B$2004,"MPS",'Estimates'!$C$5:$C$2004,'Status'!$G$5))))</x:f>
      </x:c>
      <x:c r="F163" s="14" t="str">
        <x:f>IF(COUNT(C163:E163)&lt;2,"",_xlfn.STDEV.S(C163:E163))</x:f>
      </x:c>
      <x:c r="G163" s="14" t="str">
        <x:f>IF(AND(ISNUMBER(D163),ISNUMBER(E163)),ABS(E163-D163),"")</x:f>
      </x:c>
      <x:c r="H163" s="15" t="str">
        <x:f>IF(AND(ISNUMBER(D163),ISNUMBER(E163)),IF(D163=0,"n.a.",ABS(E163-D163)/ABS(D163)),"")</x:f>
      </x:c>
      <x:c r="I163" s="2" t="str">
        <x:f>IF(COUNTA(A163)=0,"",IF(NOT(ISNUMBER('Status'!$B$6)),"Set tolerance",IF(COUNT(C163:E163)&lt;3,"Need 3 levels",IF(OR(C163=0,D163=0),"Use abs. Δ",IF(AND(ABS(D163-C163)/ABS(C163)&lt;='Status'!$B$6,H163&lt;='Status'!$B$6),"Yes","No")))))</x:f>
      </x:c>
      <x:c r="J163" s="14" t="str">
        <x:f>IF(OR(COUNTA($A163)=0,'Status'!$E$6=""),"",IF(COUNTIFS('Estimates'!$A$5:$A$2004,$A163,'Estimates'!$B$5:$B$2004,"PPS",'Estimates'!$D$5:$D$2004,'Status'!$E$6,'Estimates'!$E$5:$E$2004,'Status'!$E$7)=0,"",IF(COUNTIFS('Estimates'!$A$5:$A$2004,$A163,'Estimates'!$B$5:$B$2004,"PPS",'Estimates'!$D$5:$D$2004,'Status'!$E$6,'Estimates'!$E$5:$E$2004,'Status'!$E$7)&gt;1,"DUP",SUMIFS('Estimates'!$F$5:$F$2004,'Estimates'!$A$5:$A$2004,$A163,'Estimates'!$B$5:$B$2004,"PPS",'Estimates'!$D$5:$D$2004,'Status'!$E$6,'Estimates'!$E$5:$E$2004,'Status'!$E$7))))</x:f>
      </x:c>
      <x:c r="K163" s="14" t="str">
        <x:f>IF(OR(COUNTA($A163)=0,'Status'!$F$6=""),"",IF(COUNTIFS('Estimates'!$A$5:$A$2004,$A163,'Estimates'!$B$5:$B$2004,"PPS",'Estimates'!$D$5:$D$2004,'Status'!$F$6,'Estimates'!$E$5:$E$2004,'Status'!$E$7)=0,"",IF(COUNTIFS('Estimates'!$A$5:$A$2004,$A163,'Estimates'!$B$5:$B$2004,"PPS",'Estimates'!$D$5:$D$2004,'Status'!$F$6,'Estimates'!$E$5:$E$2004,'Status'!$E$7)&gt;1,"DUP",SUMIFS('Estimates'!$F$5:$F$2004,'Estimates'!$A$5:$A$2004,$A163,'Estimates'!$B$5:$B$2004,"PPS",'Estimates'!$D$5:$D$2004,'Status'!$F$6,'Estimates'!$E$5:$E$2004,'Status'!$E$7))))</x:f>
      </x:c>
      <x:c r="L163" s="14" t="str">
        <x:f>IF(OR(COUNTA($A163)=0,'Status'!$G$6=""),"",IF(COUNTIFS('Estimates'!$A$5:$A$2004,$A163,'Estimates'!$B$5:$B$2004,"PPS",'Estimates'!$D$5:$D$2004,'Status'!$G$6,'Estimates'!$E$5:$E$2004,'Status'!$E$7)=0,"",IF(COUNTIFS('Estimates'!$A$5:$A$2004,$A163,'Estimates'!$B$5:$B$2004,"PPS",'Estimates'!$D$5:$D$2004,'Status'!$G$6,'Estimates'!$E$5:$E$2004,'Status'!$E$7)&gt;1,"DUP",SUMIFS('Estimates'!$F$5:$F$2004,'Estimates'!$A$5:$A$2004,$A163,'Estimates'!$B$5:$B$2004,"PPS",'Estimates'!$D$5:$D$2004,'Status'!$G$6,'Estimates'!$E$5:$E$2004,'Status'!$E$7))))</x:f>
      </x:c>
      <x:c r="M163" s="14" t="str">
        <x:f>IF(COUNT(J163:L163)&lt;2,"",_xlfn.STDEV.S(J163:L163))</x:f>
      </x:c>
      <x:c r="N163" s="14" t="str">
        <x:f>IF(AND(ISNUMBER(K163),ISNUMBER(L163)),ABS(L163-K163),"")</x:f>
      </x:c>
      <x:c r="O163" s="15" t="str">
        <x:f>IF(AND(ISNUMBER(K163),ISNUMBER(L163)),IF(K163=0,"n.a.",ABS(L163-K163)/ABS(K163)),"")</x:f>
      </x:c>
      <x:c r="P163" s="2" t="str">
        <x:f>IF(COUNTA(A163)=0,"",IF(NOT(ISNUMBER('Status'!$B$6)),"Set tolerance",IF(COUNT(J163:L163)&lt;3,"Need 3 levels",IF(OR(J163=0,K163=0),"Use abs. Δ",IF(AND(ABS(K163-J163)/ABS(J163)&lt;='Status'!$B$6,O163&lt;='Status'!$B$6),"Yes","No")))))</x:f>
      </x:c>
      <x:c r="Q163" s="14" t="str">
        <x:f>IF(AND(ISNUMBER(E163),ISNUMBER(L163)),ABS(E163-L163),"")</x:f>
      </x:c>
      <x:c r="R163" s="2" t="str">
        <x:f>IF(COUNTA(A163)=0,"",IF(COUNT(C163:E163,J163:L163)&gt;0,1,0))</x:f>
      </x:c>
      <x:c r="S163" s="2" t="str">
        <x:f>IF(COUNTA(A163)=0,"",IF(COUNTIFS($A$6:$A$165,A163)&gt;1,"Duplicate target",""))</x:f>
      </x:c>
    </x:row>
    <x:row r="164">
      <x:c r="A164" s="6"/>
      <x:c r="B164" s="20"/>
      <x:c r="C164" s="14" t="str">
        <x:f>IF(OR(COUNTA($A164)=0,'Status'!$E$5=""),"",IF(COUNTIFS('Estimates'!$A$5:$A$2004,$A164,'Estimates'!$B$5:$B$2004,"MPS",'Estimates'!$C$5:$C$2004,'Status'!$E$5)=0,"",IF(COUNTIFS('Estimates'!$A$5:$A$2004,$A164,'Estimates'!$B$5:$B$2004,"MPS",'Estimates'!$C$5:$C$2004,'Status'!$E$5)&gt;1,"DUP",SUMIFS('Estimates'!$F$5:$F$2004,'Estimates'!$A$5:$A$2004,$A164,'Estimates'!$B$5:$B$2004,"MPS",'Estimates'!$C$5:$C$2004,'Status'!$E$5))))</x:f>
      </x:c>
      <x:c r="D164" s="14" t="str">
        <x:f>IF(OR(COUNTA($A164)=0,'Status'!$F$5=""),"",IF(COUNTIFS('Estimates'!$A$5:$A$2004,$A164,'Estimates'!$B$5:$B$2004,"MPS",'Estimates'!$C$5:$C$2004,'Status'!$F$5)=0,"",IF(COUNTIFS('Estimates'!$A$5:$A$2004,$A164,'Estimates'!$B$5:$B$2004,"MPS",'Estimates'!$C$5:$C$2004,'Status'!$F$5)&gt;1,"DUP",SUMIFS('Estimates'!$F$5:$F$2004,'Estimates'!$A$5:$A$2004,$A164,'Estimates'!$B$5:$B$2004,"MPS",'Estimates'!$C$5:$C$2004,'Status'!$F$5))))</x:f>
      </x:c>
      <x:c r="E164" s="14" t="str">
        <x:f>IF(OR(COUNTA($A164)=0,'Status'!$G$5=""),"",IF(COUNTIFS('Estimates'!$A$5:$A$2004,$A164,'Estimates'!$B$5:$B$2004,"MPS",'Estimates'!$C$5:$C$2004,'Status'!$G$5)=0,"",IF(COUNTIFS('Estimates'!$A$5:$A$2004,$A164,'Estimates'!$B$5:$B$2004,"MPS",'Estimates'!$C$5:$C$2004,'Status'!$G$5)&gt;1,"DUP",SUMIFS('Estimates'!$F$5:$F$2004,'Estimates'!$A$5:$A$2004,$A164,'Estimates'!$B$5:$B$2004,"MPS",'Estimates'!$C$5:$C$2004,'Status'!$G$5))))</x:f>
      </x:c>
      <x:c r="F164" s="14" t="str">
        <x:f>IF(COUNT(C164:E164)&lt;2,"",_xlfn.STDEV.S(C164:E164))</x:f>
      </x:c>
      <x:c r="G164" s="14" t="str">
        <x:f>IF(AND(ISNUMBER(D164),ISNUMBER(E164)),ABS(E164-D164),"")</x:f>
      </x:c>
      <x:c r="H164" s="15" t="str">
        <x:f>IF(AND(ISNUMBER(D164),ISNUMBER(E164)),IF(D164=0,"n.a.",ABS(E164-D164)/ABS(D164)),"")</x:f>
      </x:c>
      <x:c r="I164" s="2" t="str">
        <x:f>IF(COUNTA(A164)=0,"",IF(NOT(ISNUMBER('Status'!$B$6)),"Set tolerance",IF(COUNT(C164:E164)&lt;3,"Need 3 levels",IF(OR(C164=0,D164=0),"Use abs. Δ",IF(AND(ABS(D164-C164)/ABS(C164)&lt;='Status'!$B$6,H164&lt;='Status'!$B$6),"Yes","No")))))</x:f>
      </x:c>
      <x:c r="J164" s="14" t="str">
        <x:f>IF(OR(COUNTA($A164)=0,'Status'!$E$6=""),"",IF(COUNTIFS('Estimates'!$A$5:$A$2004,$A164,'Estimates'!$B$5:$B$2004,"PPS",'Estimates'!$D$5:$D$2004,'Status'!$E$6,'Estimates'!$E$5:$E$2004,'Status'!$E$7)=0,"",IF(COUNTIFS('Estimates'!$A$5:$A$2004,$A164,'Estimates'!$B$5:$B$2004,"PPS",'Estimates'!$D$5:$D$2004,'Status'!$E$6,'Estimates'!$E$5:$E$2004,'Status'!$E$7)&gt;1,"DUP",SUMIFS('Estimates'!$F$5:$F$2004,'Estimates'!$A$5:$A$2004,$A164,'Estimates'!$B$5:$B$2004,"PPS",'Estimates'!$D$5:$D$2004,'Status'!$E$6,'Estimates'!$E$5:$E$2004,'Status'!$E$7))))</x:f>
      </x:c>
      <x:c r="K164" s="14" t="str">
        <x:f>IF(OR(COUNTA($A164)=0,'Status'!$F$6=""),"",IF(COUNTIFS('Estimates'!$A$5:$A$2004,$A164,'Estimates'!$B$5:$B$2004,"PPS",'Estimates'!$D$5:$D$2004,'Status'!$F$6,'Estimates'!$E$5:$E$2004,'Status'!$E$7)=0,"",IF(COUNTIFS('Estimates'!$A$5:$A$2004,$A164,'Estimates'!$B$5:$B$2004,"PPS",'Estimates'!$D$5:$D$2004,'Status'!$F$6,'Estimates'!$E$5:$E$2004,'Status'!$E$7)&gt;1,"DUP",SUMIFS('Estimates'!$F$5:$F$2004,'Estimates'!$A$5:$A$2004,$A164,'Estimates'!$B$5:$B$2004,"PPS",'Estimates'!$D$5:$D$2004,'Status'!$F$6,'Estimates'!$E$5:$E$2004,'Status'!$E$7))))</x:f>
      </x:c>
      <x:c r="L164" s="14" t="str">
        <x:f>IF(OR(COUNTA($A164)=0,'Status'!$G$6=""),"",IF(COUNTIFS('Estimates'!$A$5:$A$2004,$A164,'Estimates'!$B$5:$B$2004,"PPS",'Estimates'!$D$5:$D$2004,'Status'!$G$6,'Estimates'!$E$5:$E$2004,'Status'!$E$7)=0,"",IF(COUNTIFS('Estimates'!$A$5:$A$2004,$A164,'Estimates'!$B$5:$B$2004,"PPS",'Estimates'!$D$5:$D$2004,'Status'!$G$6,'Estimates'!$E$5:$E$2004,'Status'!$E$7)&gt;1,"DUP",SUMIFS('Estimates'!$F$5:$F$2004,'Estimates'!$A$5:$A$2004,$A164,'Estimates'!$B$5:$B$2004,"PPS",'Estimates'!$D$5:$D$2004,'Status'!$G$6,'Estimates'!$E$5:$E$2004,'Status'!$E$7))))</x:f>
      </x:c>
      <x:c r="M164" s="14" t="str">
        <x:f>IF(COUNT(J164:L164)&lt;2,"",_xlfn.STDEV.S(J164:L164))</x:f>
      </x:c>
      <x:c r="N164" s="14" t="str">
        <x:f>IF(AND(ISNUMBER(K164),ISNUMBER(L164)),ABS(L164-K164),"")</x:f>
      </x:c>
      <x:c r="O164" s="15" t="str">
        <x:f>IF(AND(ISNUMBER(K164),ISNUMBER(L164)),IF(K164=0,"n.a.",ABS(L164-K164)/ABS(K164)),"")</x:f>
      </x:c>
      <x:c r="P164" s="2" t="str">
        <x:f>IF(COUNTA(A164)=0,"",IF(NOT(ISNUMBER('Status'!$B$6)),"Set tolerance",IF(COUNT(J164:L164)&lt;3,"Need 3 levels",IF(OR(J164=0,K164=0),"Use abs. Δ",IF(AND(ABS(K164-J164)/ABS(J164)&lt;='Status'!$B$6,O164&lt;='Status'!$B$6),"Yes","No")))))</x:f>
      </x:c>
      <x:c r="Q164" s="14" t="str">
        <x:f>IF(AND(ISNUMBER(E164),ISNUMBER(L164)),ABS(E164-L164),"")</x:f>
      </x:c>
      <x:c r="R164" s="2" t="str">
        <x:f>IF(COUNTA(A164)=0,"",IF(COUNT(C164:E164,J164:L164)&gt;0,1,0))</x:f>
      </x:c>
      <x:c r="S164" s="2" t="str">
        <x:f>IF(COUNTA(A164)=0,"",IF(COUNTIFS($A$6:$A$165,A164)&gt;1,"Duplicate target",""))</x:f>
      </x:c>
    </x:row>
    <x:row r="165">
      <x:c r="A165" s="6"/>
      <x:c r="B165" s="20"/>
      <x:c r="C165" s="14" t="str">
        <x:f>IF(OR(COUNTA($A165)=0,'Status'!$E$5=""),"",IF(COUNTIFS('Estimates'!$A$5:$A$2004,$A165,'Estimates'!$B$5:$B$2004,"MPS",'Estimates'!$C$5:$C$2004,'Status'!$E$5)=0,"",IF(COUNTIFS('Estimates'!$A$5:$A$2004,$A165,'Estimates'!$B$5:$B$2004,"MPS",'Estimates'!$C$5:$C$2004,'Status'!$E$5)&gt;1,"DUP",SUMIFS('Estimates'!$F$5:$F$2004,'Estimates'!$A$5:$A$2004,$A165,'Estimates'!$B$5:$B$2004,"MPS",'Estimates'!$C$5:$C$2004,'Status'!$E$5))))</x:f>
      </x:c>
      <x:c r="D165" s="14" t="str">
        <x:f>IF(OR(COUNTA($A165)=0,'Status'!$F$5=""),"",IF(COUNTIFS('Estimates'!$A$5:$A$2004,$A165,'Estimates'!$B$5:$B$2004,"MPS",'Estimates'!$C$5:$C$2004,'Status'!$F$5)=0,"",IF(COUNTIFS('Estimates'!$A$5:$A$2004,$A165,'Estimates'!$B$5:$B$2004,"MPS",'Estimates'!$C$5:$C$2004,'Status'!$F$5)&gt;1,"DUP",SUMIFS('Estimates'!$F$5:$F$2004,'Estimates'!$A$5:$A$2004,$A165,'Estimates'!$B$5:$B$2004,"MPS",'Estimates'!$C$5:$C$2004,'Status'!$F$5))))</x:f>
      </x:c>
      <x:c r="E165" s="14" t="str">
        <x:f>IF(OR(COUNTA($A165)=0,'Status'!$G$5=""),"",IF(COUNTIFS('Estimates'!$A$5:$A$2004,$A165,'Estimates'!$B$5:$B$2004,"MPS",'Estimates'!$C$5:$C$2004,'Status'!$G$5)=0,"",IF(COUNTIFS('Estimates'!$A$5:$A$2004,$A165,'Estimates'!$B$5:$B$2004,"MPS",'Estimates'!$C$5:$C$2004,'Status'!$G$5)&gt;1,"DUP",SUMIFS('Estimates'!$F$5:$F$2004,'Estimates'!$A$5:$A$2004,$A165,'Estimates'!$B$5:$B$2004,"MPS",'Estimates'!$C$5:$C$2004,'Status'!$G$5))))</x:f>
      </x:c>
      <x:c r="F165" s="14" t="str">
        <x:f>IF(COUNT(C165:E165)&lt;2,"",_xlfn.STDEV.S(C165:E165))</x:f>
      </x:c>
      <x:c r="G165" s="14" t="str">
        <x:f>IF(AND(ISNUMBER(D165),ISNUMBER(E165)),ABS(E165-D165),"")</x:f>
      </x:c>
      <x:c r="H165" s="15" t="str">
        <x:f>IF(AND(ISNUMBER(D165),ISNUMBER(E165)),IF(D165=0,"n.a.",ABS(E165-D165)/ABS(D165)),"")</x:f>
      </x:c>
      <x:c r="I165" s="2" t="str">
        <x:f>IF(COUNTA(A165)=0,"",IF(NOT(ISNUMBER('Status'!$B$6)),"Set tolerance",IF(COUNT(C165:E165)&lt;3,"Need 3 levels",IF(OR(C165=0,D165=0),"Use abs. Δ",IF(AND(ABS(D165-C165)/ABS(C165)&lt;='Status'!$B$6,H165&lt;='Status'!$B$6),"Yes","No")))))</x:f>
      </x:c>
      <x:c r="J165" s="14" t="str">
        <x:f>IF(OR(COUNTA($A165)=0,'Status'!$E$6=""),"",IF(COUNTIFS('Estimates'!$A$5:$A$2004,$A165,'Estimates'!$B$5:$B$2004,"PPS",'Estimates'!$D$5:$D$2004,'Status'!$E$6,'Estimates'!$E$5:$E$2004,'Status'!$E$7)=0,"",IF(COUNTIFS('Estimates'!$A$5:$A$2004,$A165,'Estimates'!$B$5:$B$2004,"PPS",'Estimates'!$D$5:$D$2004,'Status'!$E$6,'Estimates'!$E$5:$E$2004,'Status'!$E$7)&gt;1,"DUP",SUMIFS('Estimates'!$F$5:$F$2004,'Estimates'!$A$5:$A$2004,$A165,'Estimates'!$B$5:$B$2004,"PPS",'Estimates'!$D$5:$D$2004,'Status'!$E$6,'Estimates'!$E$5:$E$2004,'Status'!$E$7))))</x:f>
      </x:c>
      <x:c r="K165" s="14" t="str">
        <x:f>IF(OR(COUNTA($A165)=0,'Status'!$F$6=""),"",IF(COUNTIFS('Estimates'!$A$5:$A$2004,$A165,'Estimates'!$B$5:$B$2004,"PPS",'Estimates'!$D$5:$D$2004,'Status'!$F$6,'Estimates'!$E$5:$E$2004,'Status'!$E$7)=0,"",IF(COUNTIFS('Estimates'!$A$5:$A$2004,$A165,'Estimates'!$B$5:$B$2004,"PPS",'Estimates'!$D$5:$D$2004,'Status'!$F$6,'Estimates'!$E$5:$E$2004,'Status'!$E$7)&gt;1,"DUP",SUMIFS('Estimates'!$F$5:$F$2004,'Estimates'!$A$5:$A$2004,$A165,'Estimates'!$B$5:$B$2004,"PPS",'Estimates'!$D$5:$D$2004,'Status'!$F$6,'Estimates'!$E$5:$E$2004,'Status'!$E$7))))</x:f>
      </x:c>
      <x:c r="L165" s="14" t="str">
        <x:f>IF(OR(COUNTA($A165)=0,'Status'!$G$6=""),"",IF(COUNTIFS('Estimates'!$A$5:$A$2004,$A165,'Estimates'!$B$5:$B$2004,"PPS",'Estimates'!$D$5:$D$2004,'Status'!$G$6,'Estimates'!$E$5:$E$2004,'Status'!$E$7)=0,"",IF(COUNTIFS('Estimates'!$A$5:$A$2004,$A165,'Estimates'!$B$5:$B$2004,"PPS",'Estimates'!$D$5:$D$2004,'Status'!$G$6,'Estimates'!$E$5:$E$2004,'Status'!$E$7)&gt;1,"DUP",SUMIFS('Estimates'!$F$5:$F$2004,'Estimates'!$A$5:$A$2004,$A165,'Estimates'!$B$5:$B$2004,"PPS",'Estimates'!$D$5:$D$2004,'Status'!$G$6,'Estimates'!$E$5:$E$2004,'Status'!$E$7))))</x:f>
      </x:c>
      <x:c r="M165" s="14" t="str">
        <x:f>IF(COUNT(J165:L165)&lt;2,"",_xlfn.STDEV.S(J165:L165))</x:f>
      </x:c>
      <x:c r="N165" s="14" t="str">
        <x:f>IF(AND(ISNUMBER(K165),ISNUMBER(L165)),ABS(L165-K165),"")</x:f>
      </x:c>
      <x:c r="O165" s="15" t="str">
        <x:f>IF(AND(ISNUMBER(K165),ISNUMBER(L165)),IF(K165=0,"n.a.",ABS(L165-K165)/ABS(K165)),"")</x:f>
      </x:c>
      <x:c r="P165" s="2" t="str">
        <x:f>IF(COUNTA(A165)=0,"",IF(NOT(ISNUMBER('Status'!$B$6)),"Set tolerance",IF(COUNT(J165:L165)&lt;3,"Need 3 levels",IF(OR(J165=0,K165=0),"Use abs. Δ",IF(AND(ABS(K165-J165)/ABS(J165)&lt;='Status'!$B$6,O165&lt;='Status'!$B$6),"Yes","No")))))</x:f>
      </x:c>
      <x:c r="Q165" s="14" t="str">
        <x:f>IF(AND(ISNUMBER(E165),ISNUMBER(L165)),ABS(E165-L165),"")</x:f>
      </x:c>
      <x:c r="R165" s="2" t="str">
        <x:f>IF(COUNTA(A165)=0,"",IF(COUNT(C165:E165,J165:L165)&gt;0,1,0))</x:f>
      </x:c>
      <x:c r="S165" s="2" t="str">
        <x:f>IF(COUNTA(A165)=0,"",IF(COUNTIFS($A$6:$A$165,A165)&gt;1,"Duplicate target",""))</x:f>
      </x:c>
    </x:row>
  </x:sheetData>
  <x:conditionalFormatting sqref="I6:I165">
    <x:cfRule type="containsText" dxfId="0" priority="1" operator="containsText" text="Yes"/>
  </x:conditionalFormatting>
  <x:conditionalFormatting sqref="P6:P165">
    <x:cfRule type="containsText" dxfId="1" priority="2" operator="containsText" text="Yes"/>
  </x:conditionalFormatting>
  <x:conditionalFormatting sqref="C6:E165">
    <x:cfRule type="containsText" dxfId="2" priority="3" operator="containsText" text="DUP"/>
  </x:conditionalFormatting>
  <x:conditionalFormatting sqref="J6:L165">
    <x:cfRule type="containsText" dxfId="3" priority="4" operator="containsText" text="DUP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Succeeded estimates</x:v>
      </x:c>
      <x:c r="B2" s="2"/>
      <x:c r="C2" s="2"/>
      <x:c r="D2" s="2"/>
      <x:c r="E2" s="2"/>
      <x:c r="F2" s="2"/>
      <x:c r="G2" s="2"/>
      <x:c r="H2" s="2"/>
    </x:row>
    <x:row r="3">
      <x:c r="A3" s="21" t="str">
        <x:v>One row per succeeded qubit estimate. Keep earlier rows when a setting is rerun.</x:v>
      </x:c>
      <x:c r="B3" s="21"/>
      <x:c r="C3" s="21"/>
      <x:c r="D3" s="21"/>
      <x:c r="E3" s="21"/>
      <x:c r="F3" s="21"/>
      <x:c r="G3" s="21"/>
      <x:c r="H3" s="21"/>
    </x:row>
    <x:row r="4" ht="28" customHeight="1">
      <x:c r="A4" s="19" t="str">
        <x:v>Qubit</x:v>
      </x:c>
      <x:c r="B4" s="19" t="str">
        <x:v>Method</x:v>
      </x:c>
      <x:c r="C4" s="19" t="str">
        <x:v>MPS χ</x:v>
      </x:c>
      <x:c r="D4" s="19" t="str">
        <x:v>PPS ε</x:v>
      </x:c>
      <x:c r="E4" s="19" t="str">
        <x:v>PPS transpile</x:v>
      </x:c>
      <x:c r="F4" s="19" t="str">
        <x:v>Estimate</x:v>
      </x:c>
      <x:c r="G4" s="19" t="str">
        <x:v>Job ID</x:v>
      </x:c>
      <x:c r="H4" s="19" t="str">
        <x:v>Recorded UTC</x:v>
      </x:c>
    </x:row>
    <x:row r="5">
      <x:c r="A5" s="6"/>
      <x:c r="B5" s="6"/>
      <x:c r="C5" s="6"/>
      <x:c r="D5" s="12"/>
      <x:c r="E5" s="6"/>
      <x:c r="F5" s="20"/>
      <x:c r="G5" s="6"/>
      <x:c r="H5" s="24"/>
    </x:row>
    <x:row r="6">
      <x:c r="A6" s="6"/>
      <x:c r="B6" s="6"/>
      <x:c r="C6" s="6"/>
      <x:c r="D6" s="12"/>
      <x:c r="E6" s="6"/>
      <x:c r="F6" s="20"/>
      <x:c r="G6" s="6"/>
      <x:c r="H6" s="24"/>
    </x:row>
    <x:row r="7">
      <x:c r="A7" s="6"/>
      <x:c r="B7" s="6"/>
      <x:c r="C7" s="6"/>
      <x:c r="D7" s="12"/>
      <x:c r="E7" s="6"/>
      <x:c r="F7" s="20"/>
      <x:c r="G7" s="6"/>
      <x:c r="H7" s="24"/>
    </x:row>
    <x:row r="8">
      <x:c r="A8" s="6"/>
      <x:c r="B8" s="6"/>
      <x:c r="C8" s="6"/>
      <x:c r="D8" s="12"/>
      <x:c r="E8" s="6"/>
      <x:c r="F8" s="20"/>
      <x:c r="G8" s="6"/>
      <x:c r="H8" s="24"/>
    </x:row>
    <x:row r="9">
      <x:c r="A9" s="6"/>
      <x:c r="B9" s="6"/>
      <x:c r="C9" s="6"/>
      <x:c r="D9" s="12"/>
      <x:c r="E9" s="6"/>
      <x:c r="F9" s="20"/>
      <x:c r="G9" s="6"/>
      <x:c r="H9" s="24"/>
    </x:row>
    <x:row r="10">
      <x:c r="A10" s="6"/>
      <x:c r="B10" s="6"/>
      <x:c r="C10" s="6"/>
      <x:c r="D10" s="12"/>
      <x:c r="E10" s="6"/>
      <x:c r="F10" s="20"/>
      <x:c r="G10" s="6"/>
      <x:c r="H10" s="24"/>
    </x:row>
    <x:row r="11">
      <x:c r="A11" s="6"/>
      <x:c r="B11" s="6"/>
      <x:c r="C11" s="6"/>
      <x:c r="D11" s="12"/>
      <x:c r="E11" s="6"/>
      <x:c r="F11" s="20"/>
      <x:c r="G11" s="6"/>
      <x:c r="H11" s="24"/>
    </x:row>
    <x:row r="12">
      <x:c r="A12" s="6"/>
      <x:c r="B12" s="6"/>
      <x:c r="C12" s="6"/>
      <x:c r="D12" s="12"/>
      <x:c r="E12" s="6"/>
      <x:c r="F12" s="20"/>
      <x:c r="G12" s="6"/>
      <x:c r="H12" s="24"/>
    </x:row>
    <x:row r="13">
      <x:c r="A13" s="6"/>
      <x:c r="B13" s="6"/>
      <x:c r="C13" s="6"/>
      <x:c r="D13" s="12"/>
      <x:c r="E13" s="6"/>
      <x:c r="F13" s="20"/>
      <x:c r="G13" s="6"/>
      <x:c r="H13" s="24"/>
    </x:row>
    <x:row r="14">
      <x:c r="A14" s="6"/>
      <x:c r="B14" s="6"/>
      <x:c r="C14" s="6"/>
      <x:c r="D14" s="12"/>
      <x:c r="E14" s="6"/>
      <x:c r="F14" s="20"/>
      <x:c r="G14" s="6"/>
      <x:c r="H14" s="24"/>
    </x:row>
    <x:row r="15">
      <x:c r="A15" s="6"/>
      <x:c r="B15" s="6"/>
      <x:c r="C15" s="6"/>
      <x:c r="D15" s="12"/>
      <x:c r="E15" s="6"/>
      <x:c r="F15" s="20"/>
      <x:c r="G15" s="6"/>
      <x:c r="H15" s="24"/>
    </x:row>
    <x:row r="16">
      <x:c r="A16" s="6"/>
      <x:c r="B16" s="6"/>
      <x:c r="C16" s="6"/>
      <x:c r="D16" s="12"/>
      <x:c r="E16" s="6"/>
      <x:c r="F16" s="20"/>
      <x:c r="G16" s="6"/>
      <x:c r="H16" s="24"/>
    </x:row>
    <x:row r="17">
      <x:c r="A17" s="6"/>
      <x:c r="B17" s="6"/>
      <x:c r="C17" s="6"/>
      <x:c r="D17" s="12"/>
      <x:c r="E17" s="6"/>
      <x:c r="F17" s="20"/>
      <x:c r="G17" s="6"/>
      <x:c r="H17" s="24"/>
    </x:row>
    <x:row r="18">
      <x:c r="A18" s="6"/>
      <x:c r="B18" s="6"/>
      <x:c r="C18" s="6"/>
      <x:c r="D18" s="12"/>
      <x:c r="E18" s="6"/>
      <x:c r="F18" s="20"/>
      <x:c r="G18" s="6"/>
      <x:c r="H18" s="24"/>
    </x:row>
    <x:row r="19">
      <x:c r="A19" s="6"/>
      <x:c r="B19" s="6"/>
      <x:c r="C19" s="6"/>
      <x:c r="D19" s="12"/>
      <x:c r="E19" s="6"/>
      <x:c r="F19" s="20"/>
      <x:c r="G19" s="6"/>
      <x:c r="H19" s="24"/>
    </x:row>
    <x:row r="20">
      <x:c r="A20" s="6"/>
      <x:c r="B20" s="6"/>
      <x:c r="C20" s="6"/>
      <x:c r="D20" s="12"/>
      <x:c r="E20" s="6"/>
      <x:c r="F20" s="20"/>
      <x:c r="G20" s="6"/>
      <x:c r="H20" s="24"/>
    </x:row>
    <x:row r="21">
      <x:c r="D21" s="22"/>
      <x:c r="F21" s="23"/>
      <x:c r="H21" s="25"/>
    </x:row>
    <x:row r="22">
      <x:c r="D22" s="22"/>
      <x:c r="F22" s="23"/>
      <x:c r="H22" s="25"/>
    </x:row>
    <x:row r="23">
      <x:c r="D23" s="22"/>
      <x:c r="F23" s="23"/>
      <x:c r="H23" s="25"/>
    </x:row>
    <x:row r="24">
      <x:c r="D24" s="22"/>
      <x:c r="F24" s="23"/>
      <x:c r="H24" s="25"/>
    </x:row>
    <x:row r="25">
      <x:c r="D25" s="22"/>
      <x:c r="F25" s="23"/>
      <x:c r="H25" s="25"/>
    </x:row>
    <x:row r="26">
      <x:c r="D26" s="22"/>
      <x:c r="F26" s="23"/>
      <x:c r="H26" s="25"/>
    </x:row>
    <x:row r="27">
      <x:c r="D27" s="22"/>
      <x:c r="F27" s="23"/>
      <x:c r="H27" s="25"/>
    </x:row>
    <x:row r="28">
      <x:c r="D28" s="22"/>
      <x:c r="F28" s="23"/>
      <x:c r="H28" s="25"/>
    </x:row>
    <x:row r="29">
      <x:c r="D29" s="22"/>
      <x:c r="F29" s="23"/>
      <x:c r="H29" s="25"/>
    </x:row>
    <x:row r="30">
      <x:c r="D30" s="22"/>
      <x:c r="F30" s="23"/>
      <x:c r="H30" s="25"/>
    </x:row>
    <x:row r="31">
      <x:c r="D31" s="22"/>
      <x:c r="F31" s="23"/>
      <x:c r="H31" s="25"/>
    </x:row>
    <x:row r="32">
      <x:c r="D32" s="22"/>
      <x:c r="F32" s="23"/>
      <x:c r="H32" s="25"/>
    </x:row>
    <x:row r="33">
      <x:c r="D33" s="22"/>
      <x:c r="F33" s="23"/>
      <x:c r="H33" s="25"/>
    </x:row>
    <x:row r="34">
      <x:c r="D34" s="22"/>
      <x:c r="F34" s="23"/>
      <x:c r="H34" s="25"/>
    </x:row>
    <x:row r="35">
      <x:c r="D35" s="22"/>
      <x:c r="F35" s="23"/>
      <x:c r="H35" s="25"/>
    </x:row>
    <x:row r="36">
      <x:c r="D36" s="22"/>
      <x:c r="F36" s="23"/>
      <x:c r="H36" s="25"/>
    </x:row>
    <x:row r="37">
      <x:c r="D37" s="22"/>
      <x:c r="F37" s="23"/>
      <x:c r="H37" s="25"/>
    </x:row>
    <x:row r="38">
      <x:c r="D38" s="22"/>
      <x:c r="F38" s="23"/>
      <x:c r="H38" s="25"/>
    </x:row>
    <x:row r="39">
      <x:c r="D39" s="22"/>
      <x:c r="F39" s="23"/>
      <x:c r="H39" s="25"/>
    </x:row>
    <x:row r="40">
      <x:c r="D40" s="22"/>
      <x:c r="F40" s="23"/>
      <x:c r="H40" s="25"/>
    </x:row>
    <x:row r="41">
      <x:c r="D41" s="22"/>
      <x:c r="F41" s="23"/>
      <x:c r="H41" s="25"/>
    </x:row>
    <x:row r="42">
      <x:c r="D42" s="22"/>
      <x:c r="F42" s="23"/>
      <x:c r="H42" s="25"/>
    </x:row>
    <x:row r="43">
      <x:c r="D43" s="22"/>
      <x:c r="F43" s="23"/>
      <x:c r="H43" s="25"/>
    </x:row>
    <x:row r="44">
      <x:c r="D44" s="22"/>
      <x:c r="F44" s="23"/>
      <x:c r="H44" s="25"/>
    </x:row>
    <x:row r="45">
      <x:c r="D45" s="22"/>
      <x:c r="F45" s="23"/>
      <x:c r="H45" s="25"/>
    </x:row>
    <x:row r="46">
      <x:c r="D46" s="22"/>
      <x:c r="F46" s="23"/>
      <x:c r="H46" s="25"/>
    </x:row>
    <x:row r="47">
      <x:c r="D47" s="22"/>
      <x:c r="F47" s="23"/>
      <x:c r="H47" s="25"/>
    </x:row>
    <x:row r="48">
      <x:c r="D48" s="22"/>
      <x:c r="F48" s="23"/>
      <x:c r="H48" s="25"/>
    </x:row>
    <x:row r="49">
      <x:c r="D49" s="22"/>
      <x:c r="F49" s="23"/>
      <x:c r="H49" s="25"/>
    </x:row>
    <x:row r="50">
      <x:c r="D50" s="22"/>
      <x:c r="F50" s="23"/>
      <x:c r="H50" s="25"/>
    </x:row>
    <x:row r="51">
      <x:c r="D51" s="22"/>
      <x:c r="F51" s="23"/>
      <x:c r="H51" s="25"/>
    </x:row>
    <x:row r="52">
      <x:c r="D52" s="22"/>
      <x:c r="F52" s="23"/>
      <x:c r="H52" s="25"/>
    </x:row>
    <x:row r="53">
      <x:c r="D53" s="22"/>
      <x:c r="F53" s="23"/>
      <x:c r="H53" s="25"/>
    </x:row>
    <x:row r="54">
      <x:c r="D54" s="22"/>
      <x:c r="F54" s="23"/>
      <x:c r="H54" s="25"/>
    </x:row>
    <x:row r="55">
      <x:c r="D55" s="22"/>
      <x:c r="F55" s="23"/>
      <x:c r="H55" s="25"/>
    </x:row>
    <x:row r="56">
      <x:c r="D56" s="22"/>
      <x:c r="F56" s="23"/>
      <x:c r="H56" s="25"/>
    </x:row>
    <x:row r="57">
      <x:c r="D57" s="22"/>
      <x:c r="F57" s="23"/>
      <x:c r="H57" s="25"/>
    </x:row>
    <x:row r="58">
      <x:c r="D58" s="22"/>
      <x:c r="F58" s="23"/>
      <x:c r="H58" s="25"/>
    </x:row>
    <x:row r="59">
      <x:c r="D59" s="22"/>
      <x:c r="F59" s="23"/>
      <x:c r="H59" s="25"/>
    </x:row>
    <x:row r="60">
      <x:c r="D60" s="22"/>
      <x:c r="F60" s="23"/>
      <x:c r="H60" s="25"/>
    </x:row>
    <x:row r="61">
      <x:c r="D61" s="22"/>
      <x:c r="F61" s="23"/>
      <x:c r="H61" s="25"/>
    </x:row>
    <x:row r="62">
      <x:c r="D62" s="22"/>
      <x:c r="F62" s="23"/>
      <x:c r="H62" s="25"/>
    </x:row>
    <x:row r="63">
      <x:c r="D63" s="22"/>
      <x:c r="F63" s="23"/>
      <x:c r="H63" s="25"/>
    </x:row>
    <x:row r="64">
      <x:c r="D64" s="22"/>
      <x:c r="F64" s="23"/>
      <x:c r="H64" s="25"/>
    </x:row>
    <x:row r="65">
      <x:c r="D65" s="22"/>
      <x:c r="F65" s="23"/>
      <x:c r="H65" s="25"/>
    </x:row>
    <x:row r="66">
      <x:c r="D66" s="22"/>
      <x:c r="F66" s="23"/>
      <x:c r="H66" s="25"/>
    </x:row>
    <x:row r="67">
      <x:c r="D67" s="22"/>
      <x:c r="F67" s="23"/>
      <x:c r="H67" s="25"/>
    </x:row>
    <x:row r="68">
      <x:c r="D68" s="22"/>
      <x:c r="F68" s="23"/>
      <x:c r="H68" s="25"/>
    </x:row>
    <x:row r="69">
      <x:c r="D69" s="22"/>
      <x:c r="F69" s="23"/>
      <x:c r="H69" s="25"/>
    </x:row>
    <x:row r="70">
      <x:c r="D70" s="22"/>
      <x:c r="F70" s="23"/>
      <x:c r="H70" s="25"/>
    </x:row>
    <x:row r="71">
      <x:c r="D71" s="22"/>
      <x:c r="F71" s="23"/>
      <x:c r="H71" s="25"/>
    </x:row>
    <x:row r="72">
      <x:c r="D72" s="22"/>
      <x:c r="F72" s="23"/>
      <x:c r="H72" s="25"/>
    </x:row>
    <x:row r="73">
      <x:c r="D73" s="22"/>
      <x:c r="F73" s="23"/>
      <x:c r="H73" s="25"/>
    </x:row>
    <x:row r="74">
      <x:c r="D74" s="22"/>
      <x:c r="F74" s="23"/>
      <x:c r="H74" s="25"/>
    </x:row>
    <x:row r="75">
      <x:c r="D75" s="22"/>
      <x:c r="F75" s="23"/>
      <x:c r="H75" s="25"/>
    </x:row>
    <x:row r="76">
      <x:c r="D76" s="22"/>
      <x:c r="F76" s="23"/>
      <x:c r="H76" s="25"/>
    </x:row>
    <x:row r="77">
      <x:c r="D77" s="22"/>
      <x:c r="F77" s="23"/>
      <x:c r="H77" s="25"/>
    </x:row>
    <x:row r="78">
      <x:c r="D78" s="22"/>
      <x:c r="F78" s="23"/>
      <x:c r="H78" s="25"/>
    </x:row>
    <x:row r="79">
      <x:c r="D79" s="22"/>
      <x:c r="F79" s="23"/>
      <x:c r="H79" s="25"/>
    </x:row>
    <x:row r="80">
      <x:c r="D80" s="22"/>
      <x:c r="F80" s="23"/>
      <x:c r="H80" s="25"/>
    </x:row>
    <x:row r="81">
      <x:c r="D81" s="22"/>
      <x:c r="F81" s="23"/>
      <x:c r="H81" s="25"/>
    </x:row>
    <x:row r="82">
      <x:c r="D82" s="22"/>
      <x:c r="F82" s="23"/>
      <x:c r="H82" s="25"/>
    </x:row>
    <x:row r="83">
      <x:c r="D83" s="22"/>
      <x:c r="F83" s="23"/>
      <x:c r="H83" s="25"/>
    </x:row>
    <x:row r="84">
      <x:c r="D84" s="22"/>
      <x:c r="F84" s="23"/>
      <x:c r="H84" s="25"/>
    </x:row>
    <x:row r="85">
      <x:c r="D85" s="22"/>
      <x:c r="F85" s="23"/>
      <x:c r="H85" s="25"/>
    </x:row>
    <x:row r="86">
      <x:c r="D86" s="22"/>
      <x:c r="F86" s="23"/>
      <x:c r="H86" s="25"/>
    </x:row>
    <x:row r="87">
      <x:c r="D87" s="22"/>
      <x:c r="F87" s="23"/>
      <x:c r="H87" s="25"/>
    </x:row>
    <x:row r="88">
      <x:c r="D88" s="22"/>
      <x:c r="F88" s="23"/>
      <x:c r="H88" s="25"/>
    </x:row>
    <x:row r="89">
      <x:c r="D89" s="22"/>
      <x:c r="F89" s="23"/>
      <x:c r="H89" s="25"/>
    </x:row>
    <x:row r="90">
      <x:c r="D90" s="22"/>
      <x:c r="F90" s="23"/>
      <x:c r="H90" s="25"/>
    </x:row>
    <x:row r="91">
      <x:c r="D91" s="22"/>
      <x:c r="F91" s="23"/>
      <x:c r="H91" s="25"/>
    </x:row>
    <x:row r="92">
      <x:c r="D92" s="22"/>
      <x:c r="F92" s="23"/>
      <x:c r="H92" s="25"/>
    </x:row>
    <x:row r="93">
      <x:c r="D93" s="22"/>
      <x:c r="F93" s="23"/>
      <x:c r="H93" s="25"/>
    </x:row>
    <x:row r="94">
      <x:c r="D94" s="22"/>
      <x:c r="F94" s="23"/>
      <x:c r="H94" s="25"/>
    </x:row>
    <x:row r="95">
      <x:c r="D95" s="22"/>
      <x:c r="F95" s="23"/>
      <x:c r="H95" s="25"/>
    </x:row>
    <x:row r="96">
      <x:c r="D96" s="22"/>
      <x:c r="F96" s="23"/>
      <x:c r="H96" s="25"/>
    </x:row>
    <x:row r="97">
      <x:c r="D97" s="22"/>
      <x:c r="F97" s="23"/>
      <x:c r="H97" s="25"/>
    </x:row>
    <x:row r="98">
      <x:c r="D98" s="22"/>
      <x:c r="F98" s="23"/>
      <x:c r="H98" s="25"/>
    </x:row>
    <x:row r="99">
      <x:c r="D99" s="22"/>
      <x:c r="F99" s="23"/>
      <x:c r="H99" s="25"/>
    </x:row>
    <x:row r="100">
      <x:c r="D100" s="22"/>
      <x:c r="F100" s="23"/>
      <x:c r="H100" s="25"/>
    </x:row>
    <x:row r="101">
      <x:c r="D101" s="22"/>
      <x:c r="F101" s="23"/>
      <x:c r="H101" s="25"/>
    </x:row>
    <x:row r="102">
      <x:c r="D102" s="22"/>
      <x:c r="F102" s="23"/>
      <x:c r="H102" s="25"/>
    </x:row>
    <x:row r="103">
      <x:c r="D103" s="22"/>
      <x:c r="F103" s="23"/>
      <x:c r="H103" s="25"/>
    </x:row>
    <x:row r="104">
      <x:c r="D104" s="22"/>
      <x:c r="F104" s="23"/>
      <x:c r="H104" s="25"/>
    </x:row>
    <x:row r="105">
      <x:c r="D105" s="22"/>
      <x:c r="F105" s="23"/>
      <x:c r="H105" s="25"/>
    </x:row>
    <x:row r="106">
      <x:c r="D106" s="22"/>
      <x:c r="F106" s="23"/>
      <x:c r="H106" s="25"/>
    </x:row>
    <x:row r="107">
      <x:c r="D107" s="22"/>
      <x:c r="F107" s="23"/>
      <x:c r="H107" s="25"/>
    </x:row>
    <x:row r="108">
      <x:c r="D108" s="22"/>
      <x:c r="F108" s="23"/>
      <x:c r="H108" s="25"/>
    </x:row>
    <x:row r="109">
      <x:c r="D109" s="22"/>
      <x:c r="F109" s="23"/>
      <x:c r="H109" s="25"/>
    </x:row>
    <x:row r="110">
      <x:c r="D110" s="22"/>
      <x:c r="F110" s="23"/>
      <x:c r="H110" s="25"/>
    </x:row>
    <x:row r="111">
      <x:c r="D111" s="22"/>
      <x:c r="F111" s="23"/>
      <x:c r="H111" s="25"/>
    </x:row>
    <x:row r="112">
      <x:c r="D112" s="22"/>
      <x:c r="F112" s="23"/>
      <x:c r="H112" s="25"/>
    </x:row>
    <x:row r="113">
      <x:c r="D113" s="22"/>
      <x:c r="F113" s="23"/>
      <x:c r="H113" s="25"/>
    </x:row>
    <x:row r="114">
      <x:c r="D114" s="22"/>
      <x:c r="F114" s="23"/>
      <x:c r="H114" s="25"/>
    </x:row>
    <x:row r="115">
      <x:c r="D115" s="22"/>
      <x:c r="F115" s="23"/>
      <x:c r="H115" s="25"/>
    </x:row>
    <x:row r="116">
      <x:c r="D116" s="22"/>
      <x:c r="F116" s="23"/>
      <x:c r="H116" s="25"/>
    </x:row>
    <x:row r="117">
      <x:c r="D117" s="22"/>
      <x:c r="F117" s="23"/>
      <x:c r="H117" s="25"/>
    </x:row>
    <x:row r="118">
      <x:c r="D118" s="22"/>
      <x:c r="F118" s="23"/>
      <x:c r="H118" s="25"/>
    </x:row>
    <x:row r="119">
      <x:c r="D119" s="22"/>
      <x:c r="F119" s="23"/>
      <x:c r="H119" s="25"/>
    </x:row>
    <x:row r="120">
      <x:c r="D120" s="22"/>
      <x:c r="F120" s="23"/>
      <x:c r="H120" s="25"/>
    </x:row>
    <x:row r="121">
      <x:c r="D121" s="22"/>
      <x:c r="F121" s="23"/>
      <x:c r="H121" s="25"/>
    </x:row>
    <x:row r="122">
      <x:c r="D122" s="22"/>
      <x:c r="F122" s="23"/>
      <x:c r="H122" s="25"/>
    </x:row>
    <x:row r="123">
      <x:c r="D123" s="22"/>
      <x:c r="F123" s="23"/>
      <x:c r="H123" s="25"/>
    </x:row>
    <x:row r="124">
      <x:c r="D124" s="22"/>
      <x:c r="F124" s="23"/>
      <x:c r="H124" s="25"/>
    </x:row>
    <x:row r="125">
      <x:c r="D125" s="22"/>
      <x:c r="F125" s="23"/>
      <x:c r="H125" s="25"/>
    </x:row>
    <x:row r="126">
      <x:c r="D126" s="22"/>
      <x:c r="F126" s="23"/>
      <x:c r="H126" s="25"/>
    </x:row>
    <x:row r="127">
      <x:c r="D127" s="22"/>
      <x:c r="F127" s="23"/>
      <x:c r="H127" s="25"/>
    </x:row>
    <x:row r="128">
      <x:c r="D128" s="22"/>
      <x:c r="F128" s="23"/>
      <x:c r="H128" s="25"/>
    </x:row>
    <x:row r="129">
      <x:c r="D129" s="22"/>
      <x:c r="F129" s="23"/>
      <x:c r="H129" s="25"/>
    </x:row>
    <x:row r="130">
      <x:c r="D130" s="22"/>
      <x:c r="F130" s="23"/>
      <x:c r="H130" s="25"/>
    </x:row>
    <x:row r="131">
      <x:c r="D131" s="22"/>
      <x:c r="F131" s="23"/>
      <x:c r="H131" s="25"/>
    </x:row>
    <x:row r="132">
      <x:c r="D132" s="22"/>
      <x:c r="F132" s="23"/>
      <x:c r="H132" s="25"/>
    </x:row>
    <x:row r="133">
      <x:c r="D133" s="22"/>
      <x:c r="F133" s="23"/>
      <x:c r="H133" s="25"/>
    </x:row>
    <x:row r="134">
      <x:c r="D134" s="22"/>
      <x:c r="F134" s="23"/>
      <x:c r="H134" s="25"/>
    </x:row>
    <x:row r="135">
      <x:c r="D135" s="22"/>
      <x:c r="F135" s="23"/>
      <x:c r="H135" s="25"/>
    </x:row>
    <x:row r="136">
      <x:c r="D136" s="22"/>
      <x:c r="F136" s="23"/>
      <x:c r="H136" s="25"/>
    </x:row>
    <x:row r="137">
      <x:c r="D137" s="22"/>
      <x:c r="F137" s="23"/>
      <x:c r="H137" s="25"/>
    </x:row>
    <x:row r="138">
      <x:c r="D138" s="22"/>
      <x:c r="F138" s="23"/>
      <x:c r="H138" s="25"/>
    </x:row>
    <x:row r="139">
      <x:c r="D139" s="22"/>
      <x:c r="F139" s="23"/>
      <x:c r="H139" s="25"/>
    </x:row>
    <x:row r="140">
      <x:c r="D140" s="22"/>
      <x:c r="F140" s="23"/>
      <x:c r="H140" s="25"/>
    </x:row>
    <x:row r="141">
      <x:c r="D141" s="22"/>
      <x:c r="F141" s="23"/>
      <x:c r="H141" s="25"/>
    </x:row>
    <x:row r="142">
      <x:c r="D142" s="22"/>
      <x:c r="F142" s="23"/>
      <x:c r="H142" s="25"/>
    </x:row>
    <x:row r="143">
      <x:c r="D143" s="22"/>
      <x:c r="F143" s="23"/>
      <x:c r="H143" s="25"/>
    </x:row>
    <x:row r="144">
      <x:c r="D144" s="22"/>
      <x:c r="F144" s="23"/>
      <x:c r="H144" s="25"/>
    </x:row>
    <x:row r="145">
      <x:c r="D145" s="22"/>
      <x:c r="F145" s="23"/>
      <x:c r="H145" s="25"/>
    </x:row>
    <x:row r="146">
      <x:c r="D146" s="22"/>
      <x:c r="F146" s="23"/>
      <x:c r="H146" s="25"/>
    </x:row>
    <x:row r="147">
      <x:c r="D147" s="22"/>
      <x:c r="F147" s="23"/>
      <x:c r="H147" s="25"/>
    </x:row>
    <x:row r="148">
      <x:c r="D148" s="22"/>
      <x:c r="F148" s="23"/>
      <x:c r="H148" s="25"/>
    </x:row>
    <x:row r="149">
      <x:c r="D149" s="22"/>
      <x:c r="F149" s="23"/>
      <x:c r="H149" s="25"/>
    </x:row>
    <x:row r="150">
      <x:c r="D150" s="22"/>
      <x:c r="F150" s="23"/>
      <x:c r="H150" s="25"/>
    </x:row>
    <x:row r="151">
      <x:c r="D151" s="22"/>
      <x:c r="F151" s="23"/>
      <x:c r="H151" s="25"/>
    </x:row>
    <x:row r="152">
      <x:c r="D152" s="22"/>
      <x:c r="F152" s="23"/>
      <x:c r="H152" s="25"/>
    </x:row>
    <x:row r="153">
      <x:c r="D153" s="22"/>
      <x:c r="F153" s="23"/>
      <x:c r="H153" s="25"/>
    </x:row>
    <x:row r="154">
      <x:c r="D154" s="22"/>
      <x:c r="F154" s="23"/>
      <x:c r="H154" s="25"/>
    </x:row>
    <x:row r="155">
      <x:c r="D155" s="22"/>
      <x:c r="F155" s="23"/>
      <x:c r="H155" s="25"/>
    </x:row>
    <x:row r="156">
      <x:c r="D156" s="22"/>
      <x:c r="F156" s="23"/>
      <x:c r="H156" s="25"/>
    </x:row>
    <x:row r="157">
      <x:c r="D157" s="22"/>
      <x:c r="F157" s="23"/>
      <x:c r="H157" s="25"/>
    </x:row>
    <x:row r="158">
      <x:c r="D158" s="22"/>
      <x:c r="F158" s="23"/>
      <x:c r="H158" s="25"/>
    </x:row>
    <x:row r="159">
      <x:c r="D159" s="22"/>
      <x:c r="F159" s="23"/>
      <x:c r="H159" s="25"/>
    </x:row>
    <x:row r="160">
      <x:c r="D160" s="22"/>
      <x:c r="F160" s="23"/>
      <x:c r="H160" s="25"/>
    </x:row>
    <x:row r="161">
      <x:c r="D161" s="22"/>
      <x:c r="F161" s="23"/>
      <x:c r="H161" s="25"/>
    </x:row>
    <x:row r="162">
      <x:c r="D162" s="22"/>
      <x:c r="F162" s="23"/>
      <x:c r="H162" s="25"/>
    </x:row>
    <x:row r="163">
      <x:c r="D163" s="22"/>
      <x:c r="F163" s="23"/>
      <x:c r="H163" s="25"/>
    </x:row>
    <x:row r="164">
      <x:c r="D164" s="22"/>
      <x:c r="F164" s="23"/>
      <x:c r="H164" s="25"/>
    </x:row>
    <x:row r="165">
      <x:c r="D165" s="22"/>
      <x:c r="F165" s="23"/>
      <x:c r="H165" s="25"/>
    </x:row>
    <x:row r="166">
      <x:c r="D166" s="22"/>
      <x:c r="F166" s="23"/>
      <x:c r="H166" s="25"/>
    </x:row>
    <x:row r="167">
      <x:c r="D167" s="22"/>
      <x:c r="F167" s="23"/>
      <x:c r="H167" s="25"/>
    </x:row>
    <x:row r="168">
      <x:c r="D168" s="22"/>
      <x:c r="F168" s="23"/>
      <x:c r="H168" s="25"/>
    </x:row>
    <x:row r="169">
      <x:c r="D169" s="22"/>
      <x:c r="F169" s="23"/>
      <x:c r="H169" s="25"/>
    </x:row>
    <x:row r="170">
      <x:c r="D170" s="22"/>
      <x:c r="F170" s="23"/>
      <x:c r="H170" s="25"/>
    </x:row>
    <x:row r="171">
      <x:c r="D171" s="22"/>
      <x:c r="F171" s="23"/>
      <x:c r="H171" s="25"/>
    </x:row>
    <x:row r="172">
      <x:c r="D172" s="22"/>
      <x:c r="F172" s="23"/>
      <x:c r="H172" s="25"/>
    </x:row>
    <x:row r="173">
      <x:c r="D173" s="22"/>
      <x:c r="F173" s="23"/>
      <x:c r="H173" s="25"/>
    </x:row>
    <x:row r="174">
      <x:c r="D174" s="22"/>
      <x:c r="F174" s="23"/>
      <x:c r="H174" s="25"/>
    </x:row>
    <x:row r="175">
      <x:c r="D175" s="22"/>
      <x:c r="F175" s="23"/>
      <x:c r="H175" s="25"/>
    </x:row>
    <x:row r="176">
      <x:c r="D176" s="22"/>
      <x:c r="F176" s="23"/>
      <x:c r="H176" s="25"/>
    </x:row>
    <x:row r="177">
      <x:c r="D177" s="22"/>
      <x:c r="F177" s="23"/>
      <x:c r="H177" s="25"/>
    </x:row>
    <x:row r="178">
      <x:c r="D178" s="22"/>
      <x:c r="F178" s="23"/>
      <x:c r="H178" s="25"/>
    </x:row>
    <x:row r="179">
      <x:c r="D179" s="22"/>
      <x:c r="F179" s="23"/>
      <x:c r="H179" s="25"/>
    </x:row>
    <x:row r="180">
      <x:c r="D180" s="22"/>
      <x:c r="F180" s="23"/>
      <x:c r="H180" s="25"/>
    </x:row>
    <x:row r="181">
      <x:c r="D181" s="22"/>
      <x:c r="F181" s="23"/>
      <x:c r="H181" s="25"/>
    </x:row>
    <x:row r="182">
      <x:c r="D182" s="22"/>
      <x:c r="F182" s="23"/>
      <x:c r="H182" s="25"/>
    </x:row>
    <x:row r="183">
      <x:c r="D183" s="22"/>
      <x:c r="F183" s="23"/>
      <x:c r="H183" s="25"/>
    </x:row>
    <x:row r="184">
      <x:c r="D184" s="22"/>
      <x:c r="F184" s="23"/>
      <x:c r="H184" s="25"/>
    </x:row>
    <x:row r="185">
      <x:c r="D185" s="22"/>
      <x:c r="F185" s="23"/>
      <x:c r="H185" s="25"/>
    </x:row>
    <x:row r="186">
      <x:c r="D186" s="22"/>
      <x:c r="F186" s="23"/>
      <x:c r="H186" s="25"/>
    </x:row>
    <x:row r="187">
      <x:c r="D187" s="22"/>
      <x:c r="F187" s="23"/>
      <x:c r="H187" s="25"/>
    </x:row>
    <x:row r="188">
      <x:c r="D188" s="22"/>
      <x:c r="F188" s="23"/>
      <x:c r="H188" s="25"/>
    </x:row>
    <x:row r="189">
      <x:c r="D189" s="22"/>
      <x:c r="F189" s="23"/>
      <x:c r="H189" s="25"/>
    </x:row>
    <x:row r="190">
      <x:c r="D190" s="22"/>
      <x:c r="F190" s="23"/>
      <x:c r="H190" s="25"/>
    </x:row>
    <x:row r="191">
      <x:c r="D191" s="22"/>
      <x:c r="F191" s="23"/>
      <x:c r="H191" s="25"/>
    </x:row>
    <x:row r="192">
      <x:c r="D192" s="22"/>
      <x:c r="F192" s="23"/>
      <x:c r="H192" s="25"/>
    </x:row>
    <x:row r="193">
      <x:c r="D193" s="22"/>
      <x:c r="F193" s="23"/>
      <x:c r="H193" s="25"/>
    </x:row>
    <x:row r="194">
      <x:c r="D194" s="22"/>
      <x:c r="F194" s="23"/>
      <x:c r="H194" s="25"/>
    </x:row>
    <x:row r="195">
      <x:c r="D195" s="22"/>
      <x:c r="F195" s="23"/>
      <x:c r="H195" s="25"/>
    </x:row>
    <x:row r="196">
      <x:c r="D196" s="22"/>
      <x:c r="F196" s="23"/>
      <x:c r="H196" s="25"/>
    </x:row>
    <x:row r="197">
      <x:c r="D197" s="22"/>
      <x:c r="F197" s="23"/>
      <x:c r="H197" s="25"/>
    </x:row>
    <x:row r="198">
      <x:c r="D198" s="22"/>
      <x:c r="F198" s="23"/>
      <x:c r="H198" s="25"/>
    </x:row>
    <x:row r="199">
      <x:c r="D199" s="22"/>
      <x:c r="F199" s="23"/>
      <x:c r="H199" s="25"/>
    </x:row>
    <x:row r="200">
      <x:c r="D200" s="22"/>
      <x:c r="F200" s="23"/>
      <x:c r="H200" s="25"/>
    </x:row>
    <x:row r="201">
      <x:c r="D201" s="22"/>
      <x:c r="F201" s="23"/>
      <x:c r="H201" s="25"/>
    </x:row>
    <x:row r="202">
      <x:c r="D202" s="22"/>
      <x:c r="F202" s="23"/>
      <x:c r="H202" s="25"/>
    </x:row>
    <x:row r="203">
      <x:c r="D203" s="22"/>
      <x:c r="F203" s="23"/>
      <x:c r="H203" s="25"/>
    </x:row>
    <x:row r="204">
      <x:c r="D204" s="22"/>
      <x:c r="F204" s="23"/>
      <x:c r="H204" s="25"/>
    </x:row>
    <x:row r="205">
      <x:c r="D205" s="22"/>
      <x:c r="F205" s="23"/>
      <x:c r="H205" s="25"/>
    </x:row>
    <x:row r="206">
      <x:c r="D206" s="22"/>
      <x:c r="F206" s="23"/>
      <x:c r="H206" s="25"/>
    </x:row>
    <x:row r="207">
      <x:c r="D207" s="22"/>
      <x:c r="F207" s="23"/>
      <x:c r="H207" s="25"/>
    </x:row>
    <x:row r="208">
      <x:c r="D208" s="22"/>
      <x:c r="F208" s="23"/>
      <x:c r="H208" s="25"/>
    </x:row>
    <x:row r="209">
      <x:c r="D209" s="22"/>
      <x:c r="F209" s="23"/>
      <x:c r="H209" s="25"/>
    </x:row>
    <x:row r="210">
      <x:c r="D210" s="22"/>
      <x:c r="F210" s="23"/>
      <x:c r="H210" s="25"/>
    </x:row>
    <x:row r="211">
      <x:c r="D211" s="22"/>
      <x:c r="F211" s="23"/>
      <x:c r="H211" s="25"/>
    </x:row>
    <x:row r="212">
      <x:c r="D212" s="22"/>
      <x:c r="F212" s="23"/>
      <x:c r="H212" s="25"/>
    </x:row>
    <x:row r="213">
      <x:c r="D213" s="22"/>
      <x:c r="F213" s="23"/>
      <x:c r="H213" s="25"/>
    </x:row>
    <x:row r="214">
      <x:c r="D214" s="22"/>
      <x:c r="F214" s="23"/>
      <x:c r="H214" s="25"/>
    </x:row>
    <x:row r="215">
      <x:c r="D215" s="22"/>
      <x:c r="F215" s="23"/>
      <x:c r="H215" s="25"/>
    </x:row>
    <x:row r="216">
      <x:c r="D216" s="22"/>
      <x:c r="F216" s="23"/>
      <x:c r="H216" s="25"/>
    </x:row>
    <x:row r="217">
      <x:c r="D217" s="22"/>
      <x:c r="F217" s="23"/>
      <x:c r="H217" s="25"/>
    </x:row>
    <x:row r="218">
      <x:c r="D218" s="22"/>
      <x:c r="F218" s="23"/>
      <x:c r="H218" s="25"/>
    </x:row>
    <x:row r="219">
      <x:c r="D219" s="22"/>
      <x:c r="F219" s="23"/>
      <x:c r="H219" s="25"/>
    </x:row>
    <x:row r="220">
      <x:c r="D220" s="22"/>
      <x:c r="F220" s="23"/>
      <x:c r="H220" s="25"/>
    </x:row>
    <x:row r="221">
      <x:c r="D221" s="22"/>
      <x:c r="F221" s="23"/>
      <x:c r="H221" s="25"/>
    </x:row>
    <x:row r="222">
      <x:c r="D222" s="22"/>
      <x:c r="F222" s="23"/>
      <x:c r="H222" s="25"/>
    </x:row>
    <x:row r="223">
      <x:c r="D223" s="22"/>
      <x:c r="F223" s="23"/>
      <x:c r="H223" s="25"/>
    </x:row>
    <x:row r="224">
      <x:c r="D224" s="22"/>
      <x:c r="F224" s="23"/>
      <x:c r="H224" s="25"/>
    </x:row>
    <x:row r="225">
      <x:c r="D225" s="22"/>
      <x:c r="F225" s="23"/>
      <x:c r="H225" s="25"/>
    </x:row>
    <x:row r="226">
      <x:c r="D226" s="22"/>
      <x:c r="F226" s="23"/>
      <x:c r="H226" s="25"/>
    </x:row>
    <x:row r="227">
      <x:c r="D227" s="22"/>
      <x:c r="F227" s="23"/>
      <x:c r="H227" s="25"/>
    </x:row>
    <x:row r="228">
      <x:c r="D228" s="22"/>
      <x:c r="F228" s="23"/>
      <x:c r="H228" s="25"/>
    </x:row>
    <x:row r="229">
      <x:c r="D229" s="22"/>
      <x:c r="F229" s="23"/>
      <x:c r="H229" s="25"/>
    </x:row>
    <x:row r="230">
      <x:c r="D230" s="22"/>
      <x:c r="F230" s="23"/>
      <x:c r="H230" s="25"/>
    </x:row>
    <x:row r="231">
      <x:c r="D231" s="22"/>
      <x:c r="F231" s="23"/>
      <x:c r="H231" s="25"/>
    </x:row>
    <x:row r="232">
      <x:c r="D232" s="22"/>
      <x:c r="F232" s="23"/>
      <x:c r="H232" s="25"/>
    </x:row>
    <x:row r="233">
      <x:c r="D233" s="22"/>
      <x:c r="F233" s="23"/>
      <x:c r="H233" s="25"/>
    </x:row>
    <x:row r="234">
      <x:c r="D234" s="22"/>
      <x:c r="F234" s="23"/>
      <x:c r="H234" s="25"/>
    </x:row>
    <x:row r="235">
      <x:c r="D235" s="22"/>
      <x:c r="F235" s="23"/>
      <x:c r="H235" s="25"/>
    </x:row>
    <x:row r="236">
      <x:c r="D236" s="22"/>
      <x:c r="F236" s="23"/>
      <x:c r="H236" s="25"/>
    </x:row>
    <x:row r="237">
      <x:c r="D237" s="22"/>
      <x:c r="F237" s="23"/>
      <x:c r="H237" s="25"/>
    </x:row>
    <x:row r="238">
      <x:c r="D238" s="22"/>
      <x:c r="F238" s="23"/>
      <x:c r="H238" s="25"/>
    </x:row>
    <x:row r="239">
      <x:c r="D239" s="22"/>
      <x:c r="F239" s="23"/>
      <x:c r="H239" s="25"/>
    </x:row>
    <x:row r="240">
      <x:c r="D240" s="22"/>
      <x:c r="F240" s="23"/>
      <x:c r="H240" s="25"/>
    </x:row>
    <x:row r="241">
      <x:c r="D241" s="22"/>
      <x:c r="F241" s="23"/>
      <x:c r="H241" s="25"/>
    </x:row>
    <x:row r="242">
      <x:c r="D242" s="22"/>
      <x:c r="F242" s="23"/>
      <x:c r="H242" s="25"/>
    </x:row>
    <x:row r="243">
      <x:c r="D243" s="22"/>
      <x:c r="F243" s="23"/>
      <x:c r="H243" s="25"/>
    </x:row>
    <x:row r="244">
      <x:c r="D244" s="22"/>
      <x:c r="F244" s="23"/>
      <x:c r="H244" s="25"/>
    </x:row>
    <x:row r="245">
      <x:c r="D245" s="22"/>
      <x:c r="F245" s="23"/>
      <x:c r="H245" s="25"/>
    </x:row>
    <x:row r="246">
      <x:c r="D246" s="22"/>
      <x:c r="F246" s="23"/>
      <x:c r="H246" s="25"/>
    </x:row>
    <x:row r="247">
      <x:c r="D247" s="22"/>
      <x:c r="F247" s="23"/>
      <x:c r="H247" s="25"/>
    </x:row>
    <x:row r="248">
      <x:c r="D248" s="22"/>
      <x:c r="F248" s="23"/>
      <x:c r="H248" s="25"/>
    </x:row>
    <x:row r="249">
      <x:c r="D249" s="22"/>
      <x:c r="F249" s="23"/>
      <x:c r="H249" s="25"/>
    </x:row>
    <x:row r="250">
      <x:c r="D250" s="22"/>
      <x:c r="F250" s="23"/>
      <x:c r="H250" s="25"/>
    </x:row>
    <x:row r="251">
      <x:c r="D251" s="22"/>
      <x:c r="F251" s="23"/>
      <x:c r="H251" s="25"/>
    </x:row>
    <x:row r="252">
      <x:c r="D252" s="22"/>
      <x:c r="F252" s="23"/>
      <x:c r="H252" s="25"/>
    </x:row>
    <x:row r="253">
      <x:c r="D253" s="22"/>
      <x:c r="F253" s="23"/>
      <x:c r="H253" s="25"/>
    </x:row>
    <x:row r="254">
      <x:c r="D254" s="22"/>
      <x:c r="F254" s="23"/>
      <x:c r="H254" s="25"/>
    </x:row>
    <x:row r="255">
      <x:c r="D255" s="22"/>
      <x:c r="F255" s="23"/>
      <x:c r="H255" s="25"/>
    </x:row>
    <x:row r="256">
      <x:c r="D256" s="22"/>
      <x:c r="F256" s="23"/>
      <x:c r="H256" s="25"/>
    </x:row>
    <x:row r="257">
      <x:c r="D257" s="22"/>
      <x:c r="F257" s="23"/>
      <x:c r="H257" s="25"/>
    </x:row>
    <x:row r="258">
      <x:c r="D258" s="22"/>
      <x:c r="F258" s="23"/>
      <x:c r="H258" s="25"/>
    </x:row>
    <x:row r="259">
      <x:c r="D259" s="22"/>
      <x:c r="F259" s="23"/>
      <x:c r="H259" s="25"/>
    </x:row>
    <x:row r="260">
      <x:c r="D260" s="22"/>
      <x:c r="F260" s="23"/>
      <x:c r="H260" s="25"/>
    </x:row>
    <x:row r="261">
      <x:c r="D261" s="22"/>
      <x:c r="F261" s="23"/>
      <x:c r="H261" s="25"/>
    </x:row>
    <x:row r="262">
      <x:c r="D262" s="22"/>
      <x:c r="F262" s="23"/>
      <x:c r="H262" s="25"/>
    </x:row>
    <x:row r="263">
      <x:c r="D263" s="22"/>
      <x:c r="F263" s="23"/>
      <x:c r="H263" s="25"/>
    </x:row>
    <x:row r="264">
      <x:c r="D264" s="22"/>
      <x:c r="F264" s="23"/>
      <x:c r="H264" s="25"/>
    </x:row>
    <x:row r="265">
      <x:c r="D265" s="22"/>
      <x:c r="F265" s="23"/>
      <x:c r="H265" s="25"/>
    </x:row>
    <x:row r="266">
      <x:c r="D266" s="22"/>
      <x:c r="F266" s="23"/>
      <x:c r="H266" s="25"/>
    </x:row>
    <x:row r="267">
      <x:c r="D267" s="22"/>
      <x:c r="F267" s="23"/>
      <x:c r="H267" s="25"/>
    </x:row>
    <x:row r="268">
      <x:c r="D268" s="22"/>
      <x:c r="F268" s="23"/>
      <x:c r="H268" s="25"/>
    </x:row>
    <x:row r="269">
      <x:c r="D269" s="22"/>
      <x:c r="F269" s="23"/>
      <x:c r="H269" s="25"/>
    </x:row>
    <x:row r="270">
      <x:c r="D270" s="22"/>
      <x:c r="F270" s="23"/>
      <x:c r="H270" s="25"/>
    </x:row>
    <x:row r="271">
      <x:c r="D271" s="22"/>
      <x:c r="F271" s="23"/>
      <x:c r="H271" s="25"/>
    </x:row>
    <x:row r="272">
      <x:c r="D272" s="22"/>
      <x:c r="F272" s="23"/>
      <x:c r="H272" s="25"/>
    </x:row>
    <x:row r="273">
      <x:c r="D273" s="22"/>
      <x:c r="F273" s="23"/>
      <x:c r="H273" s="25"/>
    </x:row>
    <x:row r="274">
      <x:c r="D274" s="22"/>
      <x:c r="F274" s="23"/>
      <x:c r="H274" s="25"/>
    </x:row>
    <x:row r="275">
      <x:c r="D275" s="22"/>
      <x:c r="F275" s="23"/>
      <x:c r="H275" s="25"/>
    </x:row>
    <x:row r="276">
      <x:c r="D276" s="22"/>
      <x:c r="F276" s="23"/>
      <x:c r="H276" s="25"/>
    </x:row>
    <x:row r="277">
      <x:c r="D277" s="22"/>
      <x:c r="F277" s="23"/>
      <x:c r="H277" s="25"/>
    </x:row>
    <x:row r="278">
      <x:c r="D278" s="22"/>
      <x:c r="F278" s="23"/>
      <x:c r="H278" s="25"/>
    </x:row>
    <x:row r="279">
      <x:c r="D279" s="22"/>
      <x:c r="F279" s="23"/>
      <x:c r="H279" s="25"/>
    </x:row>
    <x:row r="280">
      <x:c r="D280" s="22"/>
      <x:c r="F280" s="23"/>
      <x:c r="H280" s="25"/>
    </x:row>
    <x:row r="281">
      <x:c r="D281" s="22"/>
      <x:c r="F281" s="23"/>
      <x:c r="H281" s="25"/>
    </x:row>
    <x:row r="282">
      <x:c r="D282" s="22"/>
      <x:c r="F282" s="23"/>
      <x:c r="H282" s="25"/>
    </x:row>
    <x:row r="283">
      <x:c r="D283" s="22"/>
      <x:c r="F283" s="23"/>
      <x:c r="H283" s="25"/>
    </x:row>
    <x:row r="284">
      <x:c r="D284" s="22"/>
      <x:c r="F284" s="23"/>
      <x:c r="H284" s="25"/>
    </x:row>
    <x:row r="285">
      <x:c r="D285" s="22"/>
      <x:c r="F285" s="23"/>
      <x:c r="H285" s="25"/>
    </x:row>
    <x:row r="286">
      <x:c r="D286" s="22"/>
      <x:c r="F286" s="23"/>
      <x:c r="H286" s="25"/>
    </x:row>
    <x:row r="287">
      <x:c r="D287" s="22"/>
      <x:c r="F287" s="23"/>
      <x:c r="H287" s="25"/>
    </x:row>
    <x:row r="288">
      <x:c r="D288" s="22"/>
      <x:c r="F288" s="23"/>
      <x:c r="H288" s="25"/>
    </x:row>
    <x:row r="289">
      <x:c r="D289" s="22"/>
      <x:c r="F289" s="23"/>
      <x:c r="H289" s="25"/>
    </x:row>
    <x:row r="290">
      <x:c r="D290" s="22"/>
      <x:c r="F290" s="23"/>
      <x:c r="H290" s="25"/>
    </x:row>
    <x:row r="291">
      <x:c r="D291" s="22"/>
      <x:c r="F291" s="23"/>
      <x:c r="H291" s="25"/>
    </x:row>
    <x:row r="292">
      <x:c r="D292" s="22"/>
      <x:c r="F292" s="23"/>
      <x:c r="H292" s="25"/>
    </x:row>
    <x:row r="293">
      <x:c r="D293" s="22"/>
      <x:c r="F293" s="23"/>
      <x:c r="H293" s="25"/>
    </x:row>
    <x:row r="294">
      <x:c r="D294" s="22"/>
      <x:c r="F294" s="23"/>
      <x:c r="H294" s="25"/>
    </x:row>
    <x:row r="295">
      <x:c r="D295" s="22"/>
      <x:c r="F295" s="23"/>
      <x:c r="H295" s="25"/>
    </x:row>
    <x:row r="296">
      <x:c r="D296" s="22"/>
      <x:c r="F296" s="23"/>
      <x:c r="H296" s="25"/>
    </x:row>
    <x:row r="297">
      <x:c r="D297" s="22"/>
      <x:c r="F297" s="23"/>
      <x:c r="H297" s="25"/>
    </x:row>
    <x:row r="298">
      <x:c r="D298" s="22"/>
      <x:c r="F298" s="23"/>
      <x:c r="H298" s="25"/>
    </x:row>
    <x:row r="299">
      <x:c r="D299" s="22"/>
      <x:c r="F299" s="23"/>
      <x:c r="H299" s="25"/>
    </x:row>
    <x:row r="300">
      <x:c r="D300" s="22"/>
      <x:c r="F300" s="23"/>
      <x:c r="H300" s="25"/>
    </x:row>
    <x:row r="301">
      <x:c r="D301" s="22"/>
      <x:c r="F301" s="23"/>
      <x:c r="H301" s="25"/>
    </x:row>
    <x:row r="302">
      <x:c r="D302" s="22"/>
      <x:c r="F302" s="23"/>
      <x:c r="H302" s="25"/>
    </x:row>
    <x:row r="303">
      <x:c r="D303" s="22"/>
      <x:c r="F303" s="23"/>
      <x:c r="H303" s="25"/>
    </x:row>
    <x:row r="304">
      <x:c r="D304" s="22"/>
      <x:c r="F304" s="23"/>
      <x:c r="H304" s="25"/>
    </x:row>
    <x:row r="305">
      <x:c r="D305" s="22"/>
      <x:c r="F305" s="23"/>
      <x:c r="H305" s="25"/>
    </x:row>
    <x:row r="306">
      <x:c r="D306" s="22"/>
      <x:c r="F306" s="23"/>
      <x:c r="H306" s="25"/>
    </x:row>
    <x:row r="307">
      <x:c r="D307" s="22"/>
      <x:c r="F307" s="23"/>
      <x:c r="H307" s="25"/>
    </x:row>
    <x:row r="308">
      <x:c r="D308" s="22"/>
      <x:c r="F308" s="23"/>
      <x:c r="H308" s="25"/>
    </x:row>
    <x:row r="309">
      <x:c r="D309" s="22"/>
      <x:c r="F309" s="23"/>
      <x:c r="H309" s="25"/>
    </x:row>
    <x:row r="310">
      <x:c r="D310" s="22"/>
      <x:c r="F310" s="23"/>
      <x:c r="H310" s="25"/>
    </x:row>
    <x:row r="311">
      <x:c r="D311" s="22"/>
      <x:c r="F311" s="23"/>
      <x:c r="H311" s="25"/>
    </x:row>
    <x:row r="312">
      <x:c r="D312" s="22"/>
      <x:c r="F312" s="23"/>
      <x:c r="H312" s="25"/>
    </x:row>
    <x:row r="313">
      <x:c r="D313" s="22"/>
      <x:c r="F313" s="23"/>
      <x:c r="H313" s="25"/>
    </x:row>
    <x:row r="314">
      <x:c r="D314" s="22"/>
      <x:c r="F314" s="23"/>
      <x:c r="H314" s="25"/>
    </x:row>
    <x:row r="315">
      <x:c r="D315" s="22"/>
      <x:c r="F315" s="23"/>
      <x:c r="H315" s="25"/>
    </x:row>
    <x:row r="316">
      <x:c r="D316" s="22"/>
      <x:c r="F316" s="23"/>
      <x:c r="H316" s="25"/>
    </x:row>
    <x:row r="317">
      <x:c r="D317" s="22"/>
      <x:c r="F317" s="23"/>
      <x:c r="H317" s="25"/>
    </x:row>
    <x:row r="318">
      <x:c r="D318" s="22"/>
      <x:c r="F318" s="23"/>
      <x:c r="H318" s="25"/>
    </x:row>
    <x:row r="319">
      <x:c r="D319" s="22"/>
      <x:c r="F319" s="23"/>
      <x:c r="H319" s="25"/>
    </x:row>
    <x:row r="320">
      <x:c r="D320" s="22"/>
      <x:c r="F320" s="23"/>
      <x:c r="H320" s="25"/>
    </x:row>
    <x:row r="321">
      <x:c r="D321" s="22"/>
      <x:c r="F321" s="23"/>
      <x:c r="H321" s="25"/>
    </x:row>
    <x:row r="322">
      <x:c r="D322" s="22"/>
      <x:c r="F322" s="23"/>
      <x:c r="H322" s="25"/>
    </x:row>
    <x:row r="323">
      <x:c r="D323" s="22"/>
      <x:c r="F323" s="23"/>
      <x:c r="H323" s="25"/>
    </x:row>
    <x:row r="324">
      <x:c r="D324" s="22"/>
      <x:c r="F324" s="23"/>
      <x:c r="H324" s="25"/>
    </x:row>
    <x:row r="325">
      <x:c r="D325" s="22"/>
      <x:c r="F325" s="23"/>
      <x:c r="H325" s="25"/>
    </x:row>
    <x:row r="326">
      <x:c r="D326" s="22"/>
      <x:c r="F326" s="23"/>
      <x:c r="H326" s="25"/>
    </x:row>
    <x:row r="327">
      <x:c r="D327" s="22"/>
      <x:c r="F327" s="23"/>
      <x:c r="H327" s="25"/>
    </x:row>
    <x:row r="328">
      <x:c r="D328" s="22"/>
      <x:c r="F328" s="23"/>
      <x:c r="H328" s="25"/>
    </x:row>
    <x:row r="329">
      <x:c r="D329" s="22"/>
      <x:c r="F329" s="23"/>
      <x:c r="H329" s="25"/>
    </x:row>
    <x:row r="330">
      <x:c r="D330" s="22"/>
      <x:c r="F330" s="23"/>
      <x:c r="H330" s="25"/>
    </x:row>
    <x:row r="331">
      <x:c r="D331" s="22"/>
      <x:c r="F331" s="23"/>
      <x:c r="H331" s="25"/>
    </x:row>
    <x:row r="332">
      <x:c r="D332" s="22"/>
      <x:c r="F332" s="23"/>
      <x:c r="H332" s="25"/>
    </x:row>
    <x:row r="333">
      <x:c r="D333" s="22"/>
      <x:c r="F333" s="23"/>
      <x:c r="H333" s="25"/>
    </x:row>
    <x:row r="334">
      <x:c r="D334" s="22"/>
      <x:c r="F334" s="23"/>
      <x:c r="H334" s="25"/>
    </x:row>
    <x:row r="335">
      <x:c r="D335" s="22"/>
      <x:c r="F335" s="23"/>
      <x:c r="H335" s="25"/>
    </x:row>
    <x:row r="336">
      <x:c r="D336" s="22"/>
      <x:c r="F336" s="23"/>
      <x:c r="H336" s="25"/>
    </x:row>
    <x:row r="337">
      <x:c r="D337" s="22"/>
      <x:c r="F337" s="23"/>
      <x:c r="H337" s="25"/>
    </x:row>
    <x:row r="338">
      <x:c r="D338" s="22"/>
      <x:c r="F338" s="23"/>
      <x:c r="H338" s="25"/>
    </x:row>
    <x:row r="339">
      <x:c r="D339" s="22"/>
      <x:c r="F339" s="23"/>
      <x:c r="H339" s="25"/>
    </x:row>
    <x:row r="340">
      <x:c r="D340" s="22"/>
      <x:c r="F340" s="23"/>
      <x:c r="H340" s="25"/>
    </x:row>
    <x:row r="341">
      <x:c r="D341" s="22"/>
      <x:c r="F341" s="23"/>
      <x:c r="H341" s="25"/>
    </x:row>
    <x:row r="342">
      <x:c r="D342" s="22"/>
      <x:c r="F342" s="23"/>
      <x:c r="H342" s="25"/>
    </x:row>
    <x:row r="343">
      <x:c r="D343" s="22"/>
      <x:c r="F343" s="23"/>
      <x:c r="H343" s="25"/>
    </x:row>
    <x:row r="344">
      <x:c r="D344" s="22"/>
      <x:c r="F344" s="23"/>
      <x:c r="H344" s="25"/>
    </x:row>
    <x:row r="345">
      <x:c r="D345" s="22"/>
      <x:c r="F345" s="23"/>
      <x:c r="H345" s="25"/>
    </x:row>
    <x:row r="346">
      <x:c r="D346" s="22"/>
      <x:c r="F346" s="23"/>
      <x:c r="H346" s="25"/>
    </x:row>
    <x:row r="347">
      <x:c r="D347" s="22"/>
      <x:c r="F347" s="23"/>
      <x:c r="H347" s="25"/>
    </x:row>
    <x:row r="348">
      <x:c r="D348" s="22"/>
      <x:c r="F348" s="23"/>
      <x:c r="H348" s="25"/>
    </x:row>
    <x:row r="349">
      <x:c r="D349" s="22"/>
      <x:c r="F349" s="23"/>
      <x:c r="H349" s="25"/>
    </x:row>
    <x:row r="350">
      <x:c r="D350" s="22"/>
      <x:c r="F350" s="23"/>
      <x:c r="H350" s="25"/>
    </x:row>
    <x:row r="351">
      <x:c r="D351" s="22"/>
      <x:c r="F351" s="23"/>
      <x:c r="H351" s="25"/>
    </x:row>
    <x:row r="352">
      <x:c r="D352" s="22"/>
      <x:c r="F352" s="23"/>
      <x:c r="H352" s="25"/>
    </x:row>
    <x:row r="353">
      <x:c r="D353" s="22"/>
      <x:c r="F353" s="23"/>
      <x:c r="H353" s="25"/>
    </x:row>
    <x:row r="354">
      <x:c r="D354" s="22"/>
      <x:c r="F354" s="23"/>
      <x:c r="H354" s="25"/>
    </x:row>
    <x:row r="355">
      <x:c r="D355" s="22"/>
      <x:c r="F355" s="23"/>
      <x:c r="H355" s="25"/>
    </x:row>
    <x:row r="356">
      <x:c r="D356" s="22"/>
      <x:c r="F356" s="23"/>
      <x:c r="H356" s="25"/>
    </x:row>
    <x:row r="357">
      <x:c r="D357" s="22"/>
      <x:c r="F357" s="23"/>
      <x:c r="H357" s="25"/>
    </x:row>
    <x:row r="358">
      <x:c r="D358" s="22"/>
      <x:c r="F358" s="23"/>
      <x:c r="H358" s="25"/>
    </x:row>
    <x:row r="359">
      <x:c r="D359" s="22"/>
      <x:c r="F359" s="23"/>
      <x:c r="H359" s="25"/>
    </x:row>
    <x:row r="360">
      <x:c r="D360" s="22"/>
      <x:c r="F360" s="23"/>
      <x:c r="H360" s="25"/>
    </x:row>
    <x:row r="361">
      <x:c r="D361" s="22"/>
      <x:c r="F361" s="23"/>
      <x:c r="H361" s="25"/>
    </x:row>
    <x:row r="362">
      <x:c r="D362" s="22"/>
      <x:c r="F362" s="23"/>
      <x:c r="H362" s="25"/>
    </x:row>
    <x:row r="363">
      <x:c r="D363" s="22"/>
      <x:c r="F363" s="23"/>
      <x:c r="H363" s="25"/>
    </x:row>
    <x:row r="364">
      <x:c r="D364" s="22"/>
      <x:c r="F364" s="23"/>
      <x:c r="H364" s="25"/>
    </x:row>
    <x:row r="365">
      <x:c r="D365" s="22"/>
      <x:c r="F365" s="23"/>
      <x:c r="H365" s="25"/>
    </x:row>
    <x:row r="366">
      <x:c r="D366" s="22"/>
      <x:c r="F366" s="23"/>
      <x:c r="H366" s="25"/>
    </x:row>
    <x:row r="367">
      <x:c r="D367" s="22"/>
      <x:c r="F367" s="23"/>
      <x:c r="H367" s="25"/>
    </x:row>
    <x:row r="368">
      <x:c r="D368" s="22"/>
      <x:c r="F368" s="23"/>
      <x:c r="H368" s="25"/>
    </x:row>
    <x:row r="369">
      <x:c r="D369" s="22"/>
      <x:c r="F369" s="23"/>
      <x:c r="H369" s="25"/>
    </x:row>
    <x:row r="370">
      <x:c r="D370" s="22"/>
      <x:c r="F370" s="23"/>
      <x:c r="H370" s="25"/>
    </x:row>
    <x:row r="371">
      <x:c r="D371" s="22"/>
      <x:c r="F371" s="23"/>
      <x:c r="H371" s="25"/>
    </x:row>
    <x:row r="372">
      <x:c r="D372" s="22"/>
      <x:c r="F372" s="23"/>
      <x:c r="H372" s="25"/>
    </x:row>
    <x:row r="373">
      <x:c r="D373" s="22"/>
      <x:c r="F373" s="23"/>
      <x:c r="H373" s="25"/>
    </x:row>
    <x:row r="374">
      <x:c r="D374" s="22"/>
      <x:c r="F374" s="23"/>
      <x:c r="H374" s="25"/>
    </x:row>
    <x:row r="375">
      <x:c r="D375" s="22"/>
      <x:c r="F375" s="23"/>
      <x:c r="H375" s="25"/>
    </x:row>
    <x:row r="376">
      <x:c r="D376" s="22"/>
      <x:c r="F376" s="23"/>
      <x:c r="H376" s="25"/>
    </x:row>
    <x:row r="377">
      <x:c r="D377" s="22"/>
      <x:c r="F377" s="23"/>
      <x:c r="H377" s="25"/>
    </x:row>
    <x:row r="378">
      <x:c r="D378" s="22"/>
      <x:c r="F378" s="23"/>
      <x:c r="H378" s="25"/>
    </x:row>
    <x:row r="379">
      <x:c r="D379" s="22"/>
      <x:c r="F379" s="23"/>
      <x:c r="H379" s="25"/>
    </x:row>
    <x:row r="380">
      <x:c r="D380" s="22"/>
      <x:c r="F380" s="23"/>
      <x:c r="H380" s="25"/>
    </x:row>
    <x:row r="381">
      <x:c r="D381" s="22"/>
      <x:c r="F381" s="23"/>
      <x:c r="H381" s="25"/>
    </x:row>
    <x:row r="382">
      <x:c r="D382" s="22"/>
      <x:c r="F382" s="23"/>
      <x:c r="H382" s="25"/>
    </x:row>
    <x:row r="383">
      <x:c r="D383" s="22"/>
      <x:c r="F383" s="23"/>
      <x:c r="H383" s="25"/>
    </x:row>
    <x:row r="384">
      <x:c r="D384" s="22"/>
      <x:c r="F384" s="23"/>
      <x:c r="H384" s="25"/>
    </x:row>
    <x:row r="385">
      <x:c r="D385" s="22"/>
      <x:c r="F385" s="23"/>
      <x:c r="H385" s="25"/>
    </x:row>
    <x:row r="386">
      <x:c r="D386" s="22"/>
      <x:c r="F386" s="23"/>
      <x:c r="H386" s="25"/>
    </x:row>
    <x:row r="387">
      <x:c r="D387" s="22"/>
      <x:c r="F387" s="23"/>
      <x:c r="H387" s="25"/>
    </x:row>
    <x:row r="388">
      <x:c r="D388" s="22"/>
      <x:c r="F388" s="23"/>
      <x:c r="H388" s="25"/>
    </x:row>
    <x:row r="389">
      <x:c r="D389" s="22"/>
      <x:c r="F389" s="23"/>
      <x:c r="H389" s="25"/>
    </x:row>
    <x:row r="390">
      <x:c r="D390" s="22"/>
      <x:c r="F390" s="23"/>
      <x:c r="H390" s="25"/>
    </x:row>
    <x:row r="391">
      <x:c r="D391" s="22"/>
      <x:c r="F391" s="23"/>
      <x:c r="H391" s="25"/>
    </x:row>
    <x:row r="392">
      <x:c r="D392" s="22"/>
      <x:c r="F392" s="23"/>
      <x:c r="H392" s="25"/>
    </x:row>
    <x:row r="393">
      <x:c r="D393" s="22"/>
      <x:c r="F393" s="23"/>
      <x:c r="H393" s="25"/>
    </x:row>
    <x:row r="394">
      <x:c r="D394" s="22"/>
      <x:c r="F394" s="23"/>
      <x:c r="H394" s="25"/>
    </x:row>
    <x:row r="395">
      <x:c r="D395" s="22"/>
      <x:c r="F395" s="23"/>
      <x:c r="H395" s="25"/>
    </x:row>
    <x:row r="396">
      <x:c r="D396" s="22"/>
      <x:c r="F396" s="23"/>
      <x:c r="H396" s="25"/>
    </x:row>
    <x:row r="397">
      <x:c r="D397" s="22"/>
      <x:c r="F397" s="23"/>
      <x:c r="H397" s="25"/>
    </x:row>
    <x:row r="398">
      <x:c r="D398" s="22"/>
      <x:c r="F398" s="23"/>
      <x:c r="H398" s="25"/>
    </x:row>
    <x:row r="399">
      <x:c r="D399" s="22"/>
      <x:c r="F399" s="23"/>
      <x:c r="H399" s="25"/>
    </x:row>
    <x:row r="400">
      <x:c r="D400" s="22"/>
      <x:c r="F400" s="23"/>
      <x:c r="H400" s="25"/>
    </x:row>
    <x:row r="401">
      <x:c r="D401" s="22"/>
      <x:c r="F401" s="23"/>
      <x:c r="H401" s="25"/>
    </x:row>
    <x:row r="402">
      <x:c r="D402" s="22"/>
      <x:c r="F402" s="23"/>
      <x:c r="H402" s="25"/>
    </x:row>
    <x:row r="403">
      <x:c r="D403" s="22"/>
      <x:c r="F403" s="23"/>
      <x:c r="H403" s="25"/>
    </x:row>
    <x:row r="404">
      <x:c r="D404" s="22"/>
      <x:c r="F404" s="23"/>
      <x:c r="H404" s="25"/>
    </x:row>
    <x:row r="405">
      <x:c r="D405" s="22"/>
      <x:c r="F405" s="23"/>
      <x:c r="H405" s="25"/>
    </x:row>
    <x:row r="406">
      <x:c r="D406" s="22"/>
      <x:c r="F406" s="23"/>
      <x:c r="H406" s="25"/>
    </x:row>
    <x:row r="407">
      <x:c r="D407" s="22"/>
      <x:c r="F407" s="23"/>
      <x:c r="H407" s="25"/>
    </x:row>
    <x:row r="408">
      <x:c r="D408" s="22"/>
      <x:c r="F408" s="23"/>
      <x:c r="H408" s="25"/>
    </x:row>
    <x:row r="409">
      <x:c r="D409" s="22"/>
      <x:c r="F409" s="23"/>
      <x:c r="H409" s="25"/>
    </x:row>
    <x:row r="410">
      <x:c r="D410" s="22"/>
      <x:c r="F410" s="23"/>
      <x:c r="H410" s="25"/>
    </x:row>
    <x:row r="411">
      <x:c r="D411" s="22"/>
      <x:c r="F411" s="23"/>
      <x:c r="H411" s="25"/>
    </x:row>
    <x:row r="412">
      <x:c r="D412" s="22"/>
      <x:c r="F412" s="23"/>
      <x:c r="H412" s="25"/>
    </x:row>
    <x:row r="413">
      <x:c r="D413" s="22"/>
      <x:c r="F413" s="23"/>
      <x:c r="H413" s="25"/>
    </x:row>
    <x:row r="414">
      <x:c r="D414" s="22"/>
      <x:c r="F414" s="23"/>
      <x:c r="H414" s="25"/>
    </x:row>
    <x:row r="415">
      <x:c r="D415" s="22"/>
      <x:c r="F415" s="23"/>
      <x:c r="H415" s="25"/>
    </x:row>
    <x:row r="416">
      <x:c r="D416" s="22"/>
      <x:c r="F416" s="23"/>
      <x:c r="H416" s="25"/>
    </x:row>
    <x:row r="417">
      <x:c r="D417" s="22"/>
      <x:c r="F417" s="23"/>
      <x:c r="H417" s="25"/>
    </x:row>
    <x:row r="418">
      <x:c r="D418" s="22"/>
      <x:c r="F418" s="23"/>
      <x:c r="H418" s="25"/>
    </x:row>
    <x:row r="419">
      <x:c r="D419" s="22"/>
      <x:c r="F419" s="23"/>
      <x:c r="H419" s="25"/>
    </x:row>
    <x:row r="420">
      <x:c r="D420" s="22"/>
      <x:c r="F420" s="23"/>
      <x:c r="H420" s="25"/>
    </x:row>
    <x:row r="421">
      <x:c r="D421" s="22"/>
      <x:c r="F421" s="23"/>
      <x:c r="H421" s="25"/>
    </x:row>
    <x:row r="422">
      <x:c r="D422" s="22"/>
      <x:c r="F422" s="23"/>
      <x:c r="H422" s="25"/>
    </x:row>
    <x:row r="423">
      <x:c r="D423" s="22"/>
      <x:c r="F423" s="23"/>
      <x:c r="H423" s="25"/>
    </x:row>
    <x:row r="424">
      <x:c r="D424" s="22"/>
      <x:c r="F424" s="23"/>
      <x:c r="H424" s="25"/>
    </x:row>
    <x:row r="425">
      <x:c r="D425" s="22"/>
      <x:c r="F425" s="23"/>
      <x:c r="H425" s="25"/>
    </x:row>
    <x:row r="426">
      <x:c r="D426" s="22"/>
      <x:c r="F426" s="23"/>
      <x:c r="H426" s="25"/>
    </x:row>
    <x:row r="427">
      <x:c r="D427" s="22"/>
      <x:c r="F427" s="23"/>
      <x:c r="H427" s="25"/>
    </x:row>
    <x:row r="428">
      <x:c r="D428" s="22"/>
      <x:c r="F428" s="23"/>
      <x:c r="H428" s="25"/>
    </x:row>
    <x:row r="429">
      <x:c r="D429" s="22"/>
      <x:c r="F429" s="23"/>
      <x:c r="H429" s="25"/>
    </x:row>
    <x:row r="430">
      <x:c r="D430" s="22"/>
      <x:c r="F430" s="23"/>
      <x:c r="H430" s="25"/>
    </x:row>
    <x:row r="431">
      <x:c r="D431" s="22"/>
      <x:c r="F431" s="23"/>
      <x:c r="H431" s="25"/>
    </x:row>
    <x:row r="432">
      <x:c r="D432" s="22"/>
      <x:c r="F432" s="23"/>
      <x:c r="H432" s="25"/>
    </x:row>
    <x:row r="433">
      <x:c r="D433" s="22"/>
      <x:c r="F433" s="23"/>
      <x:c r="H433" s="25"/>
    </x:row>
    <x:row r="434">
      <x:c r="D434" s="22"/>
      <x:c r="F434" s="23"/>
      <x:c r="H434" s="25"/>
    </x:row>
    <x:row r="435">
      <x:c r="D435" s="22"/>
      <x:c r="F435" s="23"/>
      <x:c r="H435" s="25"/>
    </x:row>
    <x:row r="436">
      <x:c r="D436" s="22"/>
      <x:c r="F436" s="23"/>
      <x:c r="H436" s="25"/>
    </x:row>
    <x:row r="437">
      <x:c r="D437" s="22"/>
      <x:c r="F437" s="23"/>
      <x:c r="H437" s="25"/>
    </x:row>
    <x:row r="438">
      <x:c r="D438" s="22"/>
      <x:c r="F438" s="23"/>
      <x:c r="H438" s="25"/>
    </x:row>
    <x:row r="439">
      <x:c r="D439" s="22"/>
      <x:c r="F439" s="23"/>
      <x:c r="H439" s="25"/>
    </x:row>
    <x:row r="440">
      <x:c r="D440" s="22"/>
      <x:c r="F440" s="23"/>
      <x:c r="H440" s="25"/>
    </x:row>
    <x:row r="441">
      <x:c r="D441" s="22"/>
      <x:c r="F441" s="23"/>
      <x:c r="H441" s="25"/>
    </x:row>
    <x:row r="442">
      <x:c r="D442" s="22"/>
      <x:c r="F442" s="23"/>
      <x:c r="H442" s="25"/>
    </x:row>
    <x:row r="443">
      <x:c r="D443" s="22"/>
      <x:c r="F443" s="23"/>
      <x:c r="H443" s="25"/>
    </x:row>
    <x:row r="444">
      <x:c r="D444" s="22"/>
      <x:c r="F444" s="23"/>
      <x:c r="H444" s="25"/>
    </x:row>
    <x:row r="445">
      <x:c r="D445" s="22"/>
      <x:c r="F445" s="23"/>
      <x:c r="H445" s="25"/>
    </x:row>
    <x:row r="446">
      <x:c r="D446" s="22"/>
      <x:c r="F446" s="23"/>
      <x:c r="H446" s="25"/>
    </x:row>
    <x:row r="447">
      <x:c r="D447" s="22"/>
      <x:c r="F447" s="23"/>
      <x:c r="H447" s="25"/>
    </x:row>
    <x:row r="448">
      <x:c r="D448" s="22"/>
      <x:c r="F448" s="23"/>
      <x:c r="H448" s="25"/>
    </x:row>
    <x:row r="449">
      <x:c r="D449" s="22"/>
      <x:c r="F449" s="23"/>
      <x:c r="H449" s="25"/>
    </x:row>
    <x:row r="450">
      <x:c r="D450" s="22"/>
      <x:c r="F450" s="23"/>
      <x:c r="H450" s="25"/>
    </x:row>
    <x:row r="451">
      <x:c r="D451" s="22"/>
      <x:c r="F451" s="23"/>
      <x:c r="H451" s="25"/>
    </x:row>
    <x:row r="452">
      <x:c r="D452" s="22"/>
      <x:c r="F452" s="23"/>
      <x:c r="H452" s="25"/>
    </x:row>
    <x:row r="453">
      <x:c r="D453" s="22"/>
      <x:c r="F453" s="23"/>
      <x:c r="H453" s="25"/>
    </x:row>
    <x:row r="454">
      <x:c r="D454" s="22"/>
      <x:c r="F454" s="23"/>
      <x:c r="H454" s="25"/>
    </x:row>
    <x:row r="455">
      <x:c r="D455" s="22"/>
      <x:c r="F455" s="23"/>
      <x:c r="H455" s="25"/>
    </x:row>
    <x:row r="456">
      <x:c r="D456" s="22"/>
      <x:c r="F456" s="23"/>
      <x:c r="H456" s="25"/>
    </x:row>
    <x:row r="457">
      <x:c r="D457" s="22"/>
      <x:c r="F457" s="23"/>
      <x:c r="H457" s="25"/>
    </x:row>
    <x:row r="458">
      <x:c r="D458" s="22"/>
      <x:c r="F458" s="23"/>
      <x:c r="H458" s="25"/>
    </x:row>
    <x:row r="459">
      <x:c r="D459" s="22"/>
      <x:c r="F459" s="23"/>
      <x:c r="H459" s="25"/>
    </x:row>
    <x:row r="460">
      <x:c r="D460" s="22"/>
      <x:c r="F460" s="23"/>
      <x:c r="H460" s="25"/>
    </x:row>
    <x:row r="461">
      <x:c r="D461" s="22"/>
      <x:c r="F461" s="23"/>
      <x:c r="H461" s="25"/>
    </x:row>
    <x:row r="462">
      <x:c r="D462" s="22"/>
      <x:c r="F462" s="23"/>
      <x:c r="H462" s="25"/>
    </x:row>
    <x:row r="463">
      <x:c r="D463" s="22"/>
      <x:c r="F463" s="23"/>
      <x:c r="H463" s="25"/>
    </x:row>
    <x:row r="464">
      <x:c r="D464" s="22"/>
      <x:c r="F464" s="23"/>
      <x:c r="H464" s="25"/>
    </x:row>
    <x:row r="465">
      <x:c r="D465" s="22"/>
      <x:c r="F465" s="23"/>
      <x:c r="H465" s="25"/>
    </x:row>
    <x:row r="466">
      <x:c r="D466" s="22"/>
      <x:c r="F466" s="23"/>
      <x:c r="H466" s="25"/>
    </x:row>
    <x:row r="467">
      <x:c r="D467" s="22"/>
      <x:c r="F467" s="23"/>
      <x:c r="H467" s="25"/>
    </x:row>
    <x:row r="468">
      <x:c r="D468" s="22"/>
      <x:c r="F468" s="23"/>
      <x:c r="H468" s="25"/>
    </x:row>
    <x:row r="469">
      <x:c r="D469" s="22"/>
      <x:c r="F469" s="23"/>
      <x:c r="H469" s="25"/>
    </x:row>
    <x:row r="470">
      <x:c r="D470" s="22"/>
      <x:c r="F470" s="23"/>
      <x:c r="H470" s="25"/>
    </x:row>
    <x:row r="471">
      <x:c r="D471" s="22"/>
      <x:c r="F471" s="23"/>
      <x:c r="H471" s="25"/>
    </x:row>
    <x:row r="472">
      <x:c r="D472" s="22"/>
      <x:c r="F472" s="23"/>
      <x:c r="H472" s="25"/>
    </x:row>
    <x:row r="473">
      <x:c r="D473" s="22"/>
      <x:c r="F473" s="23"/>
      <x:c r="H473" s="25"/>
    </x:row>
    <x:row r="474">
      <x:c r="D474" s="22"/>
      <x:c r="F474" s="23"/>
      <x:c r="H474" s="25"/>
    </x:row>
    <x:row r="475">
      <x:c r="D475" s="22"/>
      <x:c r="F475" s="23"/>
      <x:c r="H475" s="25"/>
    </x:row>
    <x:row r="476">
      <x:c r="D476" s="22"/>
      <x:c r="F476" s="23"/>
      <x:c r="H476" s="25"/>
    </x:row>
    <x:row r="477">
      <x:c r="D477" s="22"/>
      <x:c r="F477" s="23"/>
      <x:c r="H477" s="25"/>
    </x:row>
    <x:row r="478">
      <x:c r="D478" s="22"/>
      <x:c r="F478" s="23"/>
      <x:c r="H478" s="25"/>
    </x:row>
    <x:row r="479">
      <x:c r="D479" s="22"/>
      <x:c r="F479" s="23"/>
      <x:c r="H479" s="25"/>
    </x:row>
    <x:row r="480">
      <x:c r="D480" s="22"/>
      <x:c r="F480" s="23"/>
      <x:c r="H480" s="25"/>
    </x:row>
    <x:row r="481">
      <x:c r="D481" s="22"/>
      <x:c r="F481" s="23"/>
      <x:c r="H481" s="25"/>
    </x:row>
    <x:row r="482">
      <x:c r="D482" s="22"/>
      <x:c r="F482" s="23"/>
      <x:c r="H482" s="25"/>
    </x:row>
    <x:row r="483">
      <x:c r="D483" s="22"/>
      <x:c r="F483" s="23"/>
      <x:c r="H483" s="25"/>
    </x:row>
    <x:row r="484">
      <x:c r="D484" s="22"/>
      <x:c r="F484" s="23"/>
      <x:c r="H484" s="25"/>
    </x:row>
    <x:row r="485">
      <x:c r="D485" s="22"/>
      <x:c r="F485" s="23"/>
      <x:c r="H485" s="25"/>
    </x:row>
    <x:row r="486">
      <x:c r="D486" s="22"/>
      <x:c r="F486" s="23"/>
      <x:c r="H486" s="25"/>
    </x:row>
    <x:row r="487">
      <x:c r="D487" s="22"/>
      <x:c r="F487" s="23"/>
      <x:c r="H487" s="25"/>
    </x:row>
    <x:row r="488">
      <x:c r="D488" s="22"/>
      <x:c r="F488" s="23"/>
      <x:c r="H488" s="25"/>
    </x:row>
    <x:row r="489">
      <x:c r="D489" s="22"/>
      <x:c r="F489" s="23"/>
      <x:c r="H489" s="25"/>
    </x:row>
    <x:row r="490">
      <x:c r="D490" s="22"/>
      <x:c r="F490" s="23"/>
      <x:c r="H490" s="25"/>
    </x:row>
    <x:row r="491">
      <x:c r="D491" s="22"/>
      <x:c r="F491" s="23"/>
      <x:c r="H491" s="25"/>
    </x:row>
    <x:row r="492">
      <x:c r="D492" s="22"/>
      <x:c r="F492" s="23"/>
      <x:c r="H492" s="25"/>
    </x:row>
    <x:row r="493">
      <x:c r="D493" s="22"/>
      <x:c r="F493" s="23"/>
      <x:c r="H493" s="25"/>
    </x:row>
    <x:row r="494">
      <x:c r="D494" s="22"/>
      <x:c r="F494" s="23"/>
      <x:c r="H494" s="25"/>
    </x:row>
    <x:row r="495">
      <x:c r="D495" s="22"/>
      <x:c r="F495" s="23"/>
      <x:c r="H495" s="25"/>
    </x:row>
    <x:row r="496">
      <x:c r="D496" s="22"/>
      <x:c r="F496" s="23"/>
      <x:c r="H496" s="25"/>
    </x:row>
    <x:row r="497">
      <x:c r="D497" s="22"/>
      <x:c r="F497" s="23"/>
      <x:c r="H497" s="25"/>
    </x:row>
    <x:row r="498">
      <x:c r="D498" s="22"/>
      <x:c r="F498" s="23"/>
      <x:c r="H498" s="25"/>
    </x:row>
    <x:row r="499">
      <x:c r="D499" s="22"/>
      <x:c r="F499" s="23"/>
      <x:c r="H499" s="25"/>
    </x:row>
    <x:row r="500">
      <x:c r="D500" s="22"/>
      <x:c r="F500" s="23"/>
      <x:c r="H500" s="25"/>
    </x:row>
    <x:row r="501">
      <x:c r="D501" s="22"/>
      <x:c r="F501" s="23"/>
      <x:c r="H501" s="25"/>
    </x:row>
    <x:row r="502">
      <x:c r="D502" s="22"/>
      <x:c r="F502" s="23"/>
      <x:c r="H502" s="25"/>
    </x:row>
    <x:row r="503">
      <x:c r="D503" s="22"/>
      <x:c r="F503" s="23"/>
      <x:c r="H503" s="25"/>
    </x:row>
    <x:row r="504">
      <x:c r="D504" s="22"/>
      <x:c r="F504" s="23"/>
      <x:c r="H504" s="25"/>
    </x:row>
    <x:row r="505">
      <x:c r="D505" s="22"/>
      <x:c r="F505" s="23"/>
      <x:c r="H505" s="25"/>
    </x:row>
    <x:row r="506">
      <x:c r="D506" s="22"/>
      <x:c r="F506" s="23"/>
      <x:c r="H506" s="25"/>
    </x:row>
    <x:row r="507">
      <x:c r="D507" s="22"/>
      <x:c r="F507" s="23"/>
      <x:c r="H507" s="25"/>
    </x:row>
    <x:row r="508">
      <x:c r="D508" s="22"/>
      <x:c r="F508" s="23"/>
      <x:c r="H508" s="25"/>
    </x:row>
    <x:row r="509">
      <x:c r="D509" s="22"/>
      <x:c r="F509" s="23"/>
      <x:c r="H509" s="25"/>
    </x:row>
    <x:row r="510">
      <x:c r="D510" s="22"/>
      <x:c r="F510" s="23"/>
      <x:c r="H510" s="25"/>
    </x:row>
    <x:row r="511">
      <x:c r="D511" s="22"/>
      <x:c r="F511" s="23"/>
      <x:c r="H511" s="25"/>
    </x:row>
    <x:row r="512">
      <x:c r="D512" s="22"/>
      <x:c r="F512" s="23"/>
      <x:c r="H512" s="25"/>
    </x:row>
    <x:row r="513">
      <x:c r="D513" s="22"/>
      <x:c r="F513" s="23"/>
      <x:c r="H513" s="25"/>
    </x:row>
    <x:row r="514">
      <x:c r="D514" s="22"/>
      <x:c r="F514" s="23"/>
      <x:c r="H514" s="25"/>
    </x:row>
    <x:row r="515">
      <x:c r="D515" s="22"/>
      <x:c r="F515" s="23"/>
      <x:c r="H515" s="25"/>
    </x:row>
    <x:row r="516">
      <x:c r="D516" s="22"/>
      <x:c r="F516" s="23"/>
      <x:c r="H516" s="25"/>
    </x:row>
    <x:row r="517">
      <x:c r="D517" s="22"/>
      <x:c r="F517" s="23"/>
      <x:c r="H517" s="25"/>
    </x:row>
    <x:row r="518">
      <x:c r="D518" s="22"/>
      <x:c r="F518" s="23"/>
      <x:c r="H518" s="25"/>
    </x:row>
    <x:row r="519">
      <x:c r="D519" s="22"/>
      <x:c r="F519" s="23"/>
      <x:c r="H519" s="25"/>
    </x:row>
    <x:row r="520">
      <x:c r="D520" s="22"/>
      <x:c r="F520" s="23"/>
      <x:c r="H520" s="25"/>
    </x:row>
    <x:row r="521">
      <x:c r="D521" s="22"/>
      <x:c r="F521" s="23"/>
      <x:c r="H521" s="25"/>
    </x:row>
    <x:row r="522">
      <x:c r="D522" s="22"/>
      <x:c r="F522" s="23"/>
      <x:c r="H522" s="25"/>
    </x:row>
    <x:row r="523">
      <x:c r="D523" s="22"/>
      <x:c r="F523" s="23"/>
      <x:c r="H523" s="25"/>
    </x:row>
    <x:row r="524">
      <x:c r="D524" s="22"/>
      <x:c r="F524" s="23"/>
      <x:c r="H524" s="25"/>
    </x:row>
    <x:row r="525">
      <x:c r="D525" s="22"/>
      <x:c r="F525" s="23"/>
      <x:c r="H525" s="25"/>
    </x:row>
    <x:row r="526">
      <x:c r="D526" s="22"/>
      <x:c r="F526" s="23"/>
      <x:c r="H526" s="25"/>
    </x:row>
    <x:row r="527">
      <x:c r="D527" s="22"/>
      <x:c r="F527" s="23"/>
      <x:c r="H527" s="25"/>
    </x:row>
    <x:row r="528">
      <x:c r="D528" s="22"/>
      <x:c r="F528" s="23"/>
      <x:c r="H528" s="25"/>
    </x:row>
    <x:row r="529">
      <x:c r="D529" s="22"/>
      <x:c r="F529" s="23"/>
      <x:c r="H529" s="25"/>
    </x:row>
    <x:row r="530">
      <x:c r="D530" s="22"/>
      <x:c r="F530" s="23"/>
      <x:c r="H530" s="25"/>
    </x:row>
    <x:row r="531">
      <x:c r="D531" s="22"/>
      <x:c r="F531" s="23"/>
      <x:c r="H531" s="25"/>
    </x:row>
    <x:row r="532">
      <x:c r="D532" s="22"/>
      <x:c r="F532" s="23"/>
      <x:c r="H532" s="25"/>
    </x:row>
    <x:row r="533">
      <x:c r="D533" s="22"/>
      <x:c r="F533" s="23"/>
      <x:c r="H533" s="25"/>
    </x:row>
    <x:row r="534">
      <x:c r="D534" s="22"/>
      <x:c r="F534" s="23"/>
      <x:c r="H534" s="25"/>
    </x:row>
    <x:row r="535">
      <x:c r="D535" s="22"/>
      <x:c r="F535" s="23"/>
      <x:c r="H535" s="25"/>
    </x:row>
    <x:row r="536">
      <x:c r="D536" s="22"/>
      <x:c r="F536" s="23"/>
      <x:c r="H536" s="25"/>
    </x:row>
    <x:row r="537">
      <x:c r="D537" s="22"/>
      <x:c r="F537" s="23"/>
      <x:c r="H537" s="25"/>
    </x:row>
    <x:row r="538">
      <x:c r="D538" s="22"/>
      <x:c r="F538" s="23"/>
      <x:c r="H538" s="25"/>
    </x:row>
    <x:row r="539">
      <x:c r="D539" s="22"/>
      <x:c r="F539" s="23"/>
      <x:c r="H539" s="25"/>
    </x:row>
    <x:row r="540">
      <x:c r="D540" s="22"/>
      <x:c r="F540" s="23"/>
      <x:c r="H540" s="25"/>
    </x:row>
    <x:row r="541">
      <x:c r="D541" s="22"/>
      <x:c r="F541" s="23"/>
      <x:c r="H541" s="25"/>
    </x:row>
    <x:row r="542">
      <x:c r="D542" s="22"/>
      <x:c r="F542" s="23"/>
      <x:c r="H542" s="25"/>
    </x:row>
    <x:row r="543">
      <x:c r="D543" s="22"/>
      <x:c r="F543" s="23"/>
      <x:c r="H543" s="25"/>
    </x:row>
    <x:row r="544">
      <x:c r="D544" s="22"/>
      <x:c r="F544" s="23"/>
      <x:c r="H544" s="25"/>
    </x:row>
    <x:row r="545">
      <x:c r="D545" s="22"/>
      <x:c r="F545" s="23"/>
      <x:c r="H545" s="25"/>
    </x:row>
    <x:row r="546">
      <x:c r="D546" s="22"/>
      <x:c r="F546" s="23"/>
      <x:c r="H546" s="25"/>
    </x:row>
    <x:row r="547">
      <x:c r="D547" s="22"/>
      <x:c r="F547" s="23"/>
      <x:c r="H547" s="25"/>
    </x:row>
    <x:row r="548">
      <x:c r="D548" s="22"/>
      <x:c r="F548" s="23"/>
      <x:c r="H548" s="25"/>
    </x:row>
    <x:row r="549">
      <x:c r="D549" s="22"/>
      <x:c r="F549" s="23"/>
      <x:c r="H549" s="25"/>
    </x:row>
    <x:row r="550">
      <x:c r="D550" s="22"/>
      <x:c r="F550" s="23"/>
      <x:c r="H550" s="25"/>
    </x:row>
    <x:row r="551">
      <x:c r="D551" s="22"/>
      <x:c r="F551" s="23"/>
      <x:c r="H551" s="25"/>
    </x:row>
    <x:row r="552">
      <x:c r="D552" s="22"/>
      <x:c r="F552" s="23"/>
      <x:c r="H552" s="25"/>
    </x:row>
    <x:row r="553">
      <x:c r="D553" s="22"/>
      <x:c r="F553" s="23"/>
      <x:c r="H553" s="25"/>
    </x:row>
    <x:row r="554">
      <x:c r="D554" s="22"/>
      <x:c r="F554" s="23"/>
      <x:c r="H554" s="25"/>
    </x:row>
    <x:row r="555">
      <x:c r="D555" s="22"/>
      <x:c r="F555" s="23"/>
      <x:c r="H555" s="25"/>
    </x:row>
    <x:row r="556">
      <x:c r="D556" s="22"/>
      <x:c r="F556" s="23"/>
      <x:c r="H556" s="25"/>
    </x:row>
    <x:row r="557">
      <x:c r="D557" s="22"/>
      <x:c r="F557" s="23"/>
      <x:c r="H557" s="25"/>
    </x:row>
    <x:row r="558">
      <x:c r="D558" s="22"/>
      <x:c r="F558" s="23"/>
      <x:c r="H558" s="25"/>
    </x:row>
    <x:row r="559">
      <x:c r="D559" s="22"/>
      <x:c r="F559" s="23"/>
      <x:c r="H559" s="25"/>
    </x:row>
    <x:row r="560">
      <x:c r="D560" s="22"/>
      <x:c r="F560" s="23"/>
      <x:c r="H560" s="25"/>
    </x:row>
    <x:row r="561">
      <x:c r="D561" s="22"/>
      <x:c r="F561" s="23"/>
      <x:c r="H561" s="25"/>
    </x:row>
    <x:row r="562">
      <x:c r="D562" s="22"/>
      <x:c r="F562" s="23"/>
      <x:c r="H562" s="25"/>
    </x:row>
    <x:row r="563">
      <x:c r="D563" s="22"/>
      <x:c r="F563" s="23"/>
      <x:c r="H563" s="25"/>
    </x:row>
    <x:row r="564">
      <x:c r="D564" s="22"/>
      <x:c r="F564" s="23"/>
      <x:c r="H564" s="25"/>
    </x:row>
    <x:row r="565">
      <x:c r="D565" s="22"/>
      <x:c r="F565" s="23"/>
      <x:c r="H565" s="25"/>
    </x:row>
    <x:row r="566">
      <x:c r="D566" s="22"/>
      <x:c r="F566" s="23"/>
      <x:c r="H566" s="25"/>
    </x:row>
    <x:row r="567">
      <x:c r="D567" s="22"/>
      <x:c r="F567" s="23"/>
      <x:c r="H567" s="25"/>
    </x:row>
    <x:row r="568">
      <x:c r="D568" s="22"/>
      <x:c r="F568" s="23"/>
      <x:c r="H568" s="25"/>
    </x:row>
    <x:row r="569">
      <x:c r="D569" s="22"/>
      <x:c r="F569" s="23"/>
      <x:c r="H569" s="25"/>
    </x:row>
    <x:row r="570">
      <x:c r="D570" s="22"/>
      <x:c r="F570" s="23"/>
      <x:c r="H570" s="25"/>
    </x:row>
    <x:row r="571">
      <x:c r="D571" s="22"/>
      <x:c r="F571" s="23"/>
      <x:c r="H571" s="25"/>
    </x:row>
    <x:row r="572">
      <x:c r="D572" s="22"/>
      <x:c r="F572" s="23"/>
      <x:c r="H572" s="25"/>
    </x:row>
    <x:row r="573">
      <x:c r="D573" s="22"/>
      <x:c r="F573" s="23"/>
      <x:c r="H573" s="25"/>
    </x:row>
    <x:row r="574">
      <x:c r="D574" s="22"/>
      <x:c r="F574" s="23"/>
      <x:c r="H574" s="25"/>
    </x:row>
    <x:row r="575">
      <x:c r="D575" s="22"/>
      <x:c r="F575" s="23"/>
      <x:c r="H575" s="25"/>
    </x:row>
    <x:row r="576">
      <x:c r="D576" s="22"/>
      <x:c r="F576" s="23"/>
      <x:c r="H576" s="25"/>
    </x:row>
    <x:row r="577">
      <x:c r="D577" s="22"/>
      <x:c r="F577" s="23"/>
      <x:c r="H577" s="25"/>
    </x:row>
    <x:row r="578">
      <x:c r="D578" s="22"/>
      <x:c r="F578" s="23"/>
      <x:c r="H578" s="25"/>
    </x:row>
    <x:row r="579">
      <x:c r="D579" s="22"/>
      <x:c r="F579" s="23"/>
      <x:c r="H579" s="25"/>
    </x:row>
    <x:row r="580">
      <x:c r="D580" s="22"/>
      <x:c r="F580" s="23"/>
      <x:c r="H580" s="25"/>
    </x:row>
    <x:row r="581">
      <x:c r="D581" s="22"/>
      <x:c r="F581" s="23"/>
      <x:c r="H581" s="25"/>
    </x:row>
    <x:row r="582">
      <x:c r="D582" s="22"/>
      <x:c r="F582" s="23"/>
      <x:c r="H582" s="25"/>
    </x:row>
    <x:row r="583">
      <x:c r="D583" s="22"/>
      <x:c r="F583" s="23"/>
      <x:c r="H583" s="25"/>
    </x:row>
    <x:row r="584">
      <x:c r="D584" s="22"/>
      <x:c r="F584" s="23"/>
      <x:c r="H584" s="25"/>
    </x:row>
    <x:row r="585">
      <x:c r="D585" s="22"/>
      <x:c r="F585" s="23"/>
      <x:c r="H585" s="25"/>
    </x:row>
    <x:row r="586">
      <x:c r="D586" s="22"/>
      <x:c r="F586" s="23"/>
      <x:c r="H586" s="25"/>
    </x:row>
    <x:row r="587">
      <x:c r="D587" s="22"/>
      <x:c r="F587" s="23"/>
      <x:c r="H587" s="25"/>
    </x:row>
    <x:row r="588">
      <x:c r="D588" s="22"/>
      <x:c r="F588" s="23"/>
      <x:c r="H588" s="25"/>
    </x:row>
    <x:row r="589">
      <x:c r="D589" s="22"/>
      <x:c r="F589" s="23"/>
      <x:c r="H589" s="25"/>
    </x:row>
    <x:row r="590">
      <x:c r="D590" s="22"/>
      <x:c r="F590" s="23"/>
      <x:c r="H590" s="25"/>
    </x:row>
    <x:row r="591">
      <x:c r="D591" s="22"/>
      <x:c r="F591" s="23"/>
      <x:c r="H591" s="25"/>
    </x:row>
    <x:row r="592">
      <x:c r="D592" s="22"/>
      <x:c r="F592" s="23"/>
      <x:c r="H592" s="25"/>
    </x:row>
    <x:row r="593">
      <x:c r="D593" s="22"/>
      <x:c r="F593" s="23"/>
      <x:c r="H593" s="25"/>
    </x:row>
    <x:row r="594">
      <x:c r="D594" s="22"/>
      <x:c r="F594" s="23"/>
      <x:c r="H594" s="25"/>
    </x:row>
    <x:row r="595">
      <x:c r="D595" s="22"/>
      <x:c r="F595" s="23"/>
      <x:c r="H595" s="25"/>
    </x:row>
    <x:row r="596">
      <x:c r="D596" s="22"/>
      <x:c r="F596" s="23"/>
      <x:c r="H596" s="25"/>
    </x:row>
    <x:row r="597">
      <x:c r="D597" s="22"/>
      <x:c r="F597" s="23"/>
      <x:c r="H597" s="25"/>
    </x:row>
    <x:row r="598">
      <x:c r="D598" s="22"/>
      <x:c r="F598" s="23"/>
      <x:c r="H598" s="25"/>
    </x:row>
    <x:row r="599">
      <x:c r="D599" s="22"/>
      <x:c r="F599" s="23"/>
      <x:c r="H599" s="25"/>
    </x:row>
    <x:row r="600">
      <x:c r="D600" s="22"/>
      <x:c r="F600" s="23"/>
      <x:c r="H600" s="25"/>
    </x:row>
    <x:row r="601">
      <x:c r="D601" s="22"/>
      <x:c r="F601" s="23"/>
      <x:c r="H601" s="25"/>
    </x:row>
    <x:row r="602">
      <x:c r="D602" s="22"/>
      <x:c r="F602" s="23"/>
      <x:c r="H602" s="25"/>
    </x:row>
    <x:row r="603">
      <x:c r="D603" s="22"/>
      <x:c r="F603" s="23"/>
      <x:c r="H603" s="25"/>
    </x:row>
    <x:row r="604">
      <x:c r="D604" s="22"/>
      <x:c r="F604" s="23"/>
      <x:c r="H604" s="25"/>
    </x:row>
    <x:row r="605">
      <x:c r="D605" s="22"/>
      <x:c r="F605" s="23"/>
      <x:c r="H605" s="25"/>
    </x:row>
    <x:row r="606">
      <x:c r="D606" s="22"/>
      <x:c r="F606" s="23"/>
      <x:c r="H606" s="25"/>
    </x:row>
    <x:row r="607">
      <x:c r="D607" s="22"/>
      <x:c r="F607" s="23"/>
      <x:c r="H607" s="25"/>
    </x:row>
    <x:row r="608">
      <x:c r="D608" s="22"/>
      <x:c r="F608" s="23"/>
      <x:c r="H608" s="25"/>
    </x:row>
    <x:row r="609">
      <x:c r="D609" s="22"/>
      <x:c r="F609" s="23"/>
      <x:c r="H609" s="25"/>
    </x:row>
    <x:row r="610">
      <x:c r="D610" s="22"/>
      <x:c r="F610" s="23"/>
      <x:c r="H610" s="25"/>
    </x:row>
    <x:row r="611">
      <x:c r="D611" s="22"/>
      <x:c r="F611" s="23"/>
      <x:c r="H611" s="25"/>
    </x:row>
    <x:row r="612">
      <x:c r="D612" s="22"/>
      <x:c r="F612" s="23"/>
      <x:c r="H612" s="25"/>
    </x:row>
    <x:row r="613">
      <x:c r="D613" s="22"/>
      <x:c r="F613" s="23"/>
      <x:c r="H613" s="25"/>
    </x:row>
    <x:row r="614">
      <x:c r="D614" s="22"/>
      <x:c r="F614" s="23"/>
      <x:c r="H614" s="25"/>
    </x:row>
    <x:row r="615">
      <x:c r="D615" s="22"/>
      <x:c r="F615" s="23"/>
      <x:c r="H615" s="25"/>
    </x:row>
    <x:row r="616">
      <x:c r="D616" s="22"/>
      <x:c r="F616" s="23"/>
      <x:c r="H616" s="25"/>
    </x:row>
    <x:row r="617">
      <x:c r="D617" s="22"/>
      <x:c r="F617" s="23"/>
      <x:c r="H617" s="25"/>
    </x:row>
    <x:row r="618">
      <x:c r="D618" s="22"/>
      <x:c r="F618" s="23"/>
      <x:c r="H618" s="25"/>
    </x:row>
    <x:row r="619">
      <x:c r="D619" s="22"/>
      <x:c r="F619" s="23"/>
      <x:c r="H619" s="25"/>
    </x:row>
    <x:row r="620">
      <x:c r="D620" s="22"/>
      <x:c r="F620" s="23"/>
      <x:c r="H620" s="25"/>
    </x:row>
    <x:row r="621">
      <x:c r="D621" s="22"/>
      <x:c r="F621" s="23"/>
      <x:c r="H621" s="25"/>
    </x:row>
    <x:row r="622">
      <x:c r="D622" s="22"/>
      <x:c r="F622" s="23"/>
      <x:c r="H622" s="25"/>
    </x:row>
    <x:row r="623">
      <x:c r="D623" s="22"/>
      <x:c r="F623" s="23"/>
      <x:c r="H623" s="25"/>
    </x:row>
    <x:row r="624">
      <x:c r="D624" s="22"/>
      <x:c r="F624" s="23"/>
      <x:c r="H624" s="25"/>
    </x:row>
    <x:row r="625">
      <x:c r="D625" s="22"/>
      <x:c r="F625" s="23"/>
      <x:c r="H625" s="25"/>
    </x:row>
    <x:row r="626">
      <x:c r="D626" s="22"/>
      <x:c r="F626" s="23"/>
      <x:c r="H626" s="25"/>
    </x:row>
    <x:row r="627">
      <x:c r="D627" s="22"/>
      <x:c r="F627" s="23"/>
      <x:c r="H627" s="25"/>
    </x:row>
    <x:row r="628">
      <x:c r="D628" s="22"/>
      <x:c r="F628" s="23"/>
      <x:c r="H628" s="25"/>
    </x:row>
    <x:row r="629">
      <x:c r="D629" s="22"/>
      <x:c r="F629" s="23"/>
      <x:c r="H629" s="25"/>
    </x:row>
    <x:row r="630">
      <x:c r="D630" s="22"/>
      <x:c r="F630" s="23"/>
      <x:c r="H630" s="25"/>
    </x:row>
    <x:row r="631">
      <x:c r="D631" s="22"/>
      <x:c r="F631" s="23"/>
      <x:c r="H631" s="25"/>
    </x:row>
    <x:row r="632">
      <x:c r="D632" s="22"/>
      <x:c r="F632" s="23"/>
      <x:c r="H632" s="25"/>
    </x:row>
    <x:row r="633">
      <x:c r="D633" s="22"/>
      <x:c r="F633" s="23"/>
      <x:c r="H633" s="25"/>
    </x:row>
    <x:row r="634">
      <x:c r="D634" s="22"/>
      <x:c r="F634" s="23"/>
      <x:c r="H634" s="25"/>
    </x:row>
    <x:row r="635">
      <x:c r="D635" s="22"/>
      <x:c r="F635" s="23"/>
      <x:c r="H635" s="25"/>
    </x:row>
    <x:row r="636">
      <x:c r="D636" s="22"/>
      <x:c r="F636" s="23"/>
      <x:c r="H636" s="25"/>
    </x:row>
    <x:row r="637">
      <x:c r="D637" s="22"/>
      <x:c r="F637" s="23"/>
      <x:c r="H637" s="25"/>
    </x:row>
    <x:row r="638">
      <x:c r="D638" s="22"/>
      <x:c r="F638" s="23"/>
      <x:c r="H638" s="25"/>
    </x:row>
    <x:row r="639">
      <x:c r="D639" s="22"/>
      <x:c r="F639" s="23"/>
      <x:c r="H639" s="25"/>
    </x:row>
    <x:row r="640">
      <x:c r="D640" s="22"/>
      <x:c r="F640" s="23"/>
      <x:c r="H640" s="25"/>
    </x:row>
    <x:row r="641">
      <x:c r="D641" s="22"/>
      <x:c r="F641" s="23"/>
      <x:c r="H641" s="25"/>
    </x:row>
    <x:row r="642">
      <x:c r="D642" s="22"/>
      <x:c r="F642" s="23"/>
      <x:c r="H642" s="25"/>
    </x:row>
    <x:row r="643">
      <x:c r="D643" s="22"/>
      <x:c r="F643" s="23"/>
      <x:c r="H643" s="25"/>
    </x:row>
    <x:row r="644">
      <x:c r="D644" s="22"/>
      <x:c r="F644" s="23"/>
      <x:c r="H644" s="25"/>
    </x:row>
    <x:row r="645">
      <x:c r="D645" s="22"/>
      <x:c r="F645" s="23"/>
      <x:c r="H645" s="25"/>
    </x:row>
    <x:row r="646">
      <x:c r="D646" s="22"/>
      <x:c r="F646" s="23"/>
      <x:c r="H646" s="25"/>
    </x:row>
    <x:row r="647">
      <x:c r="D647" s="22"/>
      <x:c r="F647" s="23"/>
      <x:c r="H647" s="25"/>
    </x:row>
    <x:row r="648">
      <x:c r="D648" s="22"/>
      <x:c r="F648" s="23"/>
      <x:c r="H648" s="25"/>
    </x:row>
    <x:row r="649">
      <x:c r="D649" s="22"/>
      <x:c r="F649" s="23"/>
      <x:c r="H649" s="25"/>
    </x:row>
    <x:row r="650">
      <x:c r="D650" s="22"/>
      <x:c r="F650" s="23"/>
      <x:c r="H650" s="25"/>
    </x:row>
    <x:row r="651">
      <x:c r="D651" s="22"/>
      <x:c r="F651" s="23"/>
      <x:c r="H651" s="25"/>
    </x:row>
    <x:row r="652">
      <x:c r="D652" s="22"/>
      <x:c r="F652" s="23"/>
      <x:c r="H652" s="25"/>
    </x:row>
    <x:row r="653">
      <x:c r="D653" s="22"/>
      <x:c r="F653" s="23"/>
      <x:c r="H653" s="25"/>
    </x:row>
    <x:row r="654">
      <x:c r="D654" s="22"/>
      <x:c r="F654" s="23"/>
      <x:c r="H654" s="25"/>
    </x:row>
    <x:row r="655">
      <x:c r="D655" s="22"/>
      <x:c r="F655" s="23"/>
      <x:c r="H655" s="25"/>
    </x:row>
    <x:row r="656">
      <x:c r="D656" s="22"/>
      <x:c r="F656" s="23"/>
      <x:c r="H656" s="25"/>
    </x:row>
    <x:row r="657">
      <x:c r="D657" s="22"/>
      <x:c r="F657" s="23"/>
      <x:c r="H657" s="25"/>
    </x:row>
    <x:row r="658">
      <x:c r="D658" s="22"/>
      <x:c r="F658" s="23"/>
      <x:c r="H658" s="25"/>
    </x:row>
    <x:row r="659">
      <x:c r="D659" s="22"/>
      <x:c r="F659" s="23"/>
      <x:c r="H659" s="25"/>
    </x:row>
    <x:row r="660">
      <x:c r="D660" s="22"/>
      <x:c r="F660" s="23"/>
      <x:c r="H660" s="25"/>
    </x:row>
    <x:row r="661">
      <x:c r="D661" s="22"/>
      <x:c r="F661" s="23"/>
      <x:c r="H661" s="25"/>
    </x:row>
    <x:row r="662">
      <x:c r="D662" s="22"/>
      <x:c r="F662" s="23"/>
      <x:c r="H662" s="25"/>
    </x:row>
    <x:row r="663">
      <x:c r="D663" s="22"/>
      <x:c r="F663" s="23"/>
      <x:c r="H663" s="25"/>
    </x:row>
    <x:row r="664">
      <x:c r="D664" s="22"/>
      <x:c r="F664" s="23"/>
      <x:c r="H664" s="25"/>
    </x:row>
    <x:row r="665">
      <x:c r="D665" s="22"/>
      <x:c r="F665" s="23"/>
      <x:c r="H665" s="25"/>
    </x:row>
    <x:row r="666">
      <x:c r="D666" s="22"/>
      <x:c r="F666" s="23"/>
      <x:c r="H666" s="25"/>
    </x:row>
    <x:row r="667">
      <x:c r="D667" s="22"/>
      <x:c r="F667" s="23"/>
      <x:c r="H667" s="25"/>
    </x:row>
    <x:row r="668">
      <x:c r="D668" s="22"/>
      <x:c r="F668" s="23"/>
      <x:c r="H668" s="25"/>
    </x:row>
    <x:row r="669">
      <x:c r="D669" s="22"/>
      <x:c r="F669" s="23"/>
      <x:c r="H669" s="25"/>
    </x:row>
    <x:row r="670">
      <x:c r="D670" s="22"/>
      <x:c r="F670" s="23"/>
      <x:c r="H670" s="25"/>
    </x:row>
    <x:row r="671">
      <x:c r="D671" s="22"/>
      <x:c r="F671" s="23"/>
      <x:c r="H671" s="25"/>
    </x:row>
    <x:row r="672">
      <x:c r="D672" s="22"/>
      <x:c r="F672" s="23"/>
      <x:c r="H672" s="25"/>
    </x:row>
    <x:row r="673">
      <x:c r="D673" s="22"/>
      <x:c r="F673" s="23"/>
      <x:c r="H673" s="25"/>
    </x:row>
    <x:row r="674">
      <x:c r="D674" s="22"/>
      <x:c r="F674" s="23"/>
      <x:c r="H674" s="25"/>
    </x:row>
    <x:row r="675">
      <x:c r="D675" s="22"/>
      <x:c r="F675" s="23"/>
      <x:c r="H675" s="25"/>
    </x:row>
    <x:row r="676">
      <x:c r="D676" s="22"/>
      <x:c r="F676" s="23"/>
      <x:c r="H676" s="25"/>
    </x:row>
    <x:row r="677">
      <x:c r="D677" s="22"/>
      <x:c r="F677" s="23"/>
      <x:c r="H677" s="25"/>
    </x:row>
    <x:row r="678">
      <x:c r="D678" s="22"/>
      <x:c r="F678" s="23"/>
      <x:c r="H678" s="25"/>
    </x:row>
    <x:row r="679">
      <x:c r="D679" s="22"/>
      <x:c r="F679" s="23"/>
      <x:c r="H679" s="25"/>
    </x:row>
    <x:row r="680">
      <x:c r="D680" s="22"/>
      <x:c r="F680" s="23"/>
      <x:c r="H680" s="25"/>
    </x:row>
    <x:row r="681">
      <x:c r="D681" s="22"/>
      <x:c r="F681" s="23"/>
      <x:c r="H681" s="25"/>
    </x:row>
    <x:row r="682">
      <x:c r="D682" s="22"/>
      <x:c r="F682" s="23"/>
      <x:c r="H682" s="25"/>
    </x:row>
    <x:row r="683">
      <x:c r="D683" s="22"/>
      <x:c r="F683" s="23"/>
      <x:c r="H683" s="25"/>
    </x:row>
    <x:row r="684">
      <x:c r="D684" s="22"/>
      <x:c r="F684" s="23"/>
      <x:c r="H684" s="25"/>
    </x:row>
    <x:row r="685">
      <x:c r="D685" s="22"/>
      <x:c r="F685" s="23"/>
      <x:c r="H685" s="25"/>
    </x:row>
    <x:row r="686">
      <x:c r="D686" s="22"/>
      <x:c r="F686" s="23"/>
      <x:c r="H686" s="25"/>
    </x:row>
    <x:row r="687">
      <x:c r="D687" s="22"/>
      <x:c r="F687" s="23"/>
      <x:c r="H687" s="25"/>
    </x:row>
    <x:row r="688">
      <x:c r="D688" s="22"/>
      <x:c r="F688" s="23"/>
      <x:c r="H688" s="25"/>
    </x:row>
    <x:row r="689">
      <x:c r="D689" s="22"/>
      <x:c r="F689" s="23"/>
      <x:c r="H689" s="25"/>
    </x:row>
    <x:row r="690">
      <x:c r="D690" s="22"/>
      <x:c r="F690" s="23"/>
      <x:c r="H690" s="25"/>
    </x:row>
    <x:row r="691">
      <x:c r="D691" s="22"/>
      <x:c r="F691" s="23"/>
      <x:c r="H691" s="25"/>
    </x:row>
    <x:row r="692">
      <x:c r="D692" s="22"/>
      <x:c r="F692" s="23"/>
      <x:c r="H692" s="25"/>
    </x:row>
    <x:row r="693">
      <x:c r="D693" s="22"/>
      <x:c r="F693" s="23"/>
      <x:c r="H693" s="25"/>
    </x:row>
    <x:row r="694">
      <x:c r="D694" s="22"/>
      <x:c r="F694" s="23"/>
      <x:c r="H694" s="25"/>
    </x:row>
    <x:row r="695">
      <x:c r="D695" s="22"/>
      <x:c r="F695" s="23"/>
      <x:c r="H695" s="25"/>
    </x:row>
    <x:row r="696">
      <x:c r="D696" s="22"/>
      <x:c r="F696" s="23"/>
      <x:c r="H696" s="25"/>
    </x:row>
    <x:row r="697">
      <x:c r="D697" s="22"/>
      <x:c r="F697" s="23"/>
      <x:c r="H697" s="25"/>
    </x:row>
    <x:row r="698">
      <x:c r="D698" s="22"/>
      <x:c r="F698" s="23"/>
      <x:c r="H698" s="25"/>
    </x:row>
    <x:row r="699">
      <x:c r="D699" s="22"/>
      <x:c r="F699" s="23"/>
      <x:c r="H699" s="25"/>
    </x:row>
    <x:row r="700">
      <x:c r="D700" s="22"/>
      <x:c r="F700" s="23"/>
      <x:c r="H700" s="25"/>
    </x:row>
    <x:row r="701">
      <x:c r="D701" s="22"/>
      <x:c r="F701" s="23"/>
      <x:c r="H701" s="25"/>
    </x:row>
    <x:row r="702">
      <x:c r="D702" s="22"/>
      <x:c r="F702" s="23"/>
      <x:c r="H702" s="25"/>
    </x:row>
    <x:row r="703">
      <x:c r="D703" s="22"/>
      <x:c r="F703" s="23"/>
      <x:c r="H703" s="25"/>
    </x:row>
    <x:row r="704">
      <x:c r="D704" s="22"/>
      <x:c r="F704" s="23"/>
      <x:c r="H704" s="25"/>
    </x:row>
    <x:row r="705">
      <x:c r="D705" s="22"/>
      <x:c r="F705" s="23"/>
      <x:c r="H705" s="25"/>
    </x:row>
    <x:row r="706">
      <x:c r="D706" s="22"/>
      <x:c r="F706" s="23"/>
      <x:c r="H706" s="25"/>
    </x:row>
    <x:row r="707">
      <x:c r="D707" s="22"/>
      <x:c r="F707" s="23"/>
      <x:c r="H707" s="25"/>
    </x:row>
    <x:row r="708">
      <x:c r="D708" s="22"/>
      <x:c r="F708" s="23"/>
      <x:c r="H708" s="25"/>
    </x:row>
    <x:row r="709">
      <x:c r="D709" s="22"/>
      <x:c r="F709" s="23"/>
      <x:c r="H709" s="25"/>
    </x:row>
    <x:row r="710">
      <x:c r="D710" s="22"/>
      <x:c r="F710" s="23"/>
      <x:c r="H710" s="25"/>
    </x:row>
    <x:row r="711">
      <x:c r="D711" s="22"/>
      <x:c r="F711" s="23"/>
      <x:c r="H711" s="25"/>
    </x:row>
    <x:row r="712">
      <x:c r="D712" s="22"/>
      <x:c r="F712" s="23"/>
      <x:c r="H712" s="25"/>
    </x:row>
    <x:row r="713">
      <x:c r="D713" s="22"/>
      <x:c r="F713" s="23"/>
      <x:c r="H713" s="25"/>
    </x:row>
    <x:row r="714">
      <x:c r="D714" s="22"/>
      <x:c r="F714" s="23"/>
      <x:c r="H714" s="25"/>
    </x:row>
    <x:row r="715">
      <x:c r="D715" s="22"/>
      <x:c r="F715" s="23"/>
      <x:c r="H715" s="25"/>
    </x:row>
    <x:row r="716">
      <x:c r="D716" s="22"/>
      <x:c r="F716" s="23"/>
      <x:c r="H716" s="25"/>
    </x:row>
    <x:row r="717">
      <x:c r="D717" s="22"/>
      <x:c r="F717" s="23"/>
      <x:c r="H717" s="25"/>
    </x:row>
    <x:row r="718">
      <x:c r="D718" s="22"/>
      <x:c r="F718" s="23"/>
      <x:c r="H718" s="25"/>
    </x:row>
    <x:row r="719">
      <x:c r="D719" s="22"/>
      <x:c r="F719" s="23"/>
      <x:c r="H719" s="25"/>
    </x:row>
    <x:row r="720">
      <x:c r="D720" s="22"/>
      <x:c r="F720" s="23"/>
      <x:c r="H720" s="25"/>
    </x:row>
    <x:row r="721">
      <x:c r="D721" s="22"/>
      <x:c r="F721" s="23"/>
      <x:c r="H721" s="25"/>
    </x:row>
    <x:row r="722">
      <x:c r="D722" s="22"/>
      <x:c r="F722" s="23"/>
      <x:c r="H722" s="25"/>
    </x:row>
    <x:row r="723">
      <x:c r="D723" s="22"/>
      <x:c r="F723" s="23"/>
      <x:c r="H723" s="25"/>
    </x:row>
    <x:row r="724">
      <x:c r="D724" s="22"/>
      <x:c r="F724" s="23"/>
      <x:c r="H724" s="25"/>
    </x:row>
    <x:row r="725">
      <x:c r="D725" s="22"/>
      <x:c r="F725" s="23"/>
      <x:c r="H725" s="25"/>
    </x:row>
    <x:row r="726">
      <x:c r="D726" s="22"/>
      <x:c r="F726" s="23"/>
      <x:c r="H726" s="25"/>
    </x:row>
    <x:row r="727">
      <x:c r="D727" s="22"/>
      <x:c r="F727" s="23"/>
      <x:c r="H727" s="25"/>
    </x:row>
    <x:row r="728">
      <x:c r="D728" s="22"/>
      <x:c r="F728" s="23"/>
      <x:c r="H728" s="25"/>
    </x:row>
    <x:row r="729">
      <x:c r="D729" s="22"/>
      <x:c r="F729" s="23"/>
      <x:c r="H729" s="25"/>
    </x:row>
    <x:row r="730">
      <x:c r="D730" s="22"/>
      <x:c r="F730" s="23"/>
      <x:c r="H730" s="25"/>
    </x:row>
    <x:row r="731">
      <x:c r="D731" s="22"/>
      <x:c r="F731" s="23"/>
      <x:c r="H731" s="25"/>
    </x:row>
    <x:row r="732">
      <x:c r="D732" s="22"/>
      <x:c r="F732" s="23"/>
      <x:c r="H732" s="25"/>
    </x:row>
    <x:row r="733">
      <x:c r="D733" s="22"/>
      <x:c r="F733" s="23"/>
      <x:c r="H733" s="25"/>
    </x:row>
    <x:row r="734">
      <x:c r="D734" s="22"/>
      <x:c r="F734" s="23"/>
      <x:c r="H734" s="25"/>
    </x:row>
    <x:row r="735">
      <x:c r="D735" s="22"/>
      <x:c r="F735" s="23"/>
      <x:c r="H735" s="25"/>
    </x:row>
    <x:row r="736">
      <x:c r="D736" s="22"/>
      <x:c r="F736" s="23"/>
      <x:c r="H736" s="25"/>
    </x:row>
    <x:row r="737">
      <x:c r="D737" s="22"/>
      <x:c r="F737" s="23"/>
      <x:c r="H737" s="25"/>
    </x:row>
    <x:row r="738">
      <x:c r="D738" s="22"/>
      <x:c r="F738" s="23"/>
      <x:c r="H738" s="25"/>
    </x:row>
    <x:row r="739">
      <x:c r="D739" s="22"/>
      <x:c r="F739" s="23"/>
      <x:c r="H739" s="25"/>
    </x:row>
    <x:row r="740">
      <x:c r="D740" s="22"/>
      <x:c r="F740" s="23"/>
      <x:c r="H740" s="25"/>
    </x:row>
    <x:row r="741">
      <x:c r="D741" s="22"/>
      <x:c r="F741" s="23"/>
      <x:c r="H741" s="25"/>
    </x:row>
    <x:row r="742">
      <x:c r="D742" s="22"/>
      <x:c r="F742" s="23"/>
      <x:c r="H742" s="25"/>
    </x:row>
    <x:row r="743">
      <x:c r="D743" s="22"/>
      <x:c r="F743" s="23"/>
      <x:c r="H743" s="25"/>
    </x:row>
    <x:row r="744">
      <x:c r="D744" s="22"/>
      <x:c r="F744" s="23"/>
      <x:c r="H744" s="25"/>
    </x:row>
    <x:row r="745">
      <x:c r="D745" s="22"/>
      <x:c r="F745" s="23"/>
      <x:c r="H745" s="25"/>
    </x:row>
    <x:row r="746">
      <x:c r="D746" s="22"/>
      <x:c r="F746" s="23"/>
      <x:c r="H746" s="25"/>
    </x:row>
    <x:row r="747">
      <x:c r="D747" s="22"/>
      <x:c r="F747" s="23"/>
      <x:c r="H747" s="25"/>
    </x:row>
    <x:row r="748">
      <x:c r="D748" s="22"/>
      <x:c r="F748" s="23"/>
      <x:c r="H748" s="25"/>
    </x:row>
    <x:row r="749">
      <x:c r="D749" s="22"/>
      <x:c r="F749" s="23"/>
      <x:c r="H749" s="25"/>
    </x:row>
    <x:row r="750">
      <x:c r="D750" s="22"/>
      <x:c r="F750" s="23"/>
      <x:c r="H750" s="25"/>
    </x:row>
    <x:row r="751">
      <x:c r="D751" s="22"/>
      <x:c r="F751" s="23"/>
      <x:c r="H751" s="25"/>
    </x:row>
    <x:row r="752">
      <x:c r="D752" s="22"/>
      <x:c r="F752" s="23"/>
      <x:c r="H752" s="25"/>
    </x:row>
    <x:row r="753">
      <x:c r="D753" s="22"/>
      <x:c r="F753" s="23"/>
      <x:c r="H753" s="25"/>
    </x:row>
    <x:row r="754">
      <x:c r="D754" s="22"/>
      <x:c r="F754" s="23"/>
      <x:c r="H754" s="25"/>
    </x:row>
    <x:row r="755">
      <x:c r="D755" s="22"/>
      <x:c r="F755" s="23"/>
      <x:c r="H755" s="25"/>
    </x:row>
    <x:row r="756">
      <x:c r="D756" s="22"/>
      <x:c r="F756" s="23"/>
      <x:c r="H756" s="25"/>
    </x:row>
    <x:row r="757">
      <x:c r="D757" s="22"/>
      <x:c r="F757" s="23"/>
      <x:c r="H757" s="25"/>
    </x:row>
    <x:row r="758">
      <x:c r="D758" s="22"/>
      <x:c r="F758" s="23"/>
      <x:c r="H758" s="25"/>
    </x:row>
    <x:row r="759">
      <x:c r="D759" s="22"/>
      <x:c r="F759" s="23"/>
      <x:c r="H759" s="25"/>
    </x:row>
    <x:row r="760">
      <x:c r="D760" s="22"/>
      <x:c r="F760" s="23"/>
      <x:c r="H760" s="25"/>
    </x:row>
    <x:row r="761">
      <x:c r="D761" s="22"/>
      <x:c r="F761" s="23"/>
      <x:c r="H761" s="25"/>
    </x:row>
    <x:row r="762">
      <x:c r="D762" s="22"/>
      <x:c r="F762" s="23"/>
      <x:c r="H762" s="25"/>
    </x:row>
    <x:row r="763">
      <x:c r="D763" s="22"/>
      <x:c r="F763" s="23"/>
      <x:c r="H763" s="25"/>
    </x:row>
    <x:row r="764">
      <x:c r="D764" s="22"/>
      <x:c r="F764" s="23"/>
      <x:c r="H764" s="25"/>
    </x:row>
    <x:row r="765">
      <x:c r="D765" s="22"/>
      <x:c r="F765" s="23"/>
      <x:c r="H765" s="25"/>
    </x:row>
    <x:row r="766">
      <x:c r="D766" s="22"/>
      <x:c r="F766" s="23"/>
      <x:c r="H766" s="25"/>
    </x:row>
    <x:row r="767">
      <x:c r="D767" s="22"/>
      <x:c r="F767" s="23"/>
      <x:c r="H767" s="25"/>
    </x:row>
    <x:row r="768">
      <x:c r="D768" s="22"/>
      <x:c r="F768" s="23"/>
      <x:c r="H768" s="25"/>
    </x:row>
    <x:row r="769">
      <x:c r="D769" s="22"/>
      <x:c r="F769" s="23"/>
      <x:c r="H769" s="25"/>
    </x:row>
    <x:row r="770">
      <x:c r="D770" s="22"/>
      <x:c r="F770" s="23"/>
      <x:c r="H770" s="25"/>
    </x:row>
    <x:row r="771">
      <x:c r="D771" s="22"/>
      <x:c r="F771" s="23"/>
      <x:c r="H771" s="25"/>
    </x:row>
    <x:row r="772">
      <x:c r="D772" s="22"/>
      <x:c r="F772" s="23"/>
      <x:c r="H772" s="25"/>
    </x:row>
    <x:row r="773">
      <x:c r="D773" s="22"/>
      <x:c r="F773" s="23"/>
      <x:c r="H773" s="25"/>
    </x:row>
    <x:row r="774">
      <x:c r="D774" s="22"/>
      <x:c r="F774" s="23"/>
      <x:c r="H774" s="25"/>
    </x:row>
    <x:row r="775">
      <x:c r="D775" s="22"/>
      <x:c r="F775" s="23"/>
      <x:c r="H775" s="25"/>
    </x:row>
    <x:row r="776">
      <x:c r="D776" s="22"/>
      <x:c r="F776" s="23"/>
      <x:c r="H776" s="25"/>
    </x:row>
    <x:row r="777">
      <x:c r="D777" s="22"/>
      <x:c r="F777" s="23"/>
      <x:c r="H777" s="25"/>
    </x:row>
    <x:row r="778">
      <x:c r="D778" s="22"/>
      <x:c r="F778" s="23"/>
      <x:c r="H778" s="25"/>
    </x:row>
    <x:row r="779">
      <x:c r="D779" s="22"/>
      <x:c r="F779" s="23"/>
      <x:c r="H779" s="25"/>
    </x:row>
    <x:row r="780">
      <x:c r="D780" s="22"/>
      <x:c r="F780" s="23"/>
      <x:c r="H780" s="25"/>
    </x:row>
    <x:row r="781">
      <x:c r="D781" s="22"/>
      <x:c r="F781" s="23"/>
      <x:c r="H781" s="25"/>
    </x:row>
    <x:row r="782">
      <x:c r="D782" s="22"/>
      <x:c r="F782" s="23"/>
      <x:c r="H782" s="25"/>
    </x:row>
    <x:row r="783">
      <x:c r="D783" s="22"/>
      <x:c r="F783" s="23"/>
      <x:c r="H783" s="25"/>
    </x:row>
    <x:row r="784">
      <x:c r="D784" s="22"/>
      <x:c r="F784" s="23"/>
      <x:c r="H784" s="25"/>
    </x:row>
    <x:row r="785">
      <x:c r="D785" s="22"/>
      <x:c r="F785" s="23"/>
      <x:c r="H785" s="25"/>
    </x:row>
    <x:row r="786">
      <x:c r="D786" s="22"/>
      <x:c r="F786" s="23"/>
      <x:c r="H786" s="25"/>
    </x:row>
    <x:row r="787">
      <x:c r="D787" s="22"/>
      <x:c r="F787" s="23"/>
      <x:c r="H787" s="25"/>
    </x:row>
    <x:row r="788">
      <x:c r="D788" s="22"/>
      <x:c r="F788" s="23"/>
      <x:c r="H788" s="25"/>
    </x:row>
    <x:row r="789">
      <x:c r="D789" s="22"/>
      <x:c r="F789" s="23"/>
      <x:c r="H789" s="25"/>
    </x:row>
    <x:row r="790">
      <x:c r="D790" s="22"/>
      <x:c r="F790" s="23"/>
      <x:c r="H790" s="25"/>
    </x:row>
    <x:row r="791">
      <x:c r="D791" s="22"/>
      <x:c r="F791" s="23"/>
      <x:c r="H791" s="25"/>
    </x:row>
    <x:row r="792">
      <x:c r="D792" s="22"/>
      <x:c r="F792" s="23"/>
      <x:c r="H792" s="25"/>
    </x:row>
    <x:row r="793">
      <x:c r="D793" s="22"/>
      <x:c r="F793" s="23"/>
      <x:c r="H793" s="25"/>
    </x:row>
    <x:row r="794">
      <x:c r="D794" s="22"/>
      <x:c r="F794" s="23"/>
      <x:c r="H794" s="25"/>
    </x:row>
    <x:row r="795">
      <x:c r="D795" s="22"/>
      <x:c r="F795" s="23"/>
      <x:c r="H795" s="25"/>
    </x:row>
    <x:row r="796">
      <x:c r="D796" s="22"/>
      <x:c r="F796" s="23"/>
      <x:c r="H796" s="25"/>
    </x:row>
    <x:row r="797">
      <x:c r="D797" s="22"/>
      <x:c r="F797" s="23"/>
      <x:c r="H797" s="25"/>
    </x:row>
    <x:row r="798">
      <x:c r="D798" s="22"/>
      <x:c r="F798" s="23"/>
      <x:c r="H798" s="25"/>
    </x:row>
    <x:row r="799">
      <x:c r="D799" s="22"/>
      <x:c r="F799" s="23"/>
      <x:c r="H799" s="25"/>
    </x:row>
    <x:row r="800">
      <x:c r="D800" s="22"/>
      <x:c r="F800" s="23"/>
      <x:c r="H800" s="25"/>
    </x:row>
    <x:row r="801">
      <x:c r="D801" s="22"/>
      <x:c r="F801" s="23"/>
      <x:c r="H801" s="25"/>
    </x:row>
    <x:row r="802">
      <x:c r="D802" s="22"/>
      <x:c r="F802" s="23"/>
      <x:c r="H802" s="25"/>
    </x:row>
    <x:row r="803">
      <x:c r="D803" s="22"/>
      <x:c r="F803" s="23"/>
      <x:c r="H803" s="25"/>
    </x:row>
    <x:row r="804">
      <x:c r="D804" s="22"/>
      <x:c r="F804" s="23"/>
      <x:c r="H804" s="25"/>
    </x:row>
    <x:row r="805">
      <x:c r="D805" s="22"/>
      <x:c r="F805" s="23"/>
      <x:c r="H805" s="25"/>
    </x:row>
    <x:row r="806">
      <x:c r="D806" s="22"/>
      <x:c r="F806" s="23"/>
      <x:c r="H806" s="25"/>
    </x:row>
    <x:row r="807">
      <x:c r="D807" s="22"/>
      <x:c r="F807" s="23"/>
      <x:c r="H807" s="25"/>
    </x:row>
    <x:row r="808">
      <x:c r="D808" s="22"/>
      <x:c r="F808" s="23"/>
      <x:c r="H808" s="25"/>
    </x:row>
    <x:row r="809">
      <x:c r="D809" s="22"/>
      <x:c r="F809" s="23"/>
      <x:c r="H809" s="25"/>
    </x:row>
    <x:row r="810">
      <x:c r="D810" s="22"/>
      <x:c r="F810" s="23"/>
      <x:c r="H810" s="25"/>
    </x:row>
    <x:row r="811">
      <x:c r="D811" s="22"/>
      <x:c r="F811" s="23"/>
      <x:c r="H811" s="25"/>
    </x:row>
    <x:row r="812">
      <x:c r="D812" s="22"/>
      <x:c r="F812" s="23"/>
      <x:c r="H812" s="25"/>
    </x:row>
    <x:row r="813">
      <x:c r="D813" s="22"/>
      <x:c r="F813" s="23"/>
      <x:c r="H813" s="25"/>
    </x:row>
    <x:row r="814">
      <x:c r="D814" s="22"/>
      <x:c r="F814" s="23"/>
      <x:c r="H814" s="25"/>
    </x:row>
    <x:row r="815">
      <x:c r="D815" s="22"/>
      <x:c r="F815" s="23"/>
      <x:c r="H815" s="25"/>
    </x:row>
    <x:row r="816">
      <x:c r="D816" s="22"/>
      <x:c r="F816" s="23"/>
      <x:c r="H816" s="25"/>
    </x:row>
    <x:row r="817">
      <x:c r="D817" s="22"/>
      <x:c r="F817" s="23"/>
      <x:c r="H817" s="25"/>
    </x:row>
    <x:row r="818">
      <x:c r="D818" s="22"/>
      <x:c r="F818" s="23"/>
      <x:c r="H818" s="25"/>
    </x:row>
    <x:row r="819">
      <x:c r="D819" s="22"/>
      <x:c r="F819" s="23"/>
      <x:c r="H819" s="25"/>
    </x:row>
    <x:row r="820">
      <x:c r="D820" s="22"/>
      <x:c r="F820" s="23"/>
      <x:c r="H820" s="25"/>
    </x:row>
    <x:row r="821">
      <x:c r="D821" s="22"/>
      <x:c r="F821" s="23"/>
      <x:c r="H821" s="25"/>
    </x:row>
    <x:row r="822">
      <x:c r="D822" s="22"/>
      <x:c r="F822" s="23"/>
      <x:c r="H822" s="25"/>
    </x:row>
    <x:row r="823">
      <x:c r="D823" s="22"/>
      <x:c r="F823" s="23"/>
      <x:c r="H823" s="25"/>
    </x:row>
    <x:row r="824">
      <x:c r="D824" s="22"/>
      <x:c r="F824" s="23"/>
      <x:c r="H824" s="25"/>
    </x:row>
    <x:row r="825">
      <x:c r="D825" s="22"/>
      <x:c r="F825" s="23"/>
      <x:c r="H825" s="25"/>
    </x:row>
    <x:row r="826">
      <x:c r="D826" s="22"/>
      <x:c r="F826" s="23"/>
      <x:c r="H826" s="25"/>
    </x:row>
    <x:row r="827">
      <x:c r="D827" s="22"/>
      <x:c r="F827" s="23"/>
      <x:c r="H827" s="25"/>
    </x:row>
    <x:row r="828">
      <x:c r="D828" s="22"/>
      <x:c r="F828" s="23"/>
      <x:c r="H828" s="25"/>
    </x:row>
    <x:row r="829">
      <x:c r="D829" s="22"/>
      <x:c r="F829" s="23"/>
      <x:c r="H829" s="25"/>
    </x:row>
    <x:row r="830">
      <x:c r="D830" s="22"/>
      <x:c r="F830" s="23"/>
      <x:c r="H830" s="25"/>
    </x:row>
    <x:row r="831">
      <x:c r="D831" s="22"/>
      <x:c r="F831" s="23"/>
      <x:c r="H831" s="25"/>
    </x:row>
    <x:row r="832">
      <x:c r="D832" s="22"/>
      <x:c r="F832" s="23"/>
      <x:c r="H832" s="25"/>
    </x:row>
    <x:row r="833">
      <x:c r="D833" s="22"/>
      <x:c r="F833" s="23"/>
      <x:c r="H833" s="25"/>
    </x:row>
    <x:row r="834">
      <x:c r="D834" s="22"/>
      <x:c r="F834" s="23"/>
      <x:c r="H834" s="25"/>
    </x:row>
    <x:row r="835">
      <x:c r="D835" s="22"/>
      <x:c r="F835" s="23"/>
      <x:c r="H835" s="25"/>
    </x:row>
    <x:row r="836">
      <x:c r="D836" s="22"/>
      <x:c r="F836" s="23"/>
      <x:c r="H836" s="25"/>
    </x:row>
    <x:row r="837">
      <x:c r="D837" s="22"/>
      <x:c r="F837" s="23"/>
      <x:c r="H837" s="25"/>
    </x:row>
    <x:row r="838">
      <x:c r="D838" s="22"/>
      <x:c r="F838" s="23"/>
      <x:c r="H838" s="25"/>
    </x:row>
    <x:row r="839">
      <x:c r="D839" s="22"/>
      <x:c r="F839" s="23"/>
      <x:c r="H839" s="25"/>
    </x:row>
    <x:row r="840">
      <x:c r="D840" s="22"/>
      <x:c r="F840" s="23"/>
      <x:c r="H840" s="25"/>
    </x:row>
    <x:row r="841">
      <x:c r="D841" s="22"/>
      <x:c r="F841" s="23"/>
      <x:c r="H841" s="25"/>
    </x:row>
    <x:row r="842">
      <x:c r="D842" s="22"/>
      <x:c r="F842" s="23"/>
      <x:c r="H842" s="25"/>
    </x:row>
    <x:row r="843">
      <x:c r="D843" s="22"/>
      <x:c r="F843" s="23"/>
      <x:c r="H843" s="25"/>
    </x:row>
    <x:row r="844">
      <x:c r="D844" s="22"/>
      <x:c r="F844" s="23"/>
      <x:c r="H844" s="25"/>
    </x:row>
    <x:row r="845">
      <x:c r="D845" s="22"/>
      <x:c r="F845" s="23"/>
      <x:c r="H845" s="25"/>
    </x:row>
    <x:row r="846">
      <x:c r="D846" s="22"/>
      <x:c r="F846" s="23"/>
      <x:c r="H846" s="25"/>
    </x:row>
    <x:row r="847">
      <x:c r="D847" s="22"/>
      <x:c r="F847" s="23"/>
      <x:c r="H847" s="25"/>
    </x:row>
    <x:row r="848">
      <x:c r="D848" s="22"/>
      <x:c r="F848" s="23"/>
      <x:c r="H848" s="25"/>
    </x:row>
    <x:row r="849">
      <x:c r="D849" s="22"/>
      <x:c r="F849" s="23"/>
      <x:c r="H849" s="25"/>
    </x:row>
    <x:row r="850">
      <x:c r="D850" s="22"/>
      <x:c r="F850" s="23"/>
      <x:c r="H850" s="25"/>
    </x:row>
    <x:row r="851">
      <x:c r="D851" s="22"/>
      <x:c r="F851" s="23"/>
      <x:c r="H851" s="25"/>
    </x:row>
    <x:row r="852">
      <x:c r="D852" s="22"/>
      <x:c r="F852" s="23"/>
      <x:c r="H852" s="25"/>
    </x:row>
    <x:row r="853">
      <x:c r="D853" s="22"/>
      <x:c r="F853" s="23"/>
      <x:c r="H853" s="25"/>
    </x:row>
    <x:row r="854">
      <x:c r="D854" s="22"/>
      <x:c r="F854" s="23"/>
      <x:c r="H854" s="25"/>
    </x:row>
    <x:row r="855">
      <x:c r="D855" s="22"/>
      <x:c r="F855" s="23"/>
      <x:c r="H855" s="25"/>
    </x:row>
    <x:row r="856">
      <x:c r="D856" s="22"/>
      <x:c r="F856" s="23"/>
      <x:c r="H856" s="25"/>
    </x:row>
    <x:row r="857">
      <x:c r="D857" s="22"/>
      <x:c r="F857" s="23"/>
      <x:c r="H857" s="25"/>
    </x:row>
    <x:row r="858">
      <x:c r="D858" s="22"/>
      <x:c r="F858" s="23"/>
      <x:c r="H858" s="25"/>
    </x:row>
    <x:row r="859">
      <x:c r="D859" s="22"/>
      <x:c r="F859" s="23"/>
      <x:c r="H859" s="25"/>
    </x:row>
    <x:row r="860">
      <x:c r="D860" s="22"/>
      <x:c r="F860" s="23"/>
      <x:c r="H860" s="25"/>
    </x:row>
    <x:row r="861">
      <x:c r="D861" s="22"/>
      <x:c r="F861" s="23"/>
      <x:c r="H861" s="25"/>
    </x:row>
    <x:row r="862">
      <x:c r="D862" s="22"/>
      <x:c r="F862" s="23"/>
      <x:c r="H862" s="25"/>
    </x:row>
    <x:row r="863">
      <x:c r="D863" s="22"/>
      <x:c r="F863" s="23"/>
      <x:c r="H863" s="25"/>
    </x:row>
    <x:row r="864">
      <x:c r="D864" s="22"/>
      <x:c r="F864" s="23"/>
      <x:c r="H864" s="25"/>
    </x:row>
    <x:row r="865">
      <x:c r="D865" s="22"/>
      <x:c r="F865" s="23"/>
      <x:c r="H865" s="25"/>
    </x:row>
    <x:row r="866">
      <x:c r="D866" s="22"/>
      <x:c r="F866" s="23"/>
      <x:c r="H866" s="25"/>
    </x:row>
    <x:row r="867">
      <x:c r="D867" s="22"/>
      <x:c r="F867" s="23"/>
      <x:c r="H867" s="25"/>
    </x:row>
    <x:row r="868">
      <x:c r="D868" s="22"/>
      <x:c r="F868" s="23"/>
      <x:c r="H868" s="25"/>
    </x:row>
    <x:row r="869">
      <x:c r="D869" s="22"/>
      <x:c r="F869" s="23"/>
      <x:c r="H869" s="25"/>
    </x:row>
    <x:row r="870">
      <x:c r="D870" s="22"/>
      <x:c r="F870" s="23"/>
      <x:c r="H870" s="25"/>
    </x:row>
    <x:row r="871">
      <x:c r="D871" s="22"/>
      <x:c r="F871" s="23"/>
      <x:c r="H871" s="25"/>
    </x:row>
    <x:row r="872">
      <x:c r="D872" s="22"/>
      <x:c r="F872" s="23"/>
      <x:c r="H872" s="25"/>
    </x:row>
    <x:row r="873">
      <x:c r="D873" s="22"/>
      <x:c r="F873" s="23"/>
      <x:c r="H873" s="25"/>
    </x:row>
    <x:row r="874">
      <x:c r="D874" s="22"/>
      <x:c r="F874" s="23"/>
      <x:c r="H874" s="25"/>
    </x:row>
    <x:row r="875">
      <x:c r="D875" s="22"/>
      <x:c r="F875" s="23"/>
      <x:c r="H875" s="25"/>
    </x:row>
    <x:row r="876">
      <x:c r="D876" s="22"/>
      <x:c r="F876" s="23"/>
      <x:c r="H876" s="25"/>
    </x:row>
    <x:row r="877">
      <x:c r="D877" s="22"/>
      <x:c r="F877" s="23"/>
      <x:c r="H877" s="25"/>
    </x:row>
    <x:row r="878">
      <x:c r="D878" s="22"/>
      <x:c r="F878" s="23"/>
      <x:c r="H878" s="25"/>
    </x:row>
    <x:row r="879">
      <x:c r="D879" s="22"/>
      <x:c r="F879" s="23"/>
      <x:c r="H879" s="25"/>
    </x:row>
    <x:row r="880">
      <x:c r="D880" s="22"/>
      <x:c r="F880" s="23"/>
      <x:c r="H880" s="25"/>
    </x:row>
    <x:row r="881">
      <x:c r="D881" s="22"/>
      <x:c r="F881" s="23"/>
      <x:c r="H881" s="25"/>
    </x:row>
    <x:row r="882">
      <x:c r="D882" s="22"/>
      <x:c r="F882" s="23"/>
      <x:c r="H882" s="25"/>
    </x:row>
    <x:row r="883">
      <x:c r="D883" s="22"/>
      <x:c r="F883" s="23"/>
      <x:c r="H883" s="25"/>
    </x:row>
    <x:row r="884">
      <x:c r="D884" s="22"/>
      <x:c r="F884" s="23"/>
      <x:c r="H884" s="25"/>
    </x:row>
    <x:row r="885">
      <x:c r="D885" s="22"/>
      <x:c r="F885" s="23"/>
      <x:c r="H885" s="25"/>
    </x:row>
    <x:row r="886">
      <x:c r="D886" s="22"/>
      <x:c r="F886" s="23"/>
      <x:c r="H886" s="25"/>
    </x:row>
    <x:row r="887">
      <x:c r="D887" s="22"/>
      <x:c r="F887" s="23"/>
      <x:c r="H887" s="25"/>
    </x:row>
    <x:row r="888">
      <x:c r="D888" s="22"/>
      <x:c r="F888" s="23"/>
      <x:c r="H888" s="25"/>
    </x:row>
    <x:row r="889">
      <x:c r="D889" s="22"/>
      <x:c r="F889" s="23"/>
      <x:c r="H889" s="25"/>
    </x:row>
    <x:row r="890">
      <x:c r="D890" s="22"/>
      <x:c r="F890" s="23"/>
      <x:c r="H890" s="25"/>
    </x:row>
    <x:row r="891">
      <x:c r="D891" s="22"/>
      <x:c r="F891" s="23"/>
      <x:c r="H891" s="25"/>
    </x:row>
    <x:row r="892">
      <x:c r="D892" s="22"/>
      <x:c r="F892" s="23"/>
      <x:c r="H892" s="25"/>
    </x:row>
    <x:row r="893">
      <x:c r="D893" s="22"/>
      <x:c r="F893" s="23"/>
      <x:c r="H893" s="25"/>
    </x:row>
    <x:row r="894">
      <x:c r="D894" s="22"/>
      <x:c r="F894" s="23"/>
      <x:c r="H894" s="25"/>
    </x:row>
    <x:row r="895">
      <x:c r="D895" s="22"/>
      <x:c r="F895" s="23"/>
      <x:c r="H895" s="25"/>
    </x:row>
    <x:row r="896">
      <x:c r="D896" s="22"/>
      <x:c r="F896" s="23"/>
      <x:c r="H896" s="25"/>
    </x:row>
    <x:row r="897">
      <x:c r="D897" s="22"/>
      <x:c r="F897" s="23"/>
      <x:c r="H897" s="25"/>
    </x:row>
    <x:row r="898">
      <x:c r="D898" s="22"/>
      <x:c r="F898" s="23"/>
      <x:c r="H898" s="25"/>
    </x:row>
    <x:row r="899">
      <x:c r="D899" s="22"/>
      <x:c r="F899" s="23"/>
      <x:c r="H899" s="25"/>
    </x:row>
    <x:row r="900">
      <x:c r="D900" s="22"/>
      <x:c r="F900" s="23"/>
      <x:c r="H900" s="25"/>
    </x:row>
    <x:row r="901">
      <x:c r="D901" s="22"/>
      <x:c r="F901" s="23"/>
      <x:c r="H901" s="25"/>
    </x:row>
    <x:row r="902">
      <x:c r="D902" s="22"/>
      <x:c r="F902" s="23"/>
      <x:c r="H902" s="25"/>
    </x:row>
    <x:row r="903">
      <x:c r="D903" s="22"/>
      <x:c r="F903" s="23"/>
      <x:c r="H903" s="25"/>
    </x:row>
    <x:row r="904">
      <x:c r="D904" s="22"/>
      <x:c r="F904" s="23"/>
      <x:c r="H904" s="25"/>
    </x:row>
    <x:row r="905">
      <x:c r="D905" s="22"/>
      <x:c r="F905" s="23"/>
      <x:c r="H905" s="25"/>
    </x:row>
    <x:row r="906">
      <x:c r="D906" s="22"/>
      <x:c r="F906" s="23"/>
      <x:c r="H906" s="25"/>
    </x:row>
    <x:row r="907">
      <x:c r="D907" s="22"/>
      <x:c r="F907" s="23"/>
      <x:c r="H907" s="25"/>
    </x:row>
    <x:row r="908">
      <x:c r="D908" s="22"/>
      <x:c r="F908" s="23"/>
      <x:c r="H908" s="25"/>
    </x:row>
    <x:row r="909">
      <x:c r="D909" s="22"/>
      <x:c r="F909" s="23"/>
      <x:c r="H909" s="25"/>
    </x:row>
    <x:row r="910">
      <x:c r="D910" s="22"/>
      <x:c r="F910" s="23"/>
      <x:c r="H910" s="25"/>
    </x:row>
    <x:row r="911">
      <x:c r="D911" s="22"/>
      <x:c r="F911" s="23"/>
      <x:c r="H911" s="25"/>
    </x:row>
    <x:row r="912">
      <x:c r="D912" s="22"/>
      <x:c r="F912" s="23"/>
      <x:c r="H912" s="25"/>
    </x:row>
    <x:row r="913">
      <x:c r="D913" s="22"/>
      <x:c r="F913" s="23"/>
      <x:c r="H913" s="25"/>
    </x:row>
    <x:row r="914">
      <x:c r="D914" s="22"/>
      <x:c r="F914" s="23"/>
      <x:c r="H914" s="25"/>
    </x:row>
    <x:row r="915">
      <x:c r="D915" s="22"/>
      <x:c r="F915" s="23"/>
      <x:c r="H915" s="25"/>
    </x:row>
    <x:row r="916">
      <x:c r="D916" s="22"/>
      <x:c r="F916" s="23"/>
      <x:c r="H916" s="25"/>
    </x:row>
    <x:row r="917">
      <x:c r="D917" s="22"/>
      <x:c r="F917" s="23"/>
      <x:c r="H917" s="25"/>
    </x:row>
    <x:row r="918">
      <x:c r="D918" s="22"/>
      <x:c r="F918" s="23"/>
      <x:c r="H918" s="25"/>
    </x:row>
    <x:row r="919">
      <x:c r="D919" s="22"/>
      <x:c r="F919" s="23"/>
      <x:c r="H919" s="25"/>
    </x:row>
    <x:row r="920">
      <x:c r="D920" s="22"/>
      <x:c r="F920" s="23"/>
      <x:c r="H920" s="25"/>
    </x:row>
    <x:row r="921">
      <x:c r="D921" s="22"/>
      <x:c r="F921" s="23"/>
      <x:c r="H921" s="25"/>
    </x:row>
    <x:row r="922">
      <x:c r="D922" s="22"/>
      <x:c r="F922" s="23"/>
      <x:c r="H922" s="25"/>
    </x:row>
    <x:row r="923">
      <x:c r="D923" s="22"/>
      <x:c r="F923" s="23"/>
      <x:c r="H923" s="25"/>
    </x:row>
    <x:row r="924">
      <x:c r="D924" s="22"/>
      <x:c r="F924" s="23"/>
      <x:c r="H924" s="25"/>
    </x:row>
    <x:row r="925">
      <x:c r="D925" s="22"/>
      <x:c r="F925" s="23"/>
      <x:c r="H925" s="25"/>
    </x:row>
    <x:row r="926">
      <x:c r="D926" s="22"/>
      <x:c r="F926" s="23"/>
      <x:c r="H926" s="25"/>
    </x:row>
    <x:row r="927">
      <x:c r="D927" s="22"/>
      <x:c r="F927" s="23"/>
      <x:c r="H927" s="25"/>
    </x:row>
    <x:row r="928">
      <x:c r="D928" s="22"/>
      <x:c r="F928" s="23"/>
      <x:c r="H928" s="25"/>
    </x:row>
    <x:row r="929">
      <x:c r="D929" s="22"/>
      <x:c r="F929" s="23"/>
      <x:c r="H929" s="25"/>
    </x:row>
    <x:row r="930">
      <x:c r="D930" s="22"/>
      <x:c r="F930" s="23"/>
      <x:c r="H930" s="25"/>
    </x:row>
    <x:row r="931">
      <x:c r="D931" s="22"/>
      <x:c r="F931" s="23"/>
      <x:c r="H931" s="25"/>
    </x:row>
    <x:row r="932">
      <x:c r="D932" s="22"/>
      <x:c r="F932" s="23"/>
      <x:c r="H932" s="25"/>
    </x:row>
    <x:row r="933">
      <x:c r="D933" s="22"/>
      <x:c r="F933" s="23"/>
      <x:c r="H933" s="25"/>
    </x:row>
    <x:row r="934">
      <x:c r="D934" s="22"/>
      <x:c r="F934" s="23"/>
      <x:c r="H934" s="25"/>
    </x:row>
    <x:row r="935">
      <x:c r="D935" s="22"/>
      <x:c r="F935" s="23"/>
      <x:c r="H935" s="25"/>
    </x:row>
    <x:row r="936">
      <x:c r="D936" s="22"/>
      <x:c r="F936" s="23"/>
      <x:c r="H936" s="25"/>
    </x:row>
    <x:row r="937">
      <x:c r="D937" s="22"/>
      <x:c r="F937" s="23"/>
      <x:c r="H937" s="25"/>
    </x:row>
    <x:row r="938">
      <x:c r="D938" s="22"/>
      <x:c r="F938" s="23"/>
      <x:c r="H938" s="25"/>
    </x:row>
    <x:row r="939">
      <x:c r="D939" s="22"/>
      <x:c r="F939" s="23"/>
      <x:c r="H939" s="25"/>
    </x:row>
    <x:row r="940">
      <x:c r="D940" s="22"/>
      <x:c r="F940" s="23"/>
      <x:c r="H940" s="25"/>
    </x:row>
    <x:row r="941">
      <x:c r="D941" s="22"/>
      <x:c r="F941" s="23"/>
      <x:c r="H941" s="25"/>
    </x:row>
    <x:row r="942">
      <x:c r="D942" s="22"/>
      <x:c r="F942" s="23"/>
      <x:c r="H942" s="25"/>
    </x:row>
    <x:row r="943">
      <x:c r="D943" s="22"/>
      <x:c r="F943" s="23"/>
      <x:c r="H943" s="25"/>
    </x:row>
    <x:row r="944">
      <x:c r="D944" s="22"/>
      <x:c r="F944" s="23"/>
      <x:c r="H944" s="25"/>
    </x:row>
    <x:row r="945">
      <x:c r="D945" s="22"/>
      <x:c r="F945" s="23"/>
      <x:c r="H945" s="25"/>
    </x:row>
    <x:row r="946">
      <x:c r="D946" s="22"/>
      <x:c r="F946" s="23"/>
      <x:c r="H946" s="25"/>
    </x:row>
    <x:row r="947">
      <x:c r="D947" s="22"/>
      <x:c r="F947" s="23"/>
      <x:c r="H947" s="25"/>
    </x:row>
    <x:row r="948">
      <x:c r="D948" s="22"/>
      <x:c r="F948" s="23"/>
      <x:c r="H948" s="25"/>
    </x:row>
    <x:row r="949">
      <x:c r="D949" s="22"/>
      <x:c r="F949" s="23"/>
      <x:c r="H949" s="25"/>
    </x:row>
    <x:row r="950">
      <x:c r="D950" s="22"/>
      <x:c r="F950" s="23"/>
      <x:c r="H950" s="25"/>
    </x:row>
    <x:row r="951">
      <x:c r="D951" s="22"/>
      <x:c r="F951" s="23"/>
      <x:c r="H951" s="25"/>
    </x:row>
    <x:row r="952">
      <x:c r="D952" s="22"/>
      <x:c r="F952" s="23"/>
      <x:c r="H952" s="25"/>
    </x:row>
    <x:row r="953">
      <x:c r="D953" s="22"/>
      <x:c r="F953" s="23"/>
      <x:c r="H953" s="25"/>
    </x:row>
    <x:row r="954">
      <x:c r="D954" s="22"/>
      <x:c r="F954" s="23"/>
      <x:c r="H954" s="25"/>
    </x:row>
    <x:row r="955">
      <x:c r="D955" s="22"/>
      <x:c r="F955" s="23"/>
      <x:c r="H955" s="25"/>
    </x:row>
    <x:row r="956">
      <x:c r="D956" s="22"/>
      <x:c r="F956" s="23"/>
      <x:c r="H956" s="25"/>
    </x:row>
    <x:row r="957">
      <x:c r="D957" s="22"/>
      <x:c r="F957" s="23"/>
      <x:c r="H957" s="25"/>
    </x:row>
    <x:row r="958">
      <x:c r="D958" s="22"/>
      <x:c r="F958" s="23"/>
      <x:c r="H958" s="25"/>
    </x:row>
    <x:row r="959">
      <x:c r="D959" s="22"/>
      <x:c r="F959" s="23"/>
      <x:c r="H959" s="25"/>
    </x:row>
    <x:row r="960">
      <x:c r="D960" s="22"/>
      <x:c r="F960" s="23"/>
      <x:c r="H960" s="25"/>
    </x:row>
    <x:row r="961">
      <x:c r="D961" s="22"/>
      <x:c r="F961" s="23"/>
      <x:c r="H961" s="25"/>
    </x:row>
    <x:row r="962">
      <x:c r="D962" s="22"/>
      <x:c r="F962" s="23"/>
      <x:c r="H962" s="25"/>
    </x:row>
    <x:row r="963">
      <x:c r="D963" s="22"/>
      <x:c r="F963" s="23"/>
      <x:c r="H963" s="25"/>
    </x:row>
    <x:row r="964">
      <x:c r="D964" s="22"/>
      <x:c r="F964" s="23"/>
      <x:c r="H964" s="25"/>
    </x:row>
    <x:row r="965">
      <x:c r="D965" s="22"/>
      <x:c r="F965" s="23"/>
      <x:c r="H965" s="25"/>
    </x:row>
    <x:row r="966">
      <x:c r="D966" s="22"/>
      <x:c r="F966" s="23"/>
      <x:c r="H966" s="25"/>
    </x:row>
    <x:row r="967">
      <x:c r="D967" s="22"/>
      <x:c r="F967" s="23"/>
      <x:c r="H967" s="25"/>
    </x:row>
    <x:row r="968">
      <x:c r="D968" s="22"/>
      <x:c r="F968" s="23"/>
      <x:c r="H968" s="25"/>
    </x:row>
    <x:row r="969">
      <x:c r="D969" s="22"/>
      <x:c r="F969" s="23"/>
      <x:c r="H969" s="25"/>
    </x:row>
    <x:row r="970">
      <x:c r="D970" s="22"/>
      <x:c r="F970" s="23"/>
      <x:c r="H970" s="25"/>
    </x:row>
    <x:row r="971">
      <x:c r="D971" s="22"/>
      <x:c r="F971" s="23"/>
      <x:c r="H971" s="25"/>
    </x:row>
    <x:row r="972">
      <x:c r="D972" s="22"/>
      <x:c r="F972" s="23"/>
      <x:c r="H972" s="25"/>
    </x:row>
    <x:row r="973">
      <x:c r="D973" s="22"/>
      <x:c r="F973" s="23"/>
      <x:c r="H973" s="25"/>
    </x:row>
    <x:row r="974">
      <x:c r="D974" s="22"/>
      <x:c r="F974" s="23"/>
      <x:c r="H974" s="25"/>
    </x:row>
    <x:row r="975">
      <x:c r="D975" s="22"/>
      <x:c r="F975" s="23"/>
      <x:c r="H975" s="25"/>
    </x:row>
    <x:row r="976">
      <x:c r="D976" s="22"/>
      <x:c r="F976" s="23"/>
      <x:c r="H976" s="25"/>
    </x:row>
    <x:row r="977">
      <x:c r="D977" s="22"/>
      <x:c r="F977" s="23"/>
      <x:c r="H977" s="25"/>
    </x:row>
    <x:row r="978">
      <x:c r="D978" s="22"/>
      <x:c r="F978" s="23"/>
      <x:c r="H978" s="25"/>
    </x:row>
    <x:row r="979">
      <x:c r="D979" s="22"/>
      <x:c r="F979" s="23"/>
      <x:c r="H979" s="25"/>
    </x:row>
    <x:row r="980">
      <x:c r="D980" s="22"/>
      <x:c r="F980" s="23"/>
      <x:c r="H980" s="25"/>
    </x:row>
    <x:row r="981">
      <x:c r="D981" s="22"/>
      <x:c r="F981" s="23"/>
      <x:c r="H981" s="25"/>
    </x:row>
    <x:row r="982">
      <x:c r="D982" s="22"/>
      <x:c r="F982" s="23"/>
      <x:c r="H982" s="25"/>
    </x:row>
    <x:row r="983">
      <x:c r="D983" s="22"/>
      <x:c r="F983" s="23"/>
      <x:c r="H983" s="25"/>
    </x:row>
    <x:row r="984">
      <x:c r="D984" s="22"/>
      <x:c r="F984" s="23"/>
      <x:c r="H984" s="25"/>
    </x:row>
    <x:row r="985">
      <x:c r="D985" s="22"/>
      <x:c r="F985" s="23"/>
      <x:c r="H985" s="25"/>
    </x:row>
    <x:row r="986">
      <x:c r="D986" s="22"/>
      <x:c r="F986" s="23"/>
      <x:c r="H986" s="25"/>
    </x:row>
    <x:row r="987">
      <x:c r="D987" s="22"/>
      <x:c r="F987" s="23"/>
      <x:c r="H987" s="25"/>
    </x:row>
    <x:row r="988">
      <x:c r="D988" s="22"/>
      <x:c r="F988" s="23"/>
      <x:c r="H988" s="25"/>
    </x:row>
    <x:row r="989">
      <x:c r="D989" s="22"/>
      <x:c r="F989" s="23"/>
      <x:c r="H989" s="25"/>
    </x:row>
    <x:row r="990">
      <x:c r="D990" s="22"/>
      <x:c r="F990" s="23"/>
      <x:c r="H990" s="25"/>
    </x:row>
    <x:row r="991">
      <x:c r="D991" s="22"/>
      <x:c r="F991" s="23"/>
      <x:c r="H991" s="25"/>
    </x:row>
    <x:row r="992">
      <x:c r="D992" s="22"/>
      <x:c r="F992" s="23"/>
      <x:c r="H992" s="25"/>
    </x:row>
    <x:row r="993">
      <x:c r="D993" s="22"/>
      <x:c r="F993" s="23"/>
      <x:c r="H993" s="25"/>
    </x:row>
    <x:row r="994">
      <x:c r="D994" s="22"/>
      <x:c r="F994" s="23"/>
      <x:c r="H994" s="25"/>
    </x:row>
    <x:row r="995">
      <x:c r="D995" s="22"/>
      <x:c r="F995" s="23"/>
      <x:c r="H995" s="25"/>
    </x:row>
    <x:row r="996">
      <x:c r="D996" s="22"/>
      <x:c r="F996" s="23"/>
      <x:c r="H996" s="25"/>
    </x:row>
    <x:row r="997">
      <x:c r="D997" s="22"/>
      <x:c r="F997" s="23"/>
      <x:c r="H997" s="25"/>
    </x:row>
    <x:row r="998">
      <x:c r="D998" s="22"/>
      <x:c r="F998" s="23"/>
      <x:c r="H998" s="25"/>
    </x:row>
    <x:row r="999">
      <x:c r="D999" s="22"/>
      <x:c r="F999" s="23"/>
      <x:c r="H999" s="25"/>
    </x:row>
    <x:row r="1000">
      <x:c r="D1000" s="22"/>
      <x:c r="F1000" s="23"/>
      <x:c r="H1000" s="25"/>
    </x:row>
    <x:row r="1001">
      <x:c r="D1001" s="22"/>
      <x:c r="F1001" s="23"/>
      <x:c r="H1001" s="25"/>
    </x:row>
    <x:row r="1002">
      <x:c r="D1002" s="22"/>
      <x:c r="F1002" s="23"/>
      <x:c r="H1002" s="25"/>
    </x:row>
    <x:row r="1003">
      <x:c r="D1003" s="22"/>
      <x:c r="F1003" s="23"/>
      <x:c r="H1003" s="25"/>
    </x:row>
    <x:row r="1004">
      <x:c r="D1004" s="22"/>
      <x:c r="F1004" s="23"/>
      <x:c r="H1004" s="25"/>
    </x:row>
    <x:row r="1005">
      <x:c r="D1005" s="22"/>
      <x:c r="F1005" s="23"/>
      <x:c r="H1005" s="25"/>
    </x:row>
    <x:row r="1006">
      <x:c r="D1006" s="22"/>
      <x:c r="F1006" s="23"/>
      <x:c r="H1006" s="25"/>
    </x:row>
    <x:row r="1007">
      <x:c r="D1007" s="22"/>
      <x:c r="F1007" s="23"/>
      <x:c r="H1007" s="25"/>
    </x:row>
    <x:row r="1008">
      <x:c r="D1008" s="22"/>
      <x:c r="F1008" s="23"/>
      <x:c r="H1008" s="25"/>
    </x:row>
    <x:row r="1009">
      <x:c r="D1009" s="22"/>
      <x:c r="F1009" s="23"/>
      <x:c r="H1009" s="25"/>
    </x:row>
    <x:row r="1010">
      <x:c r="D1010" s="22"/>
      <x:c r="F1010" s="23"/>
      <x:c r="H1010" s="25"/>
    </x:row>
    <x:row r="1011">
      <x:c r="D1011" s="22"/>
      <x:c r="F1011" s="23"/>
      <x:c r="H1011" s="25"/>
    </x:row>
    <x:row r="1012">
      <x:c r="D1012" s="22"/>
      <x:c r="F1012" s="23"/>
      <x:c r="H1012" s="25"/>
    </x:row>
    <x:row r="1013">
      <x:c r="D1013" s="22"/>
      <x:c r="F1013" s="23"/>
      <x:c r="H1013" s="25"/>
    </x:row>
    <x:row r="1014">
      <x:c r="D1014" s="22"/>
      <x:c r="F1014" s="23"/>
      <x:c r="H1014" s="25"/>
    </x:row>
    <x:row r="1015">
      <x:c r="D1015" s="22"/>
      <x:c r="F1015" s="23"/>
      <x:c r="H1015" s="25"/>
    </x:row>
    <x:row r="1016">
      <x:c r="D1016" s="22"/>
      <x:c r="F1016" s="23"/>
      <x:c r="H1016" s="25"/>
    </x:row>
    <x:row r="1017">
      <x:c r="D1017" s="22"/>
      <x:c r="F1017" s="23"/>
      <x:c r="H1017" s="25"/>
    </x:row>
    <x:row r="1018">
      <x:c r="D1018" s="22"/>
      <x:c r="F1018" s="23"/>
      <x:c r="H1018" s="25"/>
    </x:row>
    <x:row r="1019">
      <x:c r="D1019" s="22"/>
      <x:c r="F1019" s="23"/>
      <x:c r="H1019" s="25"/>
    </x:row>
    <x:row r="1020">
      <x:c r="D1020" s="22"/>
      <x:c r="F1020" s="23"/>
      <x:c r="H1020" s="25"/>
    </x:row>
    <x:row r="1021">
      <x:c r="D1021" s="22"/>
      <x:c r="F1021" s="23"/>
      <x:c r="H1021" s="25"/>
    </x:row>
    <x:row r="1022">
      <x:c r="D1022" s="22"/>
      <x:c r="F1022" s="23"/>
      <x:c r="H1022" s="25"/>
    </x:row>
    <x:row r="1023">
      <x:c r="D1023" s="22"/>
      <x:c r="F1023" s="23"/>
      <x:c r="H1023" s="25"/>
    </x:row>
    <x:row r="1024">
      <x:c r="D1024" s="22"/>
      <x:c r="F1024" s="23"/>
      <x:c r="H1024" s="25"/>
    </x:row>
    <x:row r="1025">
      <x:c r="D1025" s="22"/>
      <x:c r="F1025" s="23"/>
      <x:c r="H1025" s="25"/>
    </x:row>
    <x:row r="1026">
      <x:c r="D1026" s="22"/>
      <x:c r="F1026" s="23"/>
      <x:c r="H1026" s="25"/>
    </x:row>
    <x:row r="1027">
      <x:c r="D1027" s="22"/>
      <x:c r="F1027" s="23"/>
      <x:c r="H1027" s="25"/>
    </x:row>
    <x:row r="1028">
      <x:c r="D1028" s="22"/>
      <x:c r="F1028" s="23"/>
      <x:c r="H1028" s="25"/>
    </x:row>
    <x:row r="1029">
      <x:c r="D1029" s="22"/>
      <x:c r="F1029" s="23"/>
      <x:c r="H1029" s="25"/>
    </x:row>
    <x:row r="1030">
      <x:c r="D1030" s="22"/>
      <x:c r="F1030" s="23"/>
      <x:c r="H1030" s="25"/>
    </x:row>
    <x:row r="1031">
      <x:c r="D1031" s="22"/>
      <x:c r="F1031" s="23"/>
      <x:c r="H1031" s="25"/>
    </x:row>
    <x:row r="1032">
      <x:c r="D1032" s="22"/>
      <x:c r="F1032" s="23"/>
      <x:c r="H1032" s="25"/>
    </x:row>
    <x:row r="1033">
      <x:c r="D1033" s="22"/>
      <x:c r="F1033" s="23"/>
      <x:c r="H1033" s="25"/>
    </x:row>
    <x:row r="1034">
      <x:c r="D1034" s="22"/>
      <x:c r="F1034" s="23"/>
      <x:c r="H1034" s="25"/>
    </x:row>
    <x:row r="1035">
      <x:c r="D1035" s="22"/>
      <x:c r="F1035" s="23"/>
      <x:c r="H1035" s="25"/>
    </x:row>
    <x:row r="1036">
      <x:c r="D1036" s="22"/>
      <x:c r="F1036" s="23"/>
      <x:c r="H1036" s="25"/>
    </x:row>
    <x:row r="1037">
      <x:c r="D1037" s="22"/>
      <x:c r="F1037" s="23"/>
      <x:c r="H1037" s="25"/>
    </x:row>
    <x:row r="1038">
      <x:c r="D1038" s="22"/>
      <x:c r="F1038" s="23"/>
      <x:c r="H1038" s="25"/>
    </x:row>
    <x:row r="1039">
      <x:c r="D1039" s="22"/>
      <x:c r="F1039" s="23"/>
      <x:c r="H1039" s="25"/>
    </x:row>
    <x:row r="1040">
      <x:c r="D1040" s="22"/>
      <x:c r="F1040" s="23"/>
      <x:c r="H1040" s="25"/>
    </x:row>
    <x:row r="1041">
      <x:c r="D1041" s="22"/>
      <x:c r="F1041" s="23"/>
      <x:c r="H1041" s="25"/>
    </x:row>
    <x:row r="1042">
      <x:c r="D1042" s="22"/>
      <x:c r="F1042" s="23"/>
      <x:c r="H1042" s="25"/>
    </x:row>
    <x:row r="1043">
      <x:c r="D1043" s="22"/>
      <x:c r="F1043" s="23"/>
      <x:c r="H1043" s="25"/>
    </x:row>
    <x:row r="1044">
      <x:c r="D1044" s="22"/>
      <x:c r="F1044" s="23"/>
      <x:c r="H1044" s="25"/>
    </x:row>
    <x:row r="1045">
      <x:c r="D1045" s="22"/>
      <x:c r="F1045" s="23"/>
      <x:c r="H1045" s="25"/>
    </x:row>
    <x:row r="1046">
      <x:c r="D1046" s="22"/>
      <x:c r="F1046" s="23"/>
      <x:c r="H1046" s="25"/>
    </x:row>
    <x:row r="1047">
      <x:c r="D1047" s="22"/>
      <x:c r="F1047" s="23"/>
      <x:c r="H1047" s="25"/>
    </x:row>
    <x:row r="1048">
      <x:c r="D1048" s="22"/>
      <x:c r="F1048" s="23"/>
      <x:c r="H1048" s="25"/>
    </x:row>
    <x:row r="1049">
      <x:c r="D1049" s="22"/>
      <x:c r="F1049" s="23"/>
      <x:c r="H1049" s="25"/>
    </x:row>
    <x:row r="1050">
      <x:c r="D1050" s="22"/>
      <x:c r="F1050" s="23"/>
      <x:c r="H1050" s="25"/>
    </x:row>
    <x:row r="1051">
      <x:c r="D1051" s="22"/>
      <x:c r="F1051" s="23"/>
      <x:c r="H1051" s="25"/>
    </x:row>
    <x:row r="1052">
      <x:c r="D1052" s="22"/>
      <x:c r="F1052" s="23"/>
      <x:c r="H1052" s="25"/>
    </x:row>
    <x:row r="1053">
      <x:c r="D1053" s="22"/>
      <x:c r="F1053" s="23"/>
      <x:c r="H1053" s="25"/>
    </x:row>
    <x:row r="1054">
      <x:c r="D1054" s="22"/>
      <x:c r="F1054" s="23"/>
      <x:c r="H1054" s="25"/>
    </x:row>
    <x:row r="1055">
      <x:c r="D1055" s="22"/>
      <x:c r="F1055" s="23"/>
      <x:c r="H1055" s="25"/>
    </x:row>
    <x:row r="1056">
      <x:c r="D1056" s="22"/>
      <x:c r="F1056" s="23"/>
      <x:c r="H1056" s="25"/>
    </x:row>
    <x:row r="1057">
      <x:c r="D1057" s="22"/>
      <x:c r="F1057" s="23"/>
      <x:c r="H1057" s="25"/>
    </x:row>
    <x:row r="1058">
      <x:c r="D1058" s="22"/>
      <x:c r="F1058" s="23"/>
      <x:c r="H1058" s="25"/>
    </x:row>
    <x:row r="1059">
      <x:c r="D1059" s="22"/>
      <x:c r="F1059" s="23"/>
      <x:c r="H1059" s="25"/>
    </x:row>
    <x:row r="1060">
      <x:c r="D1060" s="22"/>
      <x:c r="F1060" s="23"/>
      <x:c r="H1060" s="25"/>
    </x:row>
    <x:row r="1061">
      <x:c r="D1061" s="22"/>
      <x:c r="F1061" s="23"/>
      <x:c r="H1061" s="25"/>
    </x:row>
    <x:row r="1062">
      <x:c r="D1062" s="22"/>
      <x:c r="F1062" s="23"/>
      <x:c r="H1062" s="25"/>
    </x:row>
    <x:row r="1063">
      <x:c r="D1063" s="22"/>
      <x:c r="F1063" s="23"/>
      <x:c r="H1063" s="25"/>
    </x:row>
    <x:row r="1064">
      <x:c r="D1064" s="22"/>
      <x:c r="F1064" s="23"/>
      <x:c r="H1064" s="25"/>
    </x:row>
    <x:row r="1065">
      <x:c r="D1065" s="22"/>
      <x:c r="F1065" s="23"/>
      <x:c r="H1065" s="25"/>
    </x:row>
    <x:row r="1066">
      <x:c r="D1066" s="22"/>
      <x:c r="F1066" s="23"/>
      <x:c r="H1066" s="25"/>
    </x:row>
    <x:row r="1067">
      <x:c r="D1067" s="22"/>
      <x:c r="F1067" s="23"/>
      <x:c r="H1067" s="25"/>
    </x:row>
    <x:row r="1068">
      <x:c r="D1068" s="22"/>
      <x:c r="F1068" s="23"/>
      <x:c r="H1068" s="25"/>
    </x:row>
    <x:row r="1069">
      <x:c r="D1069" s="22"/>
      <x:c r="F1069" s="23"/>
      <x:c r="H1069" s="25"/>
    </x:row>
    <x:row r="1070">
      <x:c r="D1070" s="22"/>
      <x:c r="F1070" s="23"/>
      <x:c r="H1070" s="25"/>
    </x:row>
    <x:row r="1071">
      <x:c r="D1071" s="22"/>
      <x:c r="F1071" s="23"/>
      <x:c r="H1071" s="25"/>
    </x:row>
    <x:row r="1072">
      <x:c r="D1072" s="22"/>
      <x:c r="F1072" s="23"/>
      <x:c r="H1072" s="25"/>
    </x:row>
    <x:row r="1073">
      <x:c r="D1073" s="22"/>
      <x:c r="F1073" s="23"/>
      <x:c r="H1073" s="25"/>
    </x:row>
    <x:row r="1074">
      <x:c r="D1074" s="22"/>
      <x:c r="F1074" s="23"/>
      <x:c r="H1074" s="25"/>
    </x:row>
    <x:row r="1075">
      <x:c r="D1075" s="22"/>
      <x:c r="F1075" s="23"/>
      <x:c r="H1075" s="25"/>
    </x:row>
    <x:row r="1076">
      <x:c r="D1076" s="22"/>
      <x:c r="F1076" s="23"/>
      <x:c r="H1076" s="25"/>
    </x:row>
    <x:row r="1077">
      <x:c r="D1077" s="22"/>
      <x:c r="F1077" s="23"/>
      <x:c r="H1077" s="25"/>
    </x:row>
    <x:row r="1078">
      <x:c r="D1078" s="22"/>
      <x:c r="F1078" s="23"/>
      <x:c r="H1078" s="25"/>
    </x:row>
    <x:row r="1079">
      <x:c r="D1079" s="22"/>
      <x:c r="F1079" s="23"/>
      <x:c r="H1079" s="25"/>
    </x:row>
    <x:row r="1080">
      <x:c r="D1080" s="22"/>
      <x:c r="F1080" s="23"/>
      <x:c r="H1080" s="25"/>
    </x:row>
    <x:row r="1081">
      <x:c r="D1081" s="22"/>
      <x:c r="F1081" s="23"/>
      <x:c r="H1081" s="25"/>
    </x:row>
    <x:row r="1082">
      <x:c r="D1082" s="22"/>
      <x:c r="F1082" s="23"/>
      <x:c r="H1082" s="25"/>
    </x:row>
    <x:row r="1083">
      <x:c r="D1083" s="22"/>
      <x:c r="F1083" s="23"/>
      <x:c r="H1083" s="25"/>
    </x:row>
    <x:row r="1084">
      <x:c r="D1084" s="22"/>
      <x:c r="F1084" s="23"/>
      <x:c r="H1084" s="25"/>
    </x:row>
    <x:row r="1085">
      <x:c r="D1085" s="22"/>
      <x:c r="F1085" s="23"/>
      <x:c r="H1085" s="25"/>
    </x:row>
    <x:row r="1086">
      <x:c r="D1086" s="22"/>
      <x:c r="F1086" s="23"/>
      <x:c r="H1086" s="25"/>
    </x:row>
    <x:row r="1087">
      <x:c r="D1087" s="22"/>
      <x:c r="F1087" s="23"/>
      <x:c r="H1087" s="25"/>
    </x:row>
    <x:row r="1088">
      <x:c r="D1088" s="22"/>
      <x:c r="F1088" s="23"/>
      <x:c r="H1088" s="25"/>
    </x:row>
    <x:row r="1089">
      <x:c r="D1089" s="22"/>
      <x:c r="F1089" s="23"/>
      <x:c r="H1089" s="25"/>
    </x:row>
    <x:row r="1090">
      <x:c r="D1090" s="22"/>
      <x:c r="F1090" s="23"/>
      <x:c r="H1090" s="25"/>
    </x:row>
    <x:row r="1091">
      <x:c r="D1091" s="22"/>
      <x:c r="F1091" s="23"/>
      <x:c r="H1091" s="25"/>
    </x:row>
    <x:row r="1092">
      <x:c r="D1092" s="22"/>
      <x:c r="F1092" s="23"/>
      <x:c r="H1092" s="25"/>
    </x:row>
    <x:row r="1093">
      <x:c r="D1093" s="22"/>
      <x:c r="F1093" s="23"/>
      <x:c r="H1093" s="25"/>
    </x:row>
    <x:row r="1094">
      <x:c r="D1094" s="22"/>
      <x:c r="F1094" s="23"/>
      <x:c r="H1094" s="25"/>
    </x:row>
    <x:row r="1095">
      <x:c r="D1095" s="22"/>
      <x:c r="F1095" s="23"/>
      <x:c r="H1095" s="25"/>
    </x:row>
    <x:row r="1096">
      <x:c r="D1096" s="22"/>
      <x:c r="F1096" s="23"/>
      <x:c r="H1096" s="25"/>
    </x:row>
    <x:row r="1097">
      <x:c r="D1097" s="22"/>
      <x:c r="F1097" s="23"/>
      <x:c r="H1097" s="25"/>
    </x:row>
    <x:row r="1098">
      <x:c r="D1098" s="22"/>
      <x:c r="F1098" s="23"/>
      <x:c r="H1098" s="25"/>
    </x:row>
    <x:row r="1099">
      <x:c r="D1099" s="22"/>
      <x:c r="F1099" s="23"/>
      <x:c r="H1099" s="25"/>
    </x:row>
    <x:row r="1100">
      <x:c r="D1100" s="22"/>
      <x:c r="F1100" s="23"/>
      <x:c r="H1100" s="25"/>
    </x:row>
    <x:row r="1101">
      <x:c r="D1101" s="22"/>
      <x:c r="F1101" s="23"/>
      <x:c r="H1101" s="25"/>
    </x:row>
    <x:row r="1102">
      <x:c r="D1102" s="22"/>
      <x:c r="F1102" s="23"/>
      <x:c r="H1102" s="25"/>
    </x:row>
    <x:row r="1103">
      <x:c r="D1103" s="22"/>
      <x:c r="F1103" s="23"/>
      <x:c r="H1103" s="25"/>
    </x:row>
    <x:row r="1104">
      <x:c r="D1104" s="22"/>
      <x:c r="F1104" s="23"/>
      <x:c r="H1104" s="25"/>
    </x:row>
    <x:row r="1105">
      <x:c r="D1105" s="22"/>
      <x:c r="F1105" s="23"/>
      <x:c r="H1105" s="25"/>
    </x:row>
    <x:row r="1106">
      <x:c r="D1106" s="22"/>
      <x:c r="F1106" s="23"/>
      <x:c r="H1106" s="25"/>
    </x:row>
    <x:row r="1107">
      <x:c r="D1107" s="22"/>
      <x:c r="F1107" s="23"/>
      <x:c r="H1107" s="25"/>
    </x:row>
    <x:row r="1108">
      <x:c r="D1108" s="22"/>
      <x:c r="F1108" s="23"/>
      <x:c r="H1108" s="25"/>
    </x:row>
    <x:row r="1109">
      <x:c r="D1109" s="22"/>
      <x:c r="F1109" s="23"/>
      <x:c r="H1109" s="25"/>
    </x:row>
    <x:row r="1110">
      <x:c r="D1110" s="22"/>
      <x:c r="F1110" s="23"/>
      <x:c r="H1110" s="25"/>
    </x:row>
    <x:row r="1111">
      <x:c r="D1111" s="22"/>
      <x:c r="F1111" s="23"/>
      <x:c r="H1111" s="25"/>
    </x:row>
    <x:row r="1112">
      <x:c r="D1112" s="22"/>
      <x:c r="F1112" s="23"/>
      <x:c r="H1112" s="25"/>
    </x:row>
    <x:row r="1113">
      <x:c r="D1113" s="22"/>
      <x:c r="F1113" s="23"/>
      <x:c r="H1113" s="25"/>
    </x:row>
    <x:row r="1114">
      <x:c r="D1114" s="22"/>
      <x:c r="F1114" s="23"/>
      <x:c r="H1114" s="25"/>
    </x:row>
    <x:row r="1115">
      <x:c r="D1115" s="22"/>
      <x:c r="F1115" s="23"/>
      <x:c r="H1115" s="25"/>
    </x:row>
    <x:row r="1116">
      <x:c r="D1116" s="22"/>
      <x:c r="F1116" s="23"/>
      <x:c r="H1116" s="25"/>
    </x:row>
    <x:row r="1117">
      <x:c r="D1117" s="22"/>
      <x:c r="F1117" s="23"/>
      <x:c r="H1117" s="25"/>
    </x:row>
    <x:row r="1118">
      <x:c r="D1118" s="22"/>
      <x:c r="F1118" s="23"/>
      <x:c r="H1118" s="25"/>
    </x:row>
    <x:row r="1119">
      <x:c r="D1119" s="22"/>
      <x:c r="F1119" s="23"/>
      <x:c r="H1119" s="25"/>
    </x:row>
    <x:row r="1120">
      <x:c r="D1120" s="22"/>
      <x:c r="F1120" s="23"/>
      <x:c r="H1120" s="25"/>
    </x:row>
    <x:row r="1121">
      <x:c r="D1121" s="22"/>
      <x:c r="F1121" s="23"/>
      <x:c r="H1121" s="25"/>
    </x:row>
    <x:row r="1122">
      <x:c r="D1122" s="22"/>
      <x:c r="F1122" s="23"/>
      <x:c r="H1122" s="25"/>
    </x:row>
    <x:row r="1123">
      <x:c r="D1123" s="22"/>
      <x:c r="F1123" s="23"/>
      <x:c r="H1123" s="25"/>
    </x:row>
    <x:row r="1124">
      <x:c r="D1124" s="22"/>
      <x:c r="F1124" s="23"/>
      <x:c r="H1124" s="25"/>
    </x:row>
    <x:row r="1125">
      <x:c r="D1125" s="22"/>
      <x:c r="F1125" s="23"/>
      <x:c r="H1125" s="25"/>
    </x:row>
    <x:row r="1126">
      <x:c r="D1126" s="22"/>
      <x:c r="F1126" s="23"/>
      <x:c r="H1126" s="25"/>
    </x:row>
    <x:row r="1127">
      <x:c r="D1127" s="22"/>
      <x:c r="F1127" s="23"/>
      <x:c r="H1127" s="25"/>
    </x:row>
    <x:row r="1128">
      <x:c r="D1128" s="22"/>
      <x:c r="F1128" s="23"/>
      <x:c r="H1128" s="25"/>
    </x:row>
    <x:row r="1129">
      <x:c r="D1129" s="22"/>
      <x:c r="F1129" s="23"/>
      <x:c r="H1129" s="25"/>
    </x:row>
    <x:row r="1130">
      <x:c r="D1130" s="22"/>
      <x:c r="F1130" s="23"/>
      <x:c r="H1130" s="25"/>
    </x:row>
    <x:row r="1131">
      <x:c r="D1131" s="22"/>
      <x:c r="F1131" s="23"/>
      <x:c r="H1131" s="25"/>
    </x:row>
    <x:row r="1132">
      <x:c r="D1132" s="22"/>
      <x:c r="F1132" s="23"/>
      <x:c r="H1132" s="25"/>
    </x:row>
    <x:row r="1133">
      <x:c r="D1133" s="22"/>
      <x:c r="F1133" s="23"/>
      <x:c r="H1133" s="25"/>
    </x:row>
    <x:row r="1134">
      <x:c r="D1134" s="22"/>
      <x:c r="F1134" s="23"/>
      <x:c r="H1134" s="25"/>
    </x:row>
    <x:row r="1135">
      <x:c r="D1135" s="22"/>
      <x:c r="F1135" s="23"/>
      <x:c r="H1135" s="25"/>
    </x:row>
    <x:row r="1136">
      <x:c r="D1136" s="22"/>
      <x:c r="F1136" s="23"/>
      <x:c r="H1136" s="25"/>
    </x:row>
    <x:row r="1137">
      <x:c r="D1137" s="22"/>
      <x:c r="F1137" s="23"/>
      <x:c r="H1137" s="25"/>
    </x:row>
    <x:row r="1138">
      <x:c r="D1138" s="22"/>
      <x:c r="F1138" s="23"/>
      <x:c r="H1138" s="25"/>
    </x:row>
    <x:row r="1139">
      <x:c r="D1139" s="22"/>
      <x:c r="F1139" s="23"/>
      <x:c r="H1139" s="25"/>
    </x:row>
    <x:row r="1140">
      <x:c r="D1140" s="22"/>
      <x:c r="F1140" s="23"/>
      <x:c r="H1140" s="25"/>
    </x:row>
    <x:row r="1141">
      <x:c r="D1141" s="22"/>
      <x:c r="F1141" s="23"/>
      <x:c r="H1141" s="25"/>
    </x:row>
    <x:row r="1142">
      <x:c r="D1142" s="22"/>
      <x:c r="F1142" s="23"/>
      <x:c r="H1142" s="25"/>
    </x:row>
    <x:row r="1143">
      <x:c r="D1143" s="22"/>
      <x:c r="F1143" s="23"/>
      <x:c r="H1143" s="25"/>
    </x:row>
    <x:row r="1144">
      <x:c r="D1144" s="22"/>
      <x:c r="F1144" s="23"/>
      <x:c r="H1144" s="25"/>
    </x:row>
    <x:row r="1145">
      <x:c r="D1145" s="22"/>
      <x:c r="F1145" s="23"/>
      <x:c r="H1145" s="25"/>
    </x:row>
    <x:row r="1146">
      <x:c r="D1146" s="22"/>
      <x:c r="F1146" s="23"/>
      <x:c r="H1146" s="25"/>
    </x:row>
    <x:row r="1147">
      <x:c r="D1147" s="22"/>
      <x:c r="F1147" s="23"/>
      <x:c r="H1147" s="25"/>
    </x:row>
    <x:row r="1148">
      <x:c r="D1148" s="22"/>
      <x:c r="F1148" s="23"/>
      <x:c r="H1148" s="25"/>
    </x:row>
    <x:row r="1149">
      <x:c r="D1149" s="22"/>
      <x:c r="F1149" s="23"/>
      <x:c r="H1149" s="25"/>
    </x:row>
    <x:row r="1150">
      <x:c r="D1150" s="22"/>
      <x:c r="F1150" s="23"/>
      <x:c r="H1150" s="25"/>
    </x:row>
    <x:row r="1151">
      <x:c r="D1151" s="22"/>
      <x:c r="F1151" s="23"/>
      <x:c r="H1151" s="25"/>
    </x:row>
    <x:row r="1152">
      <x:c r="D1152" s="22"/>
      <x:c r="F1152" s="23"/>
      <x:c r="H1152" s="25"/>
    </x:row>
    <x:row r="1153">
      <x:c r="D1153" s="22"/>
      <x:c r="F1153" s="23"/>
      <x:c r="H1153" s="25"/>
    </x:row>
    <x:row r="1154">
      <x:c r="D1154" s="22"/>
      <x:c r="F1154" s="23"/>
      <x:c r="H1154" s="25"/>
    </x:row>
    <x:row r="1155">
      <x:c r="D1155" s="22"/>
      <x:c r="F1155" s="23"/>
      <x:c r="H1155" s="25"/>
    </x:row>
    <x:row r="1156">
      <x:c r="D1156" s="22"/>
      <x:c r="F1156" s="23"/>
      <x:c r="H1156" s="25"/>
    </x:row>
    <x:row r="1157">
      <x:c r="D1157" s="22"/>
      <x:c r="F1157" s="23"/>
      <x:c r="H1157" s="25"/>
    </x:row>
    <x:row r="1158">
      <x:c r="D1158" s="22"/>
      <x:c r="F1158" s="23"/>
      <x:c r="H1158" s="25"/>
    </x:row>
    <x:row r="1159">
      <x:c r="D1159" s="22"/>
      <x:c r="F1159" s="23"/>
      <x:c r="H1159" s="25"/>
    </x:row>
    <x:row r="1160">
      <x:c r="D1160" s="22"/>
      <x:c r="F1160" s="23"/>
      <x:c r="H1160" s="25"/>
    </x:row>
    <x:row r="1161">
      <x:c r="D1161" s="22"/>
      <x:c r="F1161" s="23"/>
      <x:c r="H1161" s="25"/>
    </x:row>
    <x:row r="1162">
      <x:c r="D1162" s="22"/>
      <x:c r="F1162" s="23"/>
      <x:c r="H1162" s="25"/>
    </x:row>
    <x:row r="1163">
      <x:c r="D1163" s="22"/>
      <x:c r="F1163" s="23"/>
      <x:c r="H1163" s="25"/>
    </x:row>
    <x:row r="1164">
      <x:c r="D1164" s="22"/>
      <x:c r="F1164" s="23"/>
      <x:c r="H1164" s="25"/>
    </x:row>
    <x:row r="1165">
      <x:c r="D1165" s="22"/>
      <x:c r="F1165" s="23"/>
      <x:c r="H1165" s="25"/>
    </x:row>
    <x:row r="1166">
      <x:c r="D1166" s="22"/>
      <x:c r="F1166" s="23"/>
      <x:c r="H1166" s="25"/>
    </x:row>
    <x:row r="1167">
      <x:c r="D1167" s="22"/>
      <x:c r="F1167" s="23"/>
      <x:c r="H1167" s="25"/>
    </x:row>
    <x:row r="1168">
      <x:c r="D1168" s="22"/>
      <x:c r="F1168" s="23"/>
      <x:c r="H1168" s="25"/>
    </x:row>
    <x:row r="1169">
      <x:c r="D1169" s="22"/>
      <x:c r="F1169" s="23"/>
      <x:c r="H1169" s="25"/>
    </x:row>
    <x:row r="1170">
      <x:c r="D1170" s="22"/>
      <x:c r="F1170" s="23"/>
      <x:c r="H1170" s="25"/>
    </x:row>
    <x:row r="1171">
      <x:c r="D1171" s="22"/>
      <x:c r="F1171" s="23"/>
      <x:c r="H1171" s="25"/>
    </x:row>
    <x:row r="1172">
      <x:c r="D1172" s="22"/>
      <x:c r="F1172" s="23"/>
      <x:c r="H1172" s="25"/>
    </x:row>
    <x:row r="1173">
      <x:c r="D1173" s="22"/>
      <x:c r="F1173" s="23"/>
      <x:c r="H1173" s="25"/>
    </x:row>
    <x:row r="1174">
      <x:c r="D1174" s="22"/>
      <x:c r="F1174" s="23"/>
      <x:c r="H1174" s="25"/>
    </x:row>
    <x:row r="1175">
      <x:c r="D1175" s="22"/>
      <x:c r="F1175" s="23"/>
      <x:c r="H1175" s="25"/>
    </x:row>
    <x:row r="1176">
      <x:c r="D1176" s="22"/>
      <x:c r="F1176" s="23"/>
      <x:c r="H1176" s="25"/>
    </x:row>
    <x:row r="1177">
      <x:c r="D1177" s="22"/>
      <x:c r="F1177" s="23"/>
      <x:c r="H1177" s="25"/>
    </x:row>
    <x:row r="1178">
      <x:c r="D1178" s="22"/>
      <x:c r="F1178" s="23"/>
      <x:c r="H1178" s="25"/>
    </x:row>
    <x:row r="1179">
      <x:c r="D1179" s="22"/>
      <x:c r="F1179" s="23"/>
      <x:c r="H1179" s="25"/>
    </x:row>
    <x:row r="1180">
      <x:c r="D1180" s="22"/>
      <x:c r="F1180" s="23"/>
      <x:c r="H1180" s="25"/>
    </x:row>
    <x:row r="1181">
      <x:c r="D1181" s="22"/>
      <x:c r="F1181" s="23"/>
      <x:c r="H1181" s="25"/>
    </x:row>
    <x:row r="1182">
      <x:c r="D1182" s="22"/>
      <x:c r="F1182" s="23"/>
      <x:c r="H1182" s="25"/>
    </x:row>
    <x:row r="1183">
      <x:c r="D1183" s="22"/>
      <x:c r="F1183" s="23"/>
      <x:c r="H1183" s="25"/>
    </x:row>
    <x:row r="1184">
      <x:c r="D1184" s="22"/>
      <x:c r="F1184" s="23"/>
      <x:c r="H1184" s="25"/>
    </x:row>
    <x:row r="1185">
      <x:c r="D1185" s="22"/>
      <x:c r="F1185" s="23"/>
      <x:c r="H1185" s="25"/>
    </x:row>
    <x:row r="1186">
      <x:c r="D1186" s="22"/>
      <x:c r="F1186" s="23"/>
      <x:c r="H1186" s="25"/>
    </x:row>
    <x:row r="1187">
      <x:c r="D1187" s="22"/>
      <x:c r="F1187" s="23"/>
      <x:c r="H1187" s="25"/>
    </x:row>
    <x:row r="1188">
      <x:c r="D1188" s="22"/>
      <x:c r="F1188" s="23"/>
      <x:c r="H1188" s="25"/>
    </x:row>
    <x:row r="1189">
      <x:c r="D1189" s="22"/>
      <x:c r="F1189" s="23"/>
      <x:c r="H1189" s="25"/>
    </x:row>
    <x:row r="1190">
      <x:c r="D1190" s="22"/>
      <x:c r="F1190" s="23"/>
      <x:c r="H1190" s="25"/>
    </x:row>
    <x:row r="1191">
      <x:c r="D1191" s="22"/>
      <x:c r="F1191" s="23"/>
      <x:c r="H1191" s="25"/>
    </x:row>
    <x:row r="1192">
      <x:c r="D1192" s="22"/>
      <x:c r="F1192" s="23"/>
      <x:c r="H1192" s="25"/>
    </x:row>
    <x:row r="1193">
      <x:c r="D1193" s="22"/>
      <x:c r="F1193" s="23"/>
      <x:c r="H1193" s="25"/>
    </x:row>
    <x:row r="1194">
      <x:c r="D1194" s="22"/>
      <x:c r="F1194" s="23"/>
      <x:c r="H1194" s="25"/>
    </x:row>
    <x:row r="1195">
      <x:c r="D1195" s="22"/>
      <x:c r="F1195" s="23"/>
      <x:c r="H1195" s="25"/>
    </x:row>
    <x:row r="1196">
      <x:c r="D1196" s="22"/>
      <x:c r="F1196" s="23"/>
      <x:c r="H1196" s="25"/>
    </x:row>
    <x:row r="1197">
      <x:c r="D1197" s="22"/>
      <x:c r="F1197" s="23"/>
      <x:c r="H1197" s="25"/>
    </x:row>
    <x:row r="1198">
      <x:c r="D1198" s="22"/>
      <x:c r="F1198" s="23"/>
      <x:c r="H1198" s="25"/>
    </x:row>
    <x:row r="1199">
      <x:c r="D1199" s="22"/>
      <x:c r="F1199" s="23"/>
      <x:c r="H1199" s="25"/>
    </x:row>
    <x:row r="1200">
      <x:c r="D1200" s="22"/>
      <x:c r="F1200" s="23"/>
      <x:c r="H1200" s="25"/>
    </x:row>
    <x:row r="1201">
      <x:c r="D1201" s="22"/>
      <x:c r="F1201" s="23"/>
      <x:c r="H1201" s="25"/>
    </x:row>
    <x:row r="1202">
      <x:c r="D1202" s="22"/>
      <x:c r="F1202" s="23"/>
      <x:c r="H1202" s="25"/>
    </x:row>
    <x:row r="1203">
      <x:c r="D1203" s="22"/>
      <x:c r="F1203" s="23"/>
      <x:c r="H1203" s="25"/>
    </x:row>
    <x:row r="1204">
      <x:c r="D1204" s="22"/>
      <x:c r="F1204" s="23"/>
      <x:c r="H1204" s="25"/>
    </x:row>
    <x:row r="1205">
      <x:c r="D1205" s="22"/>
      <x:c r="F1205" s="23"/>
      <x:c r="H1205" s="25"/>
    </x:row>
    <x:row r="1206">
      <x:c r="D1206" s="22"/>
      <x:c r="F1206" s="23"/>
      <x:c r="H1206" s="25"/>
    </x:row>
    <x:row r="1207">
      <x:c r="D1207" s="22"/>
      <x:c r="F1207" s="23"/>
      <x:c r="H1207" s="25"/>
    </x:row>
    <x:row r="1208">
      <x:c r="D1208" s="22"/>
      <x:c r="F1208" s="23"/>
      <x:c r="H1208" s="25"/>
    </x:row>
    <x:row r="1209">
      <x:c r="D1209" s="22"/>
      <x:c r="F1209" s="23"/>
      <x:c r="H1209" s="25"/>
    </x:row>
    <x:row r="1210">
      <x:c r="D1210" s="22"/>
      <x:c r="F1210" s="23"/>
      <x:c r="H1210" s="25"/>
    </x:row>
    <x:row r="1211">
      <x:c r="D1211" s="22"/>
      <x:c r="F1211" s="23"/>
      <x:c r="H1211" s="25"/>
    </x:row>
    <x:row r="1212">
      <x:c r="D1212" s="22"/>
      <x:c r="F1212" s="23"/>
      <x:c r="H1212" s="25"/>
    </x:row>
    <x:row r="1213">
      <x:c r="D1213" s="22"/>
      <x:c r="F1213" s="23"/>
      <x:c r="H1213" s="25"/>
    </x:row>
    <x:row r="1214">
      <x:c r="D1214" s="22"/>
      <x:c r="F1214" s="23"/>
      <x:c r="H1214" s="25"/>
    </x:row>
    <x:row r="1215">
      <x:c r="D1215" s="22"/>
      <x:c r="F1215" s="23"/>
      <x:c r="H1215" s="25"/>
    </x:row>
    <x:row r="1216">
      <x:c r="D1216" s="22"/>
      <x:c r="F1216" s="23"/>
      <x:c r="H1216" s="25"/>
    </x:row>
    <x:row r="1217">
      <x:c r="D1217" s="22"/>
      <x:c r="F1217" s="23"/>
      <x:c r="H1217" s="25"/>
    </x:row>
    <x:row r="1218">
      <x:c r="D1218" s="22"/>
      <x:c r="F1218" s="23"/>
      <x:c r="H1218" s="25"/>
    </x:row>
    <x:row r="1219">
      <x:c r="D1219" s="22"/>
      <x:c r="F1219" s="23"/>
      <x:c r="H1219" s="25"/>
    </x:row>
    <x:row r="1220">
      <x:c r="D1220" s="22"/>
      <x:c r="F1220" s="23"/>
      <x:c r="H1220" s="25"/>
    </x:row>
    <x:row r="1221">
      <x:c r="D1221" s="22"/>
      <x:c r="F1221" s="23"/>
      <x:c r="H1221" s="25"/>
    </x:row>
    <x:row r="1222">
      <x:c r="D1222" s="22"/>
      <x:c r="F1222" s="23"/>
      <x:c r="H1222" s="25"/>
    </x:row>
    <x:row r="1223">
      <x:c r="D1223" s="22"/>
      <x:c r="F1223" s="23"/>
      <x:c r="H1223" s="25"/>
    </x:row>
    <x:row r="1224">
      <x:c r="D1224" s="22"/>
      <x:c r="F1224" s="23"/>
      <x:c r="H1224" s="25"/>
    </x:row>
    <x:row r="1225">
      <x:c r="D1225" s="22"/>
      <x:c r="F1225" s="23"/>
      <x:c r="H1225" s="25"/>
    </x:row>
    <x:row r="1226">
      <x:c r="D1226" s="22"/>
      <x:c r="F1226" s="23"/>
      <x:c r="H1226" s="25"/>
    </x:row>
    <x:row r="1227">
      <x:c r="D1227" s="22"/>
      <x:c r="F1227" s="23"/>
      <x:c r="H1227" s="25"/>
    </x:row>
    <x:row r="1228">
      <x:c r="D1228" s="22"/>
      <x:c r="F1228" s="23"/>
      <x:c r="H1228" s="25"/>
    </x:row>
    <x:row r="1229">
      <x:c r="D1229" s="22"/>
      <x:c r="F1229" s="23"/>
      <x:c r="H1229" s="25"/>
    </x:row>
    <x:row r="1230">
      <x:c r="D1230" s="22"/>
      <x:c r="F1230" s="23"/>
      <x:c r="H1230" s="25"/>
    </x:row>
    <x:row r="1231">
      <x:c r="D1231" s="22"/>
      <x:c r="F1231" s="23"/>
      <x:c r="H1231" s="25"/>
    </x:row>
    <x:row r="1232">
      <x:c r="D1232" s="22"/>
      <x:c r="F1232" s="23"/>
      <x:c r="H1232" s="25"/>
    </x:row>
    <x:row r="1233">
      <x:c r="D1233" s="22"/>
      <x:c r="F1233" s="23"/>
      <x:c r="H1233" s="25"/>
    </x:row>
    <x:row r="1234">
      <x:c r="D1234" s="22"/>
      <x:c r="F1234" s="23"/>
      <x:c r="H1234" s="25"/>
    </x:row>
    <x:row r="1235">
      <x:c r="D1235" s="22"/>
      <x:c r="F1235" s="23"/>
      <x:c r="H1235" s="25"/>
    </x:row>
    <x:row r="1236">
      <x:c r="D1236" s="22"/>
      <x:c r="F1236" s="23"/>
      <x:c r="H1236" s="25"/>
    </x:row>
    <x:row r="1237">
      <x:c r="D1237" s="22"/>
      <x:c r="F1237" s="23"/>
      <x:c r="H1237" s="25"/>
    </x:row>
    <x:row r="1238">
      <x:c r="D1238" s="22"/>
      <x:c r="F1238" s="23"/>
      <x:c r="H1238" s="25"/>
    </x:row>
    <x:row r="1239">
      <x:c r="D1239" s="22"/>
      <x:c r="F1239" s="23"/>
      <x:c r="H1239" s="25"/>
    </x:row>
    <x:row r="1240">
      <x:c r="D1240" s="22"/>
      <x:c r="F1240" s="23"/>
      <x:c r="H1240" s="25"/>
    </x:row>
    <x:row r="1241">
      <x:c r="D1241" s="22"/>
      <x:c r="F1241" s="23"/>
      <x:c r="H1241" s="25"/>
    </x:row>
    <x:row r="1242">
      <x:c r="D1242" s="22"/>
      <x:c r="F1242" s="23"/>
      <x:c r="H1242" s="25"/>
    </x:row>
    <x:row r="1243">
      <x:c r="D1243" s="22"/>
      <x:c r="F1243" s="23"/>
      <x:c r="H1243" s="25"/>
    </x:row>
    <x:row r="1244">
      <x:c r="D1244" s="22"/>
      <x:c r="F1244" s="23"/>
      <x:c r="H1244" s="25"/>
    </x:row>
    <x:row r="1245">
      <x:c r="D1245" s="22"/>
      <x:c r="F1245" s="23"/>
      <x:c r="H1245" s="25"/>
    </x:row>
    <x:row r="1246">
      <x:c r="D1246" s="22"/>
      <x:c r="F1246" s="23"/>
      <x:c r="H1246" s="25"/>
    </x:row>
    <x:row r="1247">
      <x:c r="D1247" s="22"/>
      <x:c r="F1247" s="23"/>
      <x:c r="H1247" s="25"/>
    </x:row>
    <x:row r="1248">
      <x:c r="D1248" s="22"/>
      <x:c r="F1248" s="23"/>
      <x:c r="H1248" s="25"/>
    </x:row>
    <x:row r="1249">
      <x:c r="D1249" s="22"/>
      <x:c r="F1249" s="23"/>
      <x:c r="H1249" s="25"/>
    </x:row>
    <x:row r="1250">
      <x:c r="D1250" s="22"/>
      <x:c r="F1250" s="23"/>
      <x:c r="H1250" s="25"/>
    </x:row>
    <x:row r="1251">
      <x:c r="D1251" s="22"/>
      <x:c r="F1251" s="23"/>
      <x:c r="H1251" s="25"/>
    </x:row>
    <x:row r="1252">
      <x:c r="D1252" s="22"/>
      <x:c r="F1252" s="23"/>
      <x:c r="H1252" s="25"/>
    </x:row>
    <x:row r="1253">
      <x:c r="D1253" s="22"/>
      <x:c r="F1253" s="23"/>
      <x:c r="H1253" s="25"/>
    </x:row>
    <x:row r="1254">
      <x:c r="D1254" s="22"/>
      <x:c r="F1254" s="23"/>
      <x:c r="H1254" s="25"/>
    </x:row>
    <x:row r="1255">
      <x:c r="D1255" s="22"/>
      <x:c r="F1255" s="23"/>
      <x:c r="H1255" s="25"/>
    </x:row>
    <x:row r="1256">
      <x:c r="D1256" s="22"/>
      <x:c r="F1256" s="23"/>
      <x:c r="H1256" s="25"/>
    </x:row>
    <x:row r="1257">
      <x:c r="D1257" s="22"/>
      <x:c r="F1257" s="23"/>
      <x:c r="H1257" s="25"/>
    </x:row>
    <x:row r="1258">
      <x:c r="D1258" s="22"/>
      <x:c r="F1258" s="23"/>
      <x:c r="H1258" s="25"/>
    </x:row>
    <x:row r="1259">
      <x:c r="D1259" s="22"/>
      <x:c r="F1259" s="23"/>
      <x:c r="H1259" s="25"/>
    </x:row>
    <x:row r="1260">
      <x:c r="D1260" s="22"/>
      <x:c r="F1260" s="23"/>
      <x:c r="H1260" s="25"/>
    </x:row>
    <x:row r="1261">
      <x:c r="D1261" s="22"/>
      <x:c r="F1261" s="23"/>
      <x:c r="H1261" s="25"/>
    </x:row>
    <x:row r="1262">
      <x:c r="D1262" s="22"/>
      <x:c r="F1262" s="23"/>
      <x:c r="H1262" s="25"/>
    </x:row>
    <x:row r="1263">
      <x:c r="D1263" s="22"/>
      <x:c r="F1263" s="23"/>
      <x:c r="H1263" s="25"/>
    </x:row>
    <x:row r="1264">
      <x:c r="D1264" s="22"/>
      <x:c r="F1264" s="23"/>
      <x:c r="H1264" s="25"/>
    </x:row>
    <x:row r="1265">
      <x:c r="D1265" s="22"/>
      <x:c r="F1265" s="23"/>
      <x:c r="H1265" s="25"/>
    </x:row>
    <x:row r="1266">
      <x:c r="D1266" s="22"/>
      <x:c r="F1266" s="23"/>
      <x:c r="H1266" s="25"/>
    </x:row>
    <x:row r="1267">
      <x:c r="D1267" s="22"/>
      <x:c r="F1267" s="23"/>
      <x:c r="H1267" s="25"/>
    </x:row>
    <x:row r="1268">
      <x:c r="D1268" s="22"/>
      <x:c r="F1268" s="23"/>
      <x:c r="H1268" s="25"/>
    </x:row>
    <x:row r="1269">
      <x:c r="D1269" s="22"/>
      <x:c r="F1269" s="23"/>
      <x:c r="H1269" s="25"/>
    </x:row>
    <x:row r="1270">
      <x:c r="D1270" s="22"/>
      <x:c r="F1270" s="23"/>
      <x:c r="H1270" s="25"/>
    </x:row>
    <x:row r="1271">
      <x:c r="D1271" s="22"/>
      <x:c r="F1271" s="23"/>
      <x:c r="H1271" s="25"/>
    </x:row>
    <x:row r="1272">
      <x:c r="D1272" s="22"/>
      <x:c r="F1272" s="23"/>
      <x:c r="H1272" s="25"/>
    </x:row>
    <x:row r="1273">
      <x:c r="D1273" s="22"/>
      <x:c r="F1273" s="23"/>
      <x:c r="H1273" s="25"/>
    </x:row>
    <x:row r="1274">
      <x:c r="D1274" s="22"/>
      <x:c r="F1274" s="23"/>
      <x:c r="H1274" s="25"/>
    </x:row>
    <x:row r="1275">
      <x:c r="D1275" s="22"/>
      <x:c r="F1275" s="23"/>
      <x:c r="H1275" s="25"/>
    </x:row>
    <x:row r="1276">
      <x:c r="D1276" s="22"/>
      <x:c r="F1276" s="23"/>
      <x:c r="H1276" s="25"/>
    </x:row>
    <x:row r="1277">
      <x:c r="D1277" s="22"/>
      <x:c r="F1277" s="23"/>
      <x:c r="H1277" s="25"/>
    </x:row>
    <x:row r="1278">
      <x:c r="D1278" s="22"/>
      <x:c r="F1278" s="23"/>
      <x:c r="H1278" s="25"/>
    </x:row>
    <x:row r="1279">
      <x:c r="D1279" s="22"/>
      <x:c r="F1279" s="23"/>
      <x:c r="H1279" s="25"/>
    </x:row>
    <x:row r="1280">
      <x:c r="D1280" s="22"/>
      <x:c r="F1280" s="23"/>
      <x:c r="H1280" s="25"/>
    </x:row>
    <x:row r="1281">
      <x:c r="D1281" s="22"/>
      <x:c r="F1281" s="23"/>
      <x:c r="H1281" s="25"/>
    </x:row>
    <x:row r="1282">
      <x:c r="D1282" s="22"/>
      <x:c r="F1282" s="23"/>
      <x:c r="H1282" s="25"/>
    </x:row>
    <x:row r="1283">
      <x:c r="D1283" s="22"/>
      <x:c r="F1283" s="23"/>
      <x:c r="H1283" s="25"/>
    </x:row>
    <x:row r="1284">
      <x:c r="D1284" s="22"/>
      <x:c r="F1284" s="23"/>
      <x:c r="H1284" s="25"/>
    </x:row>
    <x:row r="1285">
      <x:c r="D1285" s="22"/>
      <x:c r="F1285" s="23"/>
      <x:c r="H1285" s="25"/>
    </x:row>
    <x:row r="1286">
      <x:c r="D1286" s="22"/>
      <x:c r="F1286" s="23"/>
      <x:c r="H1286" s="25"/>
    </x:row>
    <x:row r="1287">
      <x:c r="D1287" s="22"/>
      <x:c r="F1287" s="23"/>
      <x:c r="H1287" s="25"/>
    </x:row>
    <x:row r="1288">
      <x:c r="D1288" s="22"/>
      <x:c r="F1288" s="23"/>
      <x:c r="H1288" s="25"/>
    </x:row>
    <x:row r="1289">
      <x:c r="D1289" s="22"/>
      <x:c r="F1289" s="23"/>
      <x:c r="H1289" s="25"/>
    </x:row>
    <x:row r="1290">
      <x:c r="D1290" s="22"/>
      <x:c r="F1290" s="23"/>
      <x:c r="H1290" s="25"/>
    </x:row>
    <x:row r="1291">
      <x:c r="D1291" s="22"/>
      <x:c r="F1291" s="23"/>
      <x:c r="H1291" s="25"/>
    </x:row>
    <x:row r="1292">
      <x:c r="D1292" s="22"/>
      <x:c r="F1292" s="23"/>
      <x:c r="H1292" s="25"/>
    </x:row>
    <x:row r="1293">
      <x:c r="D1293" s="22"/>
      <x:c r="F1293" s="23"/>
      <x:c r="H1293" s="25"/>
    </x:row>
    <x:row r="1294">
      <x:c r="D1294" s="22"/>
      <x:c r="F1294" s="23"/>
      <x:c r="H1294" s="25"/>
    </x:row>
    <x:row r="1295">
      <x:c r="D1295" s="22"/>
      <x:c r="F1295" s="23"/>
      <x:c r="H1295" s="25"/>
    </x:row>
    <x:row r="1296">
      <x:c r="D1296" s="22"/>
      <x:c r="F1296" s="23"/>
      <x:c r="H1296" s="25"/>
    </x:row>
    <x:row r="1297">
      <x:c r="D1297" s="22"/>
      <x:c r="F1297" s="23"/>
      <x:c r="H1297" s="25"/>
    </x:row>
    <x:row r="1298">
      <x:c r="D1298" s="22"/>
      <x:c r="F1298" s="23"/>
      <x:c r="H1298" s="25"/>
    </x:row>
    <x:row r="1299">
      <x:c r="D1299" s="22"/>
      <x:c r="F1299" s="23"/>
      <x:c r="H1299" s="25"/>
    </x:row>
    <x:row r="1300">
      <x:c r="D1300" s="22"/>
      <x:c r="F1300" s="23"/>
      <x:c r="H1300" s="25"/>
    </x:row>
    <x:row r="1301">
      <x:c r="D1301" s="22"/>
      <x:c r="F1301" s="23"/>
      <x:c r="H1301" s="25"/>
    </x:row>
    <x:row r="1302">
      <x:c r="D1302" s="22"/>
      <x:c r="F1302" s="23"/>
      <x:c r="H1302" s="25"/>
    </x:row>
    <x:row r="1303">
      <x:c r="D1303" s="22"/>
      <x:c r="F1303" s="23"/>
      <x:c r="H1303" s="25"/>
    </x:row>
    <x:row r="1304">
      <x:c r="D1304" s="22"/>
      <x:c r="F1304" s="23"/>
      <x:c r="H1304" s="25"/>
    </x:row>
    <x:row r="1305">
      <x:c r="D1305" s="22"/>
      <x:c r="F1305" s="23"/>
      <x:c r="H1305" s="25"/>
    </x:row>
    <x:row r="1306">
      <x:c r="D1306" s="22"/>
      <x:c r="F1306" s="23"/>
      <x:c r="H1306" s="25"/>
    </x:row>
    <x:row r="1307">
      <x:c r="D1307" s="22"/>
      <x:c r="F1307" s="23"/>
      <x:c r="H1307" s="25"/>
    </x:row>
    <x:row r="1308">
      <x:c r="D1308" s="22"/>
      <x:c r="F1308" s="23"/>
      <x:c r="H1308" s="25"/>
    </x:row>
    <x:row r="1309">
      <x:c r="D1309" s="22"/>
      <x:c r="F1309" s="23"/>
      <x:c r="H1309" s="25"/>
    </x:row>
    <x:row r="1310">
      <x:c r="D1310" s="22"/>
      <x:c r="F1310" s="23"/>
      <x:c r="H1310" s="25"/>
    </x:row>
    <x:row r="1311">
      <x:c r="D1311" s="22"/>
      <x:c r="F1311" s="23"/>
      <x:c r="H1311" s="25"/>
    </x:row>
    <x:row r="1312">
      <x:c r="D1312" s="22"/>
      <x:c r="F1312" s="23"/>
      <x:c r="H1312" s="25"/>
    </x:row>
    <x:row r="1313">
      <x:c r="D1313" s="22"/>
      <x:c r="F1313" s="23"/>
      <x:c r="H1313" s="25"/>
    </x:row>
    <x:row r="1314">
      <x:c r="D1314" s="22"/>
      <x:c r="F1314" s="23"/>
      <x:c r="H1314" s="25"/>
    </x:row>
    <x:row r="1315">
      <x:c r="D1315" s="22"/>
      <x:c r="F1315" s="23"/>
      <x:c r="H1315" s="25"/>
    </x:row>
    <x:row r="1316">
      <x:c r="D1316" s="22"/>
      <x:c r="F1316" s="23"/>
      <x:c r="H1316" s="25"/>
    </x:row>
    <x:row r="1317">
      <x:c r="D1317" s="22"/>
      <x:c r="F1317" s="23"/>
      <x:c r="H1317" s="25"/>
    </x:row>
    <x:row r="1318">
      <x:c r="D1318" s="22"/>
      <x:c r="F1318" s="23"/>
      <x:c r="H1318" s="25"/>
    </x:row>
    <x:row r="1319">
      <x:c r="D1319" s="22"/>
      <x:c r="F1319" s="23"/>
      <x:c r="H1319" s="25"/>
    </x:row>
    <x:row r="1320">
      <x:c r="D1320" s="22"/>
      <x:c r="F1320" s="23"/>
      <x:c r="H1320" s="25"/>
    </x:row>
    <x:row r="1321">
      <x:c r="D1321" s="22"/>
      <x:c r="F1321" s="23"/>
      <x:c r="H1321" s="25"/>
    </x:row>
    <x:row r="1322">
      <x:c r="D1322" s="22"/>
      <x:c r="F1322" s="23"/>
      <x:c r="H1322" s="25"/>
    </x:row>
    <x:row r="1323">
      <x:c r="D1323" s="22"/>
      <x:c r="F1323" s="23"/>
      <x:c r="H1323" s="25"/>
    </x:row>
    <x:row r="1324">
      <x:c r="D1324" s="22"/>
      <x:c r="F1324" s="23"/>
      <x:c r="H1324" s="25"/>
    </x:row>
    <x:row r="1325">
      <x:c r="D1325" s="22"/>
      <x:c r="F1325" s="23"/>
      <x:c r="H1325" s="25"/>
    </x:row>
    <x:row r="1326">
      <x:c r="D1326" s="22"/>
      <x:c r="F1326" s="23"/>
      <x:c r="H1326" s="25"/>
    </x:row>
    <x:row r="1327">
      <x:c r="D1327" s="22"/>
      <x:c r="F1327" s="23"/>
      <x:c r="H1327" s="25"/>
    </x:row>
    <x:row r="1328">
      <x:c r="D1328" s="22"/>
      <x:c r="F1328" s="23"/>
      <x:c r="H1328" s="25"/>
    </x:row>
    <x:row r="1329">
      <x:c r="D1329" s="22"/>
      <x:c r="F1329" s="23"/>
      <x:c r="H1329" s="25"/>
    </x:row>
    <x:row r="1330">
      <x:c r="D1330" s="22"/>
      <x:c r="F1330" s="23"/>
      <x:c r="H1330" s="25"/>
    </x:row>
    <x:row r="1331">
      <x:c r="D1331" s="22"/>
      <x:c r="F1331" s="23"/>
      <x:c r="H1331" s="25"/>
    </x:row>
    <x:row r="1332">
      <x:c r="D1332" s="22"/>
      <x:c r="F1332" s="23"/>
      <x:c r="H1332" s="25"/>
    </x:row>
    <x:row r="1333">
      <x:c r="D1333" s="22"/>
      <x:c r="F1333" s="23"/>
      <x:c r="H1333" s="25"/>
    </x:row>
    <x:row r="1334">
      <x:c r="D1334" s="22"/>
      <x:c r="F1334" s="23"/>
      <x:c r="H1334" s="25"/>
    </x:row>
    <x:row r="1335">
      <x:c r="D1335" s="22"/>
      <x:c r="F1335" s="23"/>
      <x:c r="H1335" s="25"/>
    </x:row>
    <x:row r="1336">
      <x:c r="D1336" s="22"/>
      <x:c r="F1336" s="23"/>
      <x:c r="H1336" s="25"/>
    </x:row>
    <x:row r="1337">
      <x:c r="D1337" s="22"/>
      <x:c r="F1337" s="23"/>
      <x:c r="H1337" s="25"/>
    </x:row>
    <x:row r="1338">
      <x:c r="D1338" s="22"/>
      <x:c r="F1338" s="23"/>
      <x:c r="H1338" s="25"/>
    </x:row>
    <x:row r="1339">
      <x:c r="D1339" s="22"/>
      <x:c r="F1339" s="23"/>
      <x:c r="H1339" s="25"/>
    </x:row>
    <x:row r="1340">
      <x:c r="D1340" s="22"/>
      <x:c r="F1340" s="23"/>
      <x:c r="H1340" s="25"/>
    </x:row>
    <x:row r="1341">
      <x:c r="D1341" s="22"/>
      <x:c r="F1341" s="23"/>
      <x:c r="H1341" s="25"/>
    </x:row>
    <x:row r="1342">
      <x:c r="D1342" s="22"/>
      <x:c r="F1342" s="23"/>
      <x:c r="H1342" s="25"/>
    </x:row>
    <x:row r="1343">
      <x:c r="D1343" s="22"/>
      <x:c r="F1343" s="23"/>
      <x:c r="H1343" s="25"/>
    </x:row>
    <x:row r="1344">
      <x:c r="D1344" s="22"/>
      <x:c r="F1344" s="23"/>
      <x:c r="H1344" s="25"/>
    </x:row>
    <x:row r="1345">
      <x:c r="D1345" s="22"/>
      <x:c r="F1345" s="23"/>
      <x:c r="H1345" s="25"/>
    </x:row>
    <x:row r="1346">
      <x:c r="D1346" s="22"/>
      <x:c r="F1346" s="23"/>
      <x:c r="H1346" s="25"/>
    </x:row>
    <x:row r="1347">
      <x:c r="D1347" s="22"/>
      <x:c r="F1347" s="23"/>
      <x:c r="H1347" s="25"/>
    </x:row>
    <x:row r="1348">
      <x:c r="D1348" s="22"/>
      <x:c r="F1348" s="23"/>
      <x:c r="H1348" s="25"/>
    </x:row>
    <x:row r="1349">
      <x:c r="D1349" s="22"/>
      <x:c r="F1349" s="23"/>
      <x:c r="H1349" s="25"/>
    </x:row>
    <x:row r="1350">
      <x:c r="D1350" s="22"/>
      <x:c r="F1350" s="23"/>
      <x:c r="H1350" s="25"/>
    </x:row>
    <x:row r="1351">
      <x:c r="D1351" s="22"/>
      <x:c r="F1351" s="23"/>
      <x:c r="H1351" s="25"/>
    </x:row>
    <x:row r="1352">
      <x:c r="D1352" s="22"/>
      <x:c r="F1352" s="23"/>
      <x:c r="H1352" s="25"/>
    </x:row>
    <x:row r="1353">
      <x:c r="D1353" s="22"/>
      <x:c r="F1353" s="23"/>
      <x:c r="H1353" s="25"/>
    </x:row>
    <x:row r="1354">
      <x:c r="D1354" s="22"/>
      <x:c r="F1354" s="23"/>
      <x:c r="H1354" s="25"/>
    </x:row>
    <x:row r="1355">
      <x:c r="D1355" s="22"/>
      <x:c r="F1355" s="23"/>
      <x:c r="H1355" s="25"/>
    </x:row>
    <x:row r="1356">
      <x:c r="D1356" s="22"/>
      <x:c r="F1356" s="23"/>
      <x:c r="H1356" s="25"/>
    </x:row>
    <x:row r="1357">
      <x:c r="D1357" s="22"/>
      <x:c r="F1357" s="23"/>
      <x:c r="H1357" s="25"/>
    </x:row>
    <x:row r="1358">
      <x:c r="D1358" s="22"/>
      <x:c r="F1358" s="23"/>
      <x:c r="H1358" s="25"/>
    </x:row>
    <x:row r="1359">
      <x:c r="D1359" s="22"/>
      <x:c r="F1359" s="23"/>
      <x:c r="H1359" s="25"/>
    </x:row>
    <x:row r="1360">
      <x:c r="D1360" s="22"/>
      <x:c r="F1360" s="23"/>
      <x:c r="H1360" s="25"/>
    </x:row>
    <x:row r="1361">
      <x:c r="D1361" s="22"/>
      <x:c r="F1361" s="23"/>
      <x:c r="H1361" s="25"/>
    </x:row>
    <x:row r="1362">
      <x:c r="D1362" s="22"/>
      <x:c r="F1362" s="23"/>
      <x:c r="H1362" s="25"/>
    </x:row>
    <x:row r="1363">
      <x:c r="D1363" s="22"/>
      <x:c r="F1363" s="23"/>
      <x:c r="H1363" s="25"/>
    </x:row>
    <x:row r="1364">
      <x:c r="D1364" s="22"/>
      <x:c r="F1364" s="23"/>
      <x:c r="H1364" s="25"/>
    </x:row>
    <x:row r="1365">
      <x:c r="D1365" s="22"/>
      <x:c r="F1365" s="23"/>
      <x:c r="H1365" s="25"/>
    </x:row>
    <x:row r="1366">
      <x:c r="D1366" s="22"/>
      <x:c r="F1366" s="23"/>
      <x:c r="H1366" s="25"/>
    </x:row>
    <x:row r="1367">
      <x:c r="D1367" s="22"/>
      <x:c r="F1367" s="23"/>
      <x:c r="H1367" s="25"/>
    </x:row>
    <x:row r="1368">
      <x:c r="D1368" s="22"/>
      <x:c r="F1368" s="23"/>
      <x:c r="H1368" s="25"/>
    </x:row>
    <x:row r="1369">
      <x:c r="D1369" s="22"/>
      <x:c r="F1369" s="23"/>
      <x:c r="H1369" s="25"/>
    </x:row>
    <x:row r="1370">
      <x:c r="D1370" s="22"/>
      <x:c r="F1370" s="23"/>
      <x:c r="H1370" s="25"/>
    </x:row>
    <x:row r="1371">
      <x:c r="D1371" s="22"/>
      <x:c r="F1371" s="23"/>
      <x:c r="H1371" s="25"/>
    </x:row>
    <x:row r="1372">
      <x:c r="D1372" s="22"/>
      <x:c r="F1372" s="23"/>
      <x:c r="H1372" s="25"/>
    </x:row>
    <x:row r="1373">
      <x:c r="D1373" s="22"/>
      <x:c r="F1373" s="23"/>
      <x:c r="H1373" s="25"/>
    </x:row>
    <x:row r="1374">
      <x:c r="D1374" s="22"/>
      <x:c r="F1374" s="23"/>
      <x:c r="H1374" s="25"/>
    </x:row>
    <x:row r="1375">
      <x:c r="D1375" s="22"/>
      <x:c r="F1375" s="23"/>
      <x:c r="H1375" s="25"/>
    </x:row>
    <x:row r="1376">
      <x:c r="D1376" s="22"/>
      <x:c r="F1376" s="23"/>
      <x:c r="H1376" s="25"/>
    </x:row>
    <x:row r="1377">
      <x:c r="D1377" s="22"/>
      <x:c r="F1377" s="23"/>
      <x:c r="H1377" s="25"/>
    </x:row>
    <x:row r="1378">
      <x:c r="D1378" s="22"/>
      <x:c r="F1378" s="23"/>
      <x:c r="H1378" s="25"/>
    </x:row>
    <x:row r="1379">
      <x:c r="D1379" s="22"/>
      <x:c r="F1379" s="23"/>
      <x:c r="H1379" s="25"/>
    </x:row>
    <x:row r="1380">
      <x:c r="D1380" s="22"/>
      <x:c r="F1380" s="23"/>
      <x:c r="H1380" s="25"/>
    </x:row>
    <x:row r="1381">
      <x:c r="D1381" s="22"/>
      <x:c r="F1381" s="23"/>
      <x:c r="H1381" s="25"/>
    </x:row>
    <x:row r="1382">
      <x:c r="D1382" s="22"/>
      <x:c r="F1382" s="23"/>
      <x:c r="H1382" s="25"/>
    </x:row>
    <x:row r="1383">
      <x:c r="D1383" s="22"/>
      <x:c r="F1383" s="23"/>
      <x:c r="H1383" s="25"/>
    </x:row>
    <x:row r="1384">
      <x:c r="D1384" s="22"/>
      <x:c r="F1384" s="23"/>
      <x:c r="H1384" s="25"/>
    </x:row>
    <x:row r="1385">
      <x:c r="D1385" s="22"/>
      <x:c r="F1385" s="23"/>
      <x:c r="H1385" s="25"/>
    </x:row>
    <x:row r="1386">
      <x:c r="D1386" s="22"/>
      <x:c r="F1386" s="23"/>
      <x:c r="H1386" s="25"/>
    </x:row>
    <x:row r="1387">
      <x:c r="D1387" s="22"/>
      <x:c r="F1387" s="23"/>
      <x:c r="H1387" s="25"/>
    </x:row>
    <x:row r="1388">
      <x:c r="D1388" s="22"/>
      <x:c r="F1388" s="23"/>
      <x:c r="H1388" s="25"/>
    </x:row>
    <x:row r="1389">
      <x:c r="D1389" s="22"/>
      <x:c r="F1389" s="23"/>
      <x:c r="H1389" s="25"/>
    </x:row>
    <x:row r="1390">
      <x:c r="D1390" s="22"/>
      <x:c r="F1390" s="23"/>
      <x:c r="H1390" s="25"/>
    </x:row>
    <x:row r="1391">
      <x:c r="D1391" s="22"/>
      <x:c r="F1391" s="23"/>
      <x:c r="H1391" s="25"/>
    </x:row>
    <x:row r="1392">
      <x:c r="D1392" s="22"/>
      <x:c r="F1392" s="23"/>
      <x:c r="H1392" s="25"/>
    </x:row>
    <x:row r="1393">
      <x:c r="D1393" s="22"/>
      <x:c r="F1393" s="23"/>
      <x:c r="H1393" s="25"/>
    </x:row>
    <x:row r="1394">
      <x:c r="D1394" s="22"/>
      <x:c r="F1394" s="23"/>
      <x:c r="H1394" s="25"/>
    </x:row>
    <x:row r="1395">
      <x:c r="D1395" s="22"/>
      <x:c r="F1395" s="23"/>
      <x:c r="H1395" s="25"/>
    </x:row>
    <x:row r="1396">
      <x:c r="D1396" s="22"/>
      <x:c r="F1396" s="23"/>
      <x:c r="H1396" s="25"/>
    </x:row>
    <x:row r="1397">
      <x:c r="D1397" s="22"/>
      <x:c r="F1397" s="23"/>
      <x:c r="H1397" s="25"/>
    </x:row>
    <x:row r="1398">
      <x:c r="D1398" s="22"/>
      <x:c r="F1398" s="23"/>
      <x:c r="H1398" s="25"/>
    </x:row>
    <x:row r="1399">
      <x:c r="D1399" s="22"/>
      <x:c r="F1399" s="23"/>
      <x:c r="H1399" s="25"/>
    </x:row>
    <x:row r="1400">
      <x:c r="D1400" s="22"/>
      <x:c r="F1400" s="23"/>
      <x:c r="H1400" s="25"/>
    </x:row>
    <x:row r="1401">
      <x:c r="D1401" s="22"/>
      <x:c r="F1401" s="23"/>
      <x:c r="H1401" s="25"/>
    </x:row>
    <x:row r="1402">
      <x:c r="D1402" s="22"/>
      <x:c r="F1402" s="23"/>
      <x:c r="H1402" s="25"/>
    </x:row>
    <x:row r="1403">
      <x:c r="D1403" s="22"/>
      <x:c r="F1403" s="23"/>
      <x:c r="H1403" s="25"/>
    </x:row>
    <x:row r="1404">
      <x:c r="D1404" s="22"/>
      <x:c r="F1404" s="23"/>
      <x:c r="H1404" s="25"/>
    </x:row>
    <x:row r="1405">
      <x:c r="D1405" s="22"/>
      <x:c r="F1405" s="23"/>
      <x:c r="H1405" s="25"/>
    </x:row>
    <x:row r="1406">
      <x:c r="D1406" s="22"/>
      <x:c r="F1406" s="23"/>
      <x:c r="H1406" s="25"/>
    </x:row>
    <x:row r="1407">
      <x:c r="D1407" s="22"/>
      <x:c r="F1407" s="23"/>
      <x:c r="H1407" s="25"/>
    </x:row>
    <x:row r="1408">
      <x:c r="D1408" s="22"/>
      <x:c r="F1408" s="23"/>
      <x:c r="H1408" s="25"/>
    </x:row>
    <x:row r="1409">
      <x:c r="D1409" s="22"/>
      <x:c r="F1409" s="23"/>
      <x:c r="H1409" s="25"/>
    </x:row>
    <x:row r="1410">
      <x:c r="D1410" s="22"/>
      <x:c r="F1410" s="23"/>
      <x:c r="H1410" s="25"/>
    </x:row>
    <x:row r="1411">
      <x:c r="D1411" s="22"/>
      <x:c r="F1411" s="23"/>
      <x:c r="H1411" s="25"/>
    </x:row>
    <x:row r="1412">
      <x:c r="D1412" s="22"/>
      <x:c r="F1412" s="23"/>
      <x:c r="H1412" s="25"/>
    </x:row>
    <x:row r="1413">
      <x:c r="D1413" s="22"/>
      <x:c r="F1413" s="23"/>
      <x:c r="H1413" s="25"/>
    </x:row>
    <x:row r="1414">
      <x:c r="D1414" s="22"/>
      <x:c r="F1414" s="23"/>
      <x:c r="H1414" s="25"/>
    </x:row>
    <x:row r="1415">
      <x:c r="D1415" s="22"/>
      <x:c r="F1415" s="23"/>
      <x:c r="H1415" s="25"/>
    </x:row>
    <x:row r="1416">
      <x:c r="D1416" s="22"/>
      <x:c r="F1416" s="23"/>
      <x:c r="H1416" s="25"/>
    </x:row>
    <x:row r="1417">
      <x:c r="D1417" s="22"/>
      <x:c r="F1417" s="23"/>
      <x:c r="H1417" s="25"/>
    </x:row>
    <x:row r="1418">
      <x:c r="D1418" s="22"/>
      <x:c r="F1418" s="23"/>
      <x:c r="H1418" s="25"/>
    </x:row>
    <x:row r="1419">
      <x:c r="D1419" s="22"/>
      <x:c r="F1419" s="23"/>
      <x:c r="H1419" s="25"/>
    </x:row>
    <x:row r="1420">
      <x:c r="D1420" s="22"/>
      <x:c r="F1420" s="23"/>
      <x:c r="H1420" s="25"/>
    </x:row>
    <x:row r="1421">
      <x:c r="D1421" s="22"/>
      <x:c r="F1421" s="23"/>
      <x:c r="H1421" s="25"/>
    </x:row>
    <x:row r="1422">
      <x:c r="D1422" s="22"/>
      <x:c r="F1422" s="23"/>
      <x:c r="H1422" s="25"/>
    </x:row>
    <x:row r="1423">
      <x:c r="D1423" s="22"/>
      <x:c r="F1423" s="23"/>
      <x:c r="H1423" s="25"/>
    </x:row>
    <x:row r="1424">
      <x:c r="D1424" s="22"/>
      <x:c r="F1424" s="23"/>
      <x:c r="H1424" s="25"/>
    </x:row>
    <x:row r="1425">
      <x:c r="D1425" s="22"/>
      <x:c r="F1425" s="23"/>
      <x:c r="H1425" s="25"/>
    </x:row>
    <x:row r="1426">
      <x:c r="D1426" s="22"/>
      <x:c r="F1426" s="23"/>
      <x:c r="H1426" s="25"/>
    </x:row>
    <x:row r="1427">
      <x:c r="D1427" s="22"/>
      <x:c r="F1427" s="23"/>
      <x:c r="H1427" s="25"/>
    </x:row>
    <x:row r="1428">
      <x:c r="D1428" s="22"/>
      <x:c r="F1428" s="23"/>
      <x:c r="H1428" s="25"/>
    </x:row>
    <x:row r="1429">
      <x:c r="D1429" s="22"/>
      <x:c r="F1429" s="23"/>
      <x:c r="H1429" s="25"/>
    </x:row>
    <x:row r="1430">
      <x:c r="D1430" s="22"/>
      <x:c r="F1430" s="23"/>
      <x:c r="H1430" s="25"/>
    </x:row>
    <x:row r="1431">
      <x:c r="D1431" s="22"/>
      <x:c r="F1431" s="23"/>
      <x:c r="H1431" s="25"/>
    </x:row>
    <x:row r="1432">
      <x:c r="D1432" s="22"/>
      <x:c r="F1432" s="23"/>
      <x:c r="H1432" s="25"/>
    </x:row>
    <x:row r="1433">
      <x:c r="D1433" s="22"/>
      <x:c r="F1433" s="23"/>
      <x:c r="H1433" s="25"/>
    </x:row>
    <x:row r="1434">
      <x:c r="D1434" s="22"/>
      <x:c r="F1434" s="23"/>
      <x:c r="H1434" s="25"/>
    </x:row>
    <x:row r="1435">
      <x:c r="D1435" s="22"/>
      <x:c r="F1435" s="23"/>
      <x:c r="H1435" s="25"/>
    </x:row>
    <x:row r="1436">
      <x:c r="D1436" s="22"/>
      <x:c r="F1436" s="23"/>
      <x:c r="H1436" s="25"/>
    </x:row>
    <x:row r="1437">
      <x:c r="D1437" s="22"/>
      <x:c r="F1437" s="23"/>
      <x:c r="H1437" s="25"/>
    </x:row>
    <x:row r="1438">
      <x:c r="D1438" s="22"/>
      <x:c r="F1438" s="23"/>
      <x:c r="H1438" s="25"/>
    </x:row>
    <x:row r="1439">
      <x:c r="D1439" s="22"/>
      <x:c r="F1439" s="23"/>
      <x:c r="H1439" s="25"/>
    </x:row>
    <x:row r="1440">
      <x:c r="D1440" s="22"/>
      <x:c r="F1440" s="23"/>
      <x:c r="H1440" s="25"/>
    </x:row>
    <x:row r="1441">
      <x:c r="D1441" s="22"/>
      <x:c r="F1441" s="23"/>
      <x:c r="H1441" s="25"/>
    </x:row>
    <x:row r="1442">
      <x:c r="D1442" s="22"/>
      <x:c r="F1442" s="23"/>
      <x:c r="H1442" s="25"/>
    </x:row>
    <x:row r="1443">
      <x:c r="D1443" s="22"/>
      <x:c r="F1443" s="23"/>
      <x:c r="H1443" s="25"/>
    </x:row>
    <x:row r="1444">
      <x:c r="D1444" s="22"/>
      <x:c r="F1444" s="23"/>
      <x:c r="H1444" s="25"/>
    </x:row>
    <x:row r="1445">
      <x:c r="D1445" s="22"/>
      <x:c r="F1445" s="23"/>
      <x:c r="H1445" s="25"/>
    </x:row>
    <x:row r="1446">
      <x:c r="D1446" s="22"/>
      <x:c r="F1446" s="23"/>
      <x:c r="H1446" s="25"/>
    </x:row>
    <x:row r="1447">
      <x:c r="D1447" s="22"/>
      <x:c r="F1447" s="23"/>
      <x:c r="H1447" s="25"/>
    </x:row>
    <x:row r="1448">
      <x:c r="D1448" s="22"/>
      <x:c r="F1448" s="23"/>
      <x:c r="H1448" s="25"/>
    </x:row>
    <x:row r="1449">
      <x:c r="D1449" s="22"/>
      <x:c r="F1449" s="23"/>
      <x:c r="H1449" s="25"/>
    </x:row>
    <x:row r="1450">
      <x:c r="D1450" s="22"/>
      <x:c r="F1450" s="23"/>
      <x:c r="H1450" s="25"/>
    </x:row>
    <x:row r="1451">
      <x:c r="D1451" s="22"/>
      <x:c r="F1451" s="23"/>
      <x:c r="H1451" s="25"/>
    </x:row>
    <x:row r="1452">
      <x:c r="D1452" s="22"/>
      <x:c r="F1452" s="23"/>
      <x:c r="H1452" s="25"/>
    </x:row>
    <x:row r="1453">
      <x:c r="D1453" s="22"/>
      <x:c r="F1453" s="23"/>
      <x:c r="H1453" s="25"/>
    </x:row>
    <x:row r="1454">
      <x:c r="D1454" s="22"/>
      <x:c r="F1454" s="23"/>
      <x:c r="H1454" s="25"/>
    </x:row>
    <x:row r="1455">
      <x:c r="D1455" s="22"/>
      <x:c r="F1455" s="23"/>
      <x:c r="H1455" s="25"/>
    </x:row>
    <x:row r="1456">
      <x:c r="D1456" s="22"/>
      <x:c r="F1456" s="23"/>
      <x:c r="H1456" s="25"/>
    </x:row>
    <x:row r="1457">
      <x:c r="D1457" s="22"/>
      <x:c r="F1457" s="23"/>
      <x:c r="H1457" s="25"/>
    </x:row>
    <x:row r="1458">
      <x:c r="D1458" s="22"/>
      <x:c r="F1458" s="23"/>
      <x:c r="H1458" s="25"/>
    </x:row>
    <x:row r="1459">
      <x:c r="D1459" s="22"/>
      <x:c r="F1459" s="23"/>
      <x:c r="H1459" s="25"/>
    </x:row>
    <x:row r="1460">
      <x:c r="D1460" s="22"/>
      <x:c r="F1460" s="23"/>
      <x:c r="H1460" s="25"/>
    </x:row>
    <x:row r="1461">
      <x:c r="D1461" s="22"/>
      <x:c r="F1461" s="23"/>
      <x:c r="H1461" s="25"/>
    </x:row>
    <x:row r="1462">
      <x:c r="D1462" s="22"/>
      <x:c r="F1462" s="23"/>
      <x:c r="H1462" s="25"/>
    </x:row>
    <x:row r="1463">
      <x:c r="D1463" s="22"/>
      <x:c r="F1463" s="23"/>
      <x:c r="H1463" s="25"/>
    </x:row>
    <x:row r="1464">
      <x:c r="D1464" s="22"/>
      <x:c r="F1464" s="23"/>
      <x:c r="H1464" s="25"/>
    </x:row>
    <x:row r="1465">
      <x:c r="D1465" s="22"/>
      <x:c r="F1465" s="23"/>
      <x:c r="H1465" s="25"/>
    </x:row>
    <x:row r="1466">
      <x:c r="D1466" s="22"/>
      <x:c r="F1466" s="23"/>
      <x:c r="H1466" s="25"/>
    </x:row>
    <x:row r="1467">
      <x:c r="D1467" s="22"/>
      <x:c r="F1467" s="23"/>
      <x:c r="H1467" s="25"/>
    </x:row>
    <x:row r="1468">
      <x:c r="D1468" s="22"/>
      <x:c r="F1468" s="23"/>
      <x:c r="H1468" s="25"/>
    </x:row>
    <x:row r="1469">
      <x:c r="D1469" s="22"/>
      <x:c r="F1469" s="23"/>
      <x:c r="H1469" s="25"/>
    </x:row>
    <x:row r="1470">
      <x:c r="D1470" s="22"/>
      <x:c r="F1470" s="23"/>
      <x:c r="H1470" s="25"/>
    </x:row>
    <x:row r="1471">
      <x:c r="D1471" s="22"/>
      <x:c r="F1471" s="23"/>
      <x:c r="H1471" s="25"/>
    </x:row>
    <x:row r="1472">
      <x:c r="D1472" s="22"/>
      <x:c r="F1472" s="23"/>
      <x:c r="H1472" s="25"/>
    </x:row>
    <x:row r="1473">
      <x:c r="D1473" s="22"/>
      <x:c r="F1473" s="23"/>
      <x:c r="H1473" s="25"/>
    </x:row>
    <x:row r="1474">
      <x:c r="D1474" s="22"/>
      <x:c r="F1474" s="23"/>
      <x:c r="H1474" s="25"/>
    </x:row>
    <x:row r="1475">
      <x:c r="D1475" s="22"/>
      <x:c r="F1475" s="23"/>
      <x:c r="H1475" s="25"/>
    </x:row>
    <x:row r="1476">
      <x:c r="D1476" s="22"/>
      <x:c r="F1476" s="23"/>
      <x:c r="H1476" s="25"/>
    </x:row>
    <x:row r="1477">
      <x:c r="D1477" s="22"/>
      <x:c r="F1477" s="23"/>
      <x:c r="H1477" s="25"/>
    </x:row>
    <x:row r="1478">
      <x:c r="D1478" s="22"/>
      <x:c r="F1478" s="23"/>
      <x:c r="H1478" s="25"/>
    </x:row>
    <x:row r="1479">
      <x:c r="D1479" s="22"/>
      <x:c r="F1479" s="23"/>
      <x:c r="H1479" s="25"/>
    </x:row>
    <x:row r="1480">
      <x:c r="D1480" s="22"/>
      <x:c r="F1480" s="23"/>
      <x:c r="H1480" s="25"/>
    </x:row>
    <x:row r="1481">
      <x:c r="D1481" s="22"/>
      <x:c r="F1481" s="23"/>
      <x:c r="H1481" s="25"/>
    </x:row>
    <x:row r="1482">
      <x:c r="D1482" s="22"/>
      <x:c r="F1482" s="23"/>
      <x:c r="H1482" s="25"/>
    </x:row>
    <x:row r="1483">
      <x:c r="D1483" s="22"/>
      <x:c r="F1483" s="23"/>
      <x:c r="H1483" s="25"/>
    </x:row>
    <x:row r="1484">
      <x:c r="D1484" s="22"/>
      <x:c r="F1484" s="23"/>
      <x:c r="H1484" s="25"/>
    </x:row>
    <x:row r="1485">
      <x:c r="D1485" s="22"/>
      <x:c r="F1485" s="23"/>
      <x:c r="H1485" s="25"/>
    </x:row>
    <x:row r="1486">
      <x:c r="D1486" s="22"/>
      <x:c r="F1486" s="23"/>
      <x:c r="H1486" s="25"/>
    </x:row>
    <x:row r="1487">
      <x:c r="D1487" s="22"/>
      <x:c r="F1487" s="23"/>
      <x:c r="H1487" s="25"/>
    </x:row>
    <x:row r="1488">
      <x:c r="D1488" s="22"/>
      <x:c r="F1488" s="23"/>
      <x:c r="H1488" s="25"/>
    </x:row>
    <x:row r="1489">
      <x:c r="D1489" s="22"/>
      <x:c r="F1489" s="23"/>
      <x:c r="H1489" s="25"/>
    </x:row>
    <x:row r="1490">
      <x:c r="D1490" s="22"/>
      <x:c r="F1490" s="23"/>
      <x:c r="H1490" s="25"/>
    </x:row>
    <x:row r="1491">
      <x:c r="D1491" s="22"/>
      <x:c r="F1491" s="23"/>
      <x:c r="H1491" s="25"/>
    </x:row>
    <x:row r="1492">
      <x:c r="D1492" s="22"/>
      <x:c r="F1492" s="23"/>
      <x:c r="H1492" s="25"/>
    </x:row>
    <x:row r="1493">
      <x:c r="D1493" s="22"/>
      <x:c r="F1493" s="23"/>
      <x:c r="H1493" s="25"/>
    </x:row>
    <x:row r="1494">
      <x:c r="D1494" s="22"/>
      <x:c r="F1494" s="23"/>
      <x:c r="H1494" s="25"/>
    </x:row>
    <x:row r="1495">
      <x:c r="D1495" s="22"/>
      <x:c r="F1495" s="23"/>
      <x:c r="H1495" s="25"/>
    </x:row>
    <x:row r="1496">
      <x:c r="D1496" s="22"/>
      <x:c r="F1496" s="23"/>
      <x:c r="H1496" s="25"/>
    </x:row>
    <x:row r="1497">
      <x:c r="D1497" s="22"/>
      <x:c r="F1497" s="23"/>
      <x:c r="H1497" s="25"/>
    </x:row>
    <x:row r="1498">
      <x:c r="D1498" s="22"/>
      <x:c r="F1498" s="23"/>
      <x:c r="H1498" s="25"/>
    </x:row>
    <x:row r="1499">
      <x:c r="D1499" s="22"/>
      <x:c r="F1499" s="23"/>
      <x:c r="H1499" s="25"/>
    </x:row>
    <x:row r="1500">
      <x:c r="D1500" s="22"/>
      <x:c r="F1500" s="23"/>
      <x:c r="H1500" s="25"/>
    </x:row>
    <x:row r="1501">
      <x:c r="D1501" s="22"/>
      <x:c r="F1501" s="23"/>
      <x:c r="H1501" s="25"/>
    </x:row>
    <x:row r="1502">
      <x:c r="D1502" s="22"/>
      <x:c r="F1502" s="23"/>
      <x:c r="H1502" s="25"/>
    </x:row>
    <x:row r="1503">
      <x:c r="D1503" s="22"/>
      <x:c r="F1503" s="23"/>
      <x:c r="H1503" s="25"/>
    </x:row>
    <x:row r="1504">
      <x:c r="D1504" s="22"/>
      <x:c r="F1504" s="23"/>
      <x:c r="H1504" s="25"/>
    </x:row>
    <x:row r="1505">
      <x:c r="D1505" s="22"/>
      <x:c r="F1505" s="23"/>
      <x:c r="H1505" s="25"/>
    </x:row>
    <x:row r="1506">
      <x:c r="D1506" s="22"/>
      <x:c r="F1506" s="23"/>
      <x:c r="H1506" s="25"/>
    </x:row>
    <x:row r="1507">
      <x:c r="D1507" s="22"/>
      <x:c r="F1507" s="23"/>
      <x:c r="H1507" s="25"/>
    </x:row>
    <x:row r="1508">
      <x:c r="D1508" s="22"/>
      <x:c r="F1508" s="23"/>
      <x:c r="H1508" s="25"/>
    </x:row>
    <x:row r="1509">
      <x:c r="D1509" s="22"/>
      <x:c r="F1509" s="23"/>
      <x:c r="H1509" s="25"/>
    </x:row>
    <x:row r="1510">
      <x:c r="D1510" s="22"/>
      <x:c r="F1510" s="23"/>
      <x:c r="H1510" s="25"/>
    </x:row>
    <x:row r="1511">
      <x:c r="D1511" s="22"/>
      <x:c r="F1511" s="23"/>
      <x:c r="H1511" s="25"/>
    </x:row>
    <x:row r="1512">
      <x:c r="D1512" s="22"/>
      <x:c r="F1512" s="23"/>
      <x:c r="H1512" s="25"/>
    </x:row>
    <x:row r="1513">
      <x:c r="D1513" s="22"/>
      <x:c r="F1513" s="23"/>
      <x:c r="H1513" s="25"/>
    </x:row>
    <x:row r="1514">
      <x:c r="D1514" s="22"/>
      <x:c r="F1514" s="23"/>
      <x:c r="H1514" s="25"/>
    </x:row>
    <x:row r="1515">
      <x:c r="D1515" s="22"/>
      <x:c r="F1515" s="23"/>
      <x:c r="H1515" s="25"/>
    </x:row>
    <x:row r="1516">
      <x:c r="D1516" s="22"/>
      <x:c r="F1516" s="23"/>
      <x:c r="H1516" s="25"/>
    </x:row>
    <x:row r="1517">
      <x:c r="D1517" s="22"/>
      <x:c r="F1517" s="23"/>
      <x:c r="H1517" s="25"/>
    </x:row>
    <x:row r="1518">
      <x:c r="D1518" s="22"/>
      <x:c r="F1518" s="23"/>
      <x:c r="H1518" s="25"/>
    </x:row>
    <x:row r="1519">
      <x:c r="D1519" s="22"/>
      <x:c r="F1519" s="23"/>
      <x:c r="H1519" s="25"/>
    </x:row>
    <x:row r="1520">
      <x:c r="D1520" s="22"/>
      <x:c r="F1520" s="23"/>
      <x:c r="H1520" s="25"/>
    </x:row>
    <x:row r="1521">
      <x:c r="D1521" s="22"/>
      <x:c r="F1521" s="23"/>
      <x:c r="H1521" s="25"/>
    </x:row>
    <x:row r="1522">
      <x:c r="D1522" s="22"/>
      <x:c r="F1522" s="23"/>
      <x:c r="H1522" s="25"/>
    </x:row>
    <x:row r="1523">
      <x:c r="D1523" s="22"/>
      <x:c r="F1523" s="23"/>
      <x:c r="H1523" s="25"/>
    </x:row>
    <x:row r="1524">
      <x:c r="D1524" s="22"/>
      <x:c r="F1524" s="23"/>
      <x:c r="H1524" s="25"/>
    </x:row>
    <x:row r="1525">
      <x:c r="D1525" s="22"/>
      <x:c r="F1525" s="23"/>
      <x:c r="H1525" s="25"/>
    </x:row>
    <x:row r="1526">
      <x:c r="D1526" s="22"/>
      <x:c r="F1526" s="23"/>
      <x:c r="H1526" s="25"/>
    </x:row>
    <x:row r="1527">
      <x:c r="D1527" s="22"/>
      <x:c r="F1527" s="23"/>
      <x:c r="H1527" s="25"/>
    </x:row>
    <x:row r="1528">
      <x:c r="D1528" s="22"/>
      <x:c r="F1528" s="23"/>
      <x:c r="H1528" s="25"/>
    </x:row>
    <x:row r="1529">
      <x:c r="D1529" s="22"/>
      <x:c r="F1529" s="23"/>
      <x:c r="H1529" s="25"/>
    </x:row>
    <x:row r="1530">
      <x:c r="D1530" s="22"/>
      <x:c r="F1530" s="23"/>
      <x:c r="H1530" s="25"/>
    </x:row>
    <x:row r="1531">
      <x:c r="D1531" s="22"/>
      <x:c r="F1531" s="23"/>
      <x:c r="H1531" s="25"/>
    </x:row>
    <x:row r="1532">
      <x:c r="D1532" s="22"/>
      <x:c r="F1532" s="23"/>
      <x:c r="H1532" s="25"/>
    </x:row>
    <x:row r="1533">
      <x:c r="D1533" s="22"/>
      <x:c r="F1533" s="23"/>
      <x:c r="H1533" s="25"/>
    </x:row>
    <x:row r="1534">
      <x:c r="D1534" s="22"/>
      <x:c r="F1534" s="23"/>
      <x:c r="H1534" s="25"/>
    </x:row>
    <x:row r="1535">
      <x:c r="D1535" s="22"/>
      <x:c r="F1535" s="23"/>
      <x:c r="H1535" s="25"/>
    </x:row>
    <x:row r="1536">
      <x:c r="D1536" s="22"/>
      <x:c r="F1536" s="23"/>
      <x:c r="H1536" s="25"/>
    </x:row>
    <x:row r="1537">
      <x:c r="D1537" s="22"/>
      <x:c r="F1537" s="23"/>
      <x:c r="H1537" s="25"/>
    </x:row>
    <x:row r="1538">
      <x:c r="D1538" s="22"/>
      <x:c r="F1538" s="23"/>
      <x:c r="H1538" s="25"/>
    </x:row>
    <x:row r="1539">
      <x:c r="D1539" s="22"/>
      <x:c r="F1539" s="23"/>
      <x:c r="H1539" s="25"/>
    </x:row>
    <x:row r="1540">
      <x:c r="D1540" s="22"/>
      <x:c r="F1540" s="23"/>
      <x:c r="H1540" s="25"/>
    </x:row>
    <x:row r="1541">
      <x:c r="D1541" s="22"/>
      <x:c r="F1541" s="23"/>
      <x:c r="H1541" s="25"/>
    </x:row>
    <x:row r="1542">
      <x:c r="D1542" s="22"/>
      <x:c r="F1542" s="23"/>
      <x:c r="H1542" s="25"/>
    </x:row>
    <x:row r="1543">
      <x:c r="D1543" s="22"/>
      <x:c r="F1543" s="23"/>
      <x:c r="H1543" s="25"/>
    </x:row>
    <x:row r="1544">
      <x:c r="D1544" s="22"/>
      <x:c r="F1544" s="23"/>
      <x:c r="H1544" s="25"/>
    </x:row>
    <x:row r="1545">
      <x:c r="D1545" s="22"/>
      <x:c r="F1545" s="23"/>
      <x:c r="H1545" s="25"/>
    </x:row>
    <x:row r="1546">
      <x:c r="D1546" s="22"/>
      <x:c r="F1546" s="23"/>
      <x:c r="H1546" s="25"/>
    </x:row>
    <x:row r="1547">
      <x:c r="D1547" s="22"/>
      <x:c r="F1547" s="23"/>
      <x:c r="H1547" s="25"/>
    </x:row>
    <x:row r="1548">
      <x:c r="D1548" s="22"/>
      <x:c r="F1548" s="23"/>
      <x:c r="H1548" s="25"/>
    </x:row>
    <x:row r="1549">
      <x:c r="D1549" s="22"/>
      <x:c r="F1549" s="23"/>
      <x:c r="H1549" s="25"/>
    </x:row>
    <x:row r="1550">
      <x:c r="D1550" s="22"/>
      <x:c r="F1550" s="23"/>
      <x:c r="H1550" s="25"/>
    </x:row>
    <x:row r="1551">
      <x:c r="D1551" s="22"/>
      <x:c r="F1551" s="23"/>
      <x:c r="H1551" s="25"/>
    </x:row>
    <x:row r="1552">
      <x:c r="D1552" s="22"/>
      <x:c r="F1552" s="23"/>
      <x:c r="H1552" s="25"/>
    </x:row>
    <x:row r="1553">
      <x:c r="D1553" s="22"/>
      <x:c r="F1553" s="23"/>
      <x:c r="H1553" s="25"/>
    </x:row>
    <x:row r="1554">
      <x:c r="D1554" s="22"/>
      <x:c r="F1554" s="23"/>
      <x:c r="H1554" s="25"/>
    </x:row>
    <x:row r="1555">
      <x:c r="D1555" s="22"/>
      <x:c r="F1555" s="23"/>
      <x:c r="H1555" s="25"/>
    </x:row>
    <x:row r="1556">
      <x:c r="D1556" s="22"/>
      <x:c r="F1556" s="23"/>
      <x:c r="H1556" s="25"/>
    </x:row>
    <x:row r="1557">
      <x:c r="D1557" s="22"/>
      <x:c r="F1557" s="23"/>
      <x:c r="H1557" s="25"/>
    </x:row>
    <x:row r="1558">
      <x:c r="D1558" s="22"/>
      <x:c r="F1558" s="23"/>
      <x:c r="H1558" s="25"/>
    </x:row>
    <x:row r="1559">
      <x:c r="D1559" s="22"/>
      <x:c r="F1559" s="23"/>
      <x:c r="H1559" s="25"/>
    </x:row>
    <x:row r="1560">
      <x:c r="D1560" s="22"/>
      <x:c r="F1560" s="23"/>
      <x:c r="H1560" s="25"/>
    </x:row>
    <x:row r="1561">
      <x:c r="D1561" s="22"/>
      <x:c r="F1561" s="23"/>
      <x:c r="H1561" s="25"/>
    </x:row>
    <x:row r="1562">
      <x:c r="D1562" s="22"/>
      <x:c r="F1562" s="23"/>
      <x:c r="H1562" s="25"/>
    </x:row>
    <x:row r="1563">
      <x:c r="D1563" s="22"/>
      <x:c r="F1563" s="23"/>
      <x:c r="H1563" s="25"/>
    </x:row>
    <x:row r="1564">
      <x:c r="D1564" s="22"/>
      <x:c r="F1564" s="23"/>
      <x:c r="H1564" s="25"/>
    </x:row>
    <x:row r="1565">
      <x:c r="D1565" s="22"/>
      <x:c r="F1565" s="23"/>
      <x:c r="H1565" s="25"/>
    </x:row>
    <x:row r="1566">
      <x:c r="D1566" s="22"/>
      <x:c r="F1566" s="23"/>
      <x:c r="H1566" s="25"/>
    </x:row>
    <x:row r="1567">
      <x:c r="D1567" s="22"/>
      <x:c r="F1567" s="23"/>
      <x:c r="H1567" s="25"/>
    </x:row>
    <x:row r="1568">
      <x:c r="D1568" s="22"/>
      <x:c r="F1568" s="23"/>
      <x:c r="H1568" s="25"/>
    </x:row>
    <x:row r="1569">
      <x:c r="D1569" s="22"/>
      <x:c r="F1569" s="23"/>
      <x:c r="H1569" s="25"/>
    </x:row>
    <x:row r="1570">
      <x:c r="D1570" s="22"/>
      <x:c r="F1570" s="23"/>
      <x:c r="H1570" s="25"/>
    </x:row>
    <x:row r="1571">
      <x:c r="D1571" s="22"/>
      <x:c r="F1571" s="23"/>
      <x:c r="H1571" s="25"/>
    </x:row>
    <x:row r="1572">
      <x:c r="D1572" s="22"/>
      <x:c r="F1572" s="23"/>
      <x:c r="H1572" s="25"/>
    </x:row>
    <x:row r="1573">
      <x:c r="D1573" s="22"/>
      <x:c r="F1573" s="23"/>
      <x:c r="H1573" s="25"/>
    </x:row>
    <x:row r="1574">
      <x:c r="D1574" s="22"/>
      <x:c r="F1574" s="23"/>
      <x:c r="H1574" s="25"/>
    </x:row>
    <x:row r="1575">
      <x:c r="D1575" s="22"/>
      <x:c r="F1575" s="23"/>
      <x:c r="H1575" s="25"/>
    </x:row>
    <x:row r="1576">
      <x:c r="D1576" s="22"/>
      <x:c r="F1576" s="23"/>
      <x:c r="H1576" s="25"/>
    </x:row>
    <x:row r="1577">
      <x:c r="D1577" s="22"/>
      <x:c r="F1577" s="23"/>
      <x:c r="H1577" s="25"/>
    </x:row>
    <x:row r="1578">
      <x:c r="D1578" s="22"/>
      <x:c r="F1578" s="23"/>
      <x:c r="H1578" s="25"/>
    </x:row>
    <x:row r="1579">
      <x:c r="D1579" s="22"/>
      <x:c r="F1579" s="23"/>
      <x:c r="H1579" s="25"/>
    </x:row>
    <x:row r="1580">
      <x:c r="D1580" s="22"/>
      <x:c r="F1580" s="23"/>
      <x:c r="H1580" s="25"/>
    </x:row>
    <x:row r="1581">
      <x:c r="D1581" s="22"/>
      <x:c r="F1581" s="23"/>
      <x:c r="H1581" s="25"/>
    </x:row>
    <x:row r="1582">
      <x:c r="D1582" s="22"/>
      <x:c r="F1582" s="23"/>
      <x:c r="H1582" s="25"/>
    </x:row>
    <x:row r="1583">
      <x:c r="D1583" s="22"/>
      <x:c r="F1583" s="23"/>
      <x:c r="H1583" s="25"/>
    </x:row>
    <x:row r="1584">
      <x:c r="D1584" s="22"/>
      <x:c r="F1584" s="23"/>
      <x:c r="H1584" s="25"/>
    </x:row>
    <x:row r="1585">
      <x:c r="D1585" s="22"/>
      <x:c r="F1585" s="23"/>
      <x:c r="H1585" s="25"/>
    </x:row>
    <x:row r="1586">
      <x:c r="D1586" s="22"/>
      <x:c r="F1586" s="23"/>
      <x:c r="H1586" s="25"/>
    </x:row>
    <x:row r="1587">
      <x:c r="D1587" s="22"/>
      <x:c r="F1587" s="23"/>
      <x:c r="H1587" s="25"/>
    </x:row>
    <x:row r="1588">
      <x:c r="D1588" s="22"/>
      <x:c r="F1588" s="23"/>
      <x:c r="H1588" s="25"/>
    </x:row>
    <x:row r="1589">
      <x:c r="D1589" s="22"/>
      <x:c r="F1589" s="23"/>
      <x:c r="H1589" s="25"/>
    </x:row>
    <x:row r="1590">
      <x:c r="D1590" s="22"/>
      <x:c r="F1590" s="23"/>
      <x:c r="H1590" s="25"/>
    </x:row>
    <x:row r="1591">
      <x:c r="D1591" s="22"/>
      <x:c r="F1591" s="23"/>
      <x:c r="H1591" s="25"/>
    </x:row>
    <x:row r="1592">
      <x:c r="D1592" s="22"/>
      <x:c r="F1592" s="23"/>
      <x:c r="H1592" s="25"/>
    </x:row>
    <x:row r="1593">
      <x:c r="D1593" s="22"/>
      <x:c r="F1593" s="23"/>
      <x:c r="H1593" s="25"/>
    </x:row>
    <x:row r="1594">
      <x:c r="D1594" s="22"/>
      <x:c r="F1594" s="23"/>
      <x:c r="H1594" s="25"/>
    </x:row>
    <x:row r="1595">
      <x:c r="D1595" s="22"/>
      <x:c r="F1595" s="23"/>
      <x:c r="H1595" s="25"/>
    </x:row>
    <x:row r="1596">
      <x:c r="D1596" s="22"/>
      <x:c r="F1596" s="23"/>
      <x:c r="H1596" s="25"/>
    </x:row>
    <x:row r="1597">
      <x:c r="D1597" s="22"/>
      <x:c r="F1597" s="23"/>
      <x:c r="H1597" s="25"/>
    </x:row>
    <x:row r="1598">
      <x:c r="D1598" s="22"/>
      <x:c r="F1598" s="23"/>
      <x:c r="H1598" s="25"/>
    </x:row>
    <x:row r="1599">
      <x:c r="D1599" s="22"/>
      <x:c r="F1599" s="23"/>
      <x:c r="H1599" s="25"/>
    </x:row>
    <x:row r="1600">
      <x:c r="D1600" s="22"/>
      <x:c r="F1600" s="23"/>
      <x:c r="H1600" s="25"/>
    </x:row>
    <x:row r="1601">
      <x:c r="D1601" s="22"/>
      <x:c r="F1601" s="23"/>
      <x:c r="H1601" s="25"/>
    </x:row>
    <x:row r="1602">
      <x:c r="D1602" s="22"/>
      <x:c r="F1602" s="23"/>
      <x:c r="H1602" s="25"/>
    </x:row>
    <x:row r="1603">
      <x:c r="D1603" s="22"/>
      <x:c r="F1603" s="23"/>
      <x:c r="H1603" s="25"/>
    </x:row>
    <x:row r="1604">
      <x:c r="D1604" s="22"/>
      <x:c r="F1604" s="23"/>
      <x:c r="H1604" s="25"/>
    </x:row>
    <x:row r="1605">
      <x:c r="D1605" s="22"/>
      <x:c r="F1605" s="23"/>
      <x:c r="H1605" s="25"/>
    </x:row>
    <x:row r="1606">
      <x:c r="D1606" s="22"/>
      <x:c r="F1606" s="23"/>
      <x:c r="H1606" s="25"/>
    </x:row>
    <x:row r="1607">
      <x:c r="D1607" s="22"/>
      <x:c r="F1607" s="23"/>
      <x:c r="H1607" s="25"/>
    </x:row>
    <x:row r="1608">
      <x:c r="D1608" s="22"/>
      <x:c r="F1608" s="23"/>
      <x:c r="H1608" s="25"/>
    </x:row>
    <x:row r="1609">
      <x:c r="D1609" s="22"/>
      <x:c r="F1609" s="23"/>
      <x:c r="H1609" s="25"/>
    </x:row>
    <x:row r="1610">
      <x:c r="D1610" s="22"/>
      <x:c r="F1610" s="23"/>
      <x:c r="H1610" s="25"/>
    </x:row>
    <x:row r="1611">
      <x:c r="D1611" s="22"/>
      <x:c r="F1611" s="23"/>
      <x:c r="H1611" s="25"/>
    </x:row>
    <x:row r="1612">
      <x:c r="D1612" s="22"/>
      <x:c r="F1612" s="23"/>
      <x:c r="H1612" s="25"/>
    </x:row>
    <x:row r="1613">
      <x:c r="D1613" s="22"/>
      <x:c r="F1613" s="23"/>
      <x:c r="H1613" s="25"/>
    </x:row>
    <x:row r="1614">
      <x:c r="D1614" s="22"/>
      <x:c r="F1614" s="23"/>
      <x:c r="H1614" s="25"/>
    </x:row>
    <x:row r="1615">
      <x:c r="D1615" s="22"/>
      <x:c r="F1615" s="23"/>
      <x:c r="H1615" s="25"/>
    </x:row>
    <x:row r="1616">
      <x:c r="D1616" s="22"/>
      <x:c r="F1616" s="23"/>
      <x:c r="H1616" s="25"/>
    </x:row>
    <x:row r="1617">
      <x:c r="D1617" s="22"/>
      <x:c r="F1617" s="23"/>
      <x:c r="H1617" s="25"/>
    </x:row>
    <x:row r="1618">
      <x:c r="D1618" s="22"/>
      <x:c r="F1618" s="23"/>
      <x:c r="H1618" s="25"/>
    </x:row>
    <x:row r="1619">
      <x:c r="D1619" s="22"/>
      <x:c r="F1619" s="23"/>
      <x:c r="H1619" s="25"/>
    </x:row>
    <x:row r="1620">
      <x:c r="D1620" s="22"/>
      <x:c r="F1620" s="23"/>
      <x:c r="H1620" s="25"/>
    </x:row>
    <x:row r="1621">
      <x:c r="D1621" s="22"/>
      <x:c r="F1621" s="23"/>
      <x:c r="H1621" s="25"/>
    </x:row>
    <x:row r="1622">
      <x:c r="D1622" s="22"/>
      <x:c r="F1622" s="23"/>
      <x:c r="H1622" s="25"/>
    </x:row>
    <x:row r="1623">
      <x:c r="D1623" s="22"/>
      <x:c r="F1623" s="23"/>
      <x:c r="H1623" s="25"/>
    </x:row>
    <x:row r="1624">
      <x:c r="D1624" s="22"/>
      <x:c r="F1624" s="23"/>
      <x:c r="H1624" s="25"/>
    </x:row>
    <x:row r="1625">
      <x:c r="D1625" s="22"/>
      <x:c r="F1625" s="23"/>
      <x:c r="H1625" s="25"/>
    </x:row>
    <x:row r="1626">
      <x:c r="D1626" s="22"/>
      <x:c r="F1626" s="23"/>
      <x:c r="H1626" s="25"/>
    </x:row>
    <x:row r="1627">
      <x:c r="D1627" s="22"/>
      <x:c r="F1627" s="23"/>
      <x:c r="H1627" s="25"/>
    </x:row>
    <x:row r="1628">
      <x:c r="D1628" s="22"/>
      <x:c r="F1628" s="23"/>
      <x:c r="H1628" s="25"/>
    </x:row>
    <x:row r="1629">
      <x:c r="D1629" s="22"/>
      <x:c r="F1629" s="23"/>
      <x:c r="H1629" s="25"/>
    </x:row>
    <x:row r="1630">
      <x:c r="D1630" s="22"/>
      <x:c r="F1630" s="23"/>
      <x:c r="H1630" s="25"/>
    </x:row>
    <x:row r="1631">
      <x:c r="D1631" s="22"/>
      <x:c r="F1631" s="23"/>
      <x:c r="H1631" s="25"/>
    </x:row>
    <x:row r="1632">
      <x:c r="D1632" s="22"/>
      <x:c r="F1632" s="23"/>
      <x:c r="H1632" s="25"/>
    </x:row>
    <x:row r="1633">
      <x:c r="D1633" s="22"/>
      <x:c r="F1633" s="23"/>
      <x:c r="H1633" s="25"/>
    </x:row>
    <x:row r="1634">
      <x:c r="D1634" s="22"/>
      <x:c r="F1634" s="23"/>
      <x:c r="H1634" s="25"/>
    </x:row>
    <x:row r="1635">
      <x:c r="D1635" s="22"/>
      <x:c r="F1635" s="23"/>
      <x:c r="H1635" s="25"/>
    </x:row>
    <x:row r="1636">
      <x:c r="D1636" s="22"/>
      <x:c r="F1636" s="23"/>
      <x:c r="H1636" s="25"/>
    </x:row>
    <x:row r="1637">
      <x:c r="D1637" s="22"/>
      <x:c r="F1637" s="23"/>
      <x:c r="H1637" s="25"/>
    </x:row>
    <x:row r="1638">
      <x:c r="D1638" s="22"/>
      <x:c r="F1638" s="23"/>
      <x:c r="H1638" s="25"/>
    </x:row>
    <x:row r="1639">
      <x:c r="D1639" s="22"/>
      <x:c r="F1639" s="23"/>
      <x:c r="H1639" s="25"/>
    </x:row>
    <x:row r="1640">
      <x:c r="D1640" s="22"/>
      <x:c r="F1640" s="23"/>
      <x:c r="H1640" s="25"/>
    </x:row>
    <x:row r="1641">
      <x:c r="D1641" s="22"/>
      <x:c r="F1641" s="23"/>
      <x:c r="H1641" s="25"/>
    </x:row>
    <x:row r="1642">
      <x:c r="D1642" s="22"/>
      <x:c r="F1642" s="23"/>
      <x:c r="H1642" s="25"/>
    </x:row>
    <x:row r="1643">
      <x:c r="D1643" s="22"/>
      <x:c r="F1643" s="23"/>
      <x:c r="H1643" s="25"/>
    </x:row>
    <x:row r="1644">
      <x:c r="D1644" s="22"/>
      <x:c r="F1644" s="23"/>
      <x:c r="H1644" s="25"/>
    </x:row>
    <x:row r="1645">
      <x:c r="D1645" s="22"/>
      <x:c r="F1645" s="23"/>
      <x:c r="H1645" s="25"/>
    </x:row>
    <x:row r="1646">
      <x:c r="D1646" s="22"/>
      <x:c r="F1646" s="23"/>
      <x:c r="H1646" s="25"/>
    </x:row>
    <x:row r="1647">
      <x:c r="D1647" s="22"/>
      <x:c r="F1647" s="23"/>
      <x:c r="H1647" s="25"/>
    </x:row>
    <x:row r="1648">
      <x:c r="D1648" s="22"/>
      <x:c r="F1648" s="23"/>
      <x:c r="H1648" s="25"/>
    </x:row>
    <x:row r="1649">
      <x:c r="D1649" s="22"/>
      <x:c r="F1649" s="23"/>
      <x:c r="H1649" s="25"/>
    </x:row>
    <x:row r="1650">
      <x:c r="D1650" s="22"/>
      <x:c r="F1650" s="23"/>
      <x:c r="H1650" s="25"/>
    </x:row>
    <x:row r="1651">
      <x:c r="D1651" s="22"/>
      <x:c r="F1651" s="23"/>
      <x:c r="H1651" s="25"/>
    </x:row>
    <x:row r="1652">
      <x:c r="D1652" s="22"/>
      <x:c r="F1652" s="23"/>
      <x:c r="H1652" s="25"/>
    </x:row>
    <x:row r="1653">
      <x:c r="D1653" s="22"/>
      <x:c r="F1653" s="23"/>
      <x:c r="H1653" s="25"/>
    </x:row>
    <x:row r="1654">
      <x:c r="D1654" s="22"/>
      <x:c r="F1654" s="23"/>
      <x:c r="H1654" s="25"/>
    </x:row>
    <x:row r="1655">
      <x:c r="D1655" s="22"/>
      <x:c r="F1655" s="23"/>
      <x:c r="H1655" s="25"/>
    </x:row>
    <x:row r="1656">
      <x:c r="D1656" s="22"/>
      <x:c r="F1656" s="23"/>
      <x:c r="H1656" s="25"/>
    </x:row>
    <x:row r="1657">
      <x:c r="D1657" s="22"/>
      <x:c r="F1657" s="23"/>
      <x:c r="H1657" s="25"/>
    </x:row>
    <x:row r="1658">
      <x:c r="D1658" s="22"/>
      <x:c r="F1658" s="23"/>
      <x:c r="H1658" s="25"/>
    </x:row>
    <x:row r="1659">
      <x:c r="D1659" s="22"/>
      <x:c r="F1659" s="23"/>
      <x:c r="H1659" s="25"/>
    </x:row>
    <x:row r="1660">
      <x:c r="D1660" s="22"/>
      <x:c r="F1660" s="23"/>
      <x:c r="H1660" s="25"/>
    </x:row>
    <x:row r="1661">
      <x:c r="D1661" s="22"/>
      <x:c r="F1661" s="23"/>
      <x:c r="H1661" s="25"/>
    </x:row>
    <x:row r="1662">
      <x:c r="D1662" s="22"/>
      <x:c r="F1662" s="23"/>
      <x:c r="H1662" s="25"/>
    </x:row>
    <x:row r="1663">
      <x:c r="D1663" s="22"/>
      <x:c r="F1663" s="23"/>
      <x:c r="H1663" s="25"/>
    </x:row>
    <x:row r="1664">
      <x:c r="D1664" s="22"/>
      <x:c r="F1664" s="23"/>
      <x:c r="H1664" s="25"/>
    </x:row>
    <x:row r="1665">
      <x:c r="D1665" s="22"/>
      <x:c r="F1665" s="23"/>
      <x:c r="H1665" s="25"/>
    </x:row>
    <x:row r="1666">
      <x:c r="D1666" s="22"/>
      <x:c r="F1666" s="23"/>
      <x:c r="H1666" s="25"/>
    </x:row>
    <x:row r="1667">
      <x:c r="D1667" s="22"/>
      <x:c r="F1667" s="23"/>
      <x:c r="H1667" s="25"/>
    </x:row>
    <x:row r="1668">
      <x:c r="D1668" s="22"/>
      <x:c r="F1668" s="23"/>
      <x:c r="H1668" s="25"/>
    </x:row>
    <x:row r="1669">
      <x:c r="D1669" s="22"/>
      <x:c r="F1669" s="23"/>
      <x:c r="H1669" s="25"/>
    </x:row>
    <x:row r="1670">
      <x:c r="D1670" s="22"/>
      <x:c r="F1670" s="23"/>
      <x:c r="H1670" s="25"/>
    </x:row>
    <x:row r="1671">
      <x:c r="D1671" s="22"/>
      <x:c r="F1671" s="23"/>
      <x:c r="H1671" s="25"/>
    </x:row>
    <x:row r="1672">
      <x:c r="D1672" s="22"/>
      <x:c r="F1672" s="23"/>
      <x:c r="H1672" s="25"/>
    </x:row>
    <x:row r="1673">
      <x:c r="D1673" s="22"/>
      <x:c r="F1673" s="23"/>
      <x:c r="H1673" s="25"/>
    </x:row>
    <x:row r="1674">
      <x:c r="D1674" s="22"/>
      <x:c r="F1674" s="23"/>
      <x:c r="H1674" s="25"/>
    </x:row>
    <x:row r="1675">
      <x:c r="D1675" s="22"/>
      <x:c r="F1675" s="23"/>
      <x:c r="H1675" s="25"/>
    </x:row>
    <x:row r="1676">
      <x:c r="D1676" s="22"/>
      <x:c r="F1676" s="23"/>
      <x:c r="H1676" s="25"/>
    </x:row>
    <x:row r="1677">
      <x:c r="D1677" s="22"/>
      <x:c r="F1677" s="23"/>
      <x:c r="H1677" s="25"/>
    </x:row>
    <x:row r="1678">
      <x:c r="D1678" s="22"/>
      <x:c r="F1678" s="23"/>
      <x:c r="H1678" s="25"/>
    </x:row>
    <x:row r="1679">
      <x:c r="D1679" s="22"/>
      <x:c r="F1679" s="23"/>
      <x:c r="H1679" s="25"/>
    </x:row>
    <x:row r="1680">
      <x:c r="D1680" s="22"/>
      <x:c r="F1680" s="23"/>
      <x:c r="H1680" s="25"/>
    </x:row>
    <x:row r="1681">
      <x:c r="D1681" s="22"/>
      <x:c r="F1681" s="23"/>
      <x:c r="H1681" s="25"/>
    </x:row>
    <x:row r="1682">
      <x:c r="D1682" s="22"/>
      <x:c r="F1682" s="23"/>
      <x:c r="H1682" s="25"/>
    </x:row>
    <x:row r="1683">
      <x:c r="D1683" s="22"/>
      <x:c r="F1683" s="23"/>
      <x:c r="H1683" s="25"/>
    </x:row>
    <x:row r="1684">
      <x:c r="D1684" s="22"/>
      <x:c r="F1684" s="23"/>
      <x:c r="H1684" s="25"/>
    </x:row>
    <x:row r="1685">
      <x:c r="D1685" s="22"/>
      <x:c r="F1685" s="23"/>
      <x:c r="H1685" s="25"/>
    </x:row>
    <x:row r="1686">
      <x:c r="D1686" s="22"/>
      <x:c r="F1686" s="23"/>
      <x:c r="H1686" s="25"/>
    </x:row>
    <x:row r="1687">
      <x:c r="D1687" s="22"/>
      <x:c r="F1687" s="23"/>
      <x:c r="H1687" s="25"/>
    </x:row>
    <x:row r="1688">
      <x:c r="D1688" s="22"/>
      <x:c r="F1688" s="23"/>
      <x:c r="H1688" s="25"/>
    </x:row>
    <x:row r="1689">
      <x:c r="D1689" s="22"/>
      <x:c r="F1689" s="23"/>
      <x:c r="H1689" s="25"/>
    </x:row>
    <x:row r="1690">
      <x:c r="D1690" s="22"/>
      <x:c r="F1690" s="23"/>
      <x:c r="H1690" s="25"/>
    </x:row>
    <x:row r="1691">
      <x:c r="D1691" s="22"/>
      <x:c r="F1691" s="23"/>
      <x:c r="H1691" s="25"/>
    </x:row>
    <x:row r="1692">
      <x:c r="D1692" s="22"/>
      <x:c r="F1692" s="23"/>
      <x:c r="H1692" s="25"/>
    </x:row>
    <x:row r="1693">
      <x:c r="D1693" s="22"/>
      <x:c r="F1693" s="23"/>
      <x:c r="H1693" s="25"/>
    </x:row>
    <x:row r="1694">
      <x:c r="D1694" s="22"/>
      <x:c r="F1694" s="23"/>
      <x:c r="H1694" s="25"/>
    </x:row>
    <x:row r="1695">
      <x:c r="D1695" s="22"/>
      <x:c r="F1695" s="23"/>
      <x:c r="H1695" s="25"/>
    </x:row>
    <x:row r="1696">
      <x:c r="D1696" s="22"/>
      <x:c r="F1696" s="23"/>
      <x:c r="H1696" s="25"/>
    </x:row>
    <x:row r="1697">
      <x:c r="D1697" s="22"/>
      <x:c r="F1697" s="23"/>
      <x:c r="H1697" s="25"/>
    </x:row>
    <x:row r="1698">
      <x:c r="D1698" s="22"/>
      <x:c r="F1698" s="23"/>
      <x:c r="H1698" s="25"/>
    </x:row>
    <x:row r="1699">
      <x:c r="D1699" s="22"/>
      <x:c r="F1699" s="23"/>
      <x:c r="H1699" s="25"/>
    </x:row>
    <x:row r="1700">
      <x:c r="D1700" s="22"/>
      <x:c r="F1700" s="23"/>
      <x:c r="H1700" s="25"/>
    </x:row>
    <x:row r="1701">
      <x:c r="D1701" s="22"/>
      <x:c r="F1701" s="23"/>
      <x:c r="H1701" s="25"/>
    </x:row>
    <x:row r="1702">
      <x:c r="D1702" s="22"/>
      <x:c r="F1702" s="23"/>
      <x:c r="H1702" s="25"/>
    </x:row>
    <x:row r="1703">
      <x:c r="D1703" s="22"/>
      <x:c r="F1703" s="23"/>
      <x:c r="H1703" s="25"/>
    </x:row>
    <x:row r="1704">
      <x:c r="D1704" s="22"/>
      <x:c r="F1704" s="23"/>
      <x:c r="H1704" s="25"/>
    </x:row>
    <x:row r="1705">
      <x:c r="D1705" s="22"/>
      <x:c r="F1705" s="23"/>
      <x:c r="H1705" s="25"/>
    </x:row>
    <x:row r="1706">
      <x:c r="D1706" s="22"/>
      <x:c r="F1706" s="23"/>
      <x:c r="H1706" s="25"/>
    </x:row>
    <x:row r="1707">
      <x:c r="D1707" s="22"/>
      <x:c r="F1707" s="23"/>
      <x:c r="H1707" s="25"/>
    </x:row>
    <x:row r="1708">
      <x:c r="D1708" s="22"/>
      <x:c r="F1708" s="23"/>
      <x:c r="H1708" s="25"/>
    </x:row>
    <x:row r="1709">
      <x:c r="D1709" s="22"/>
      <x:c r="F1709" s="23"/>
      <x:c r="H1709" s="25"/>
    </x:row>
    <x:row r="1710">
      <x:c r="D1710" s="22"/>
      <x:c r="F1710" s="23"/>
      <x:c r="H1710" s="25"/>
    </x:row>
    <x:row r="1711">
      <x:c r="D1711" s="22"/>
      <x:c r="F1711" s="23"/>
      <x:c r="H1711" s="25"/>
    </x:row>
    <x:row r="1712">
      <x:c r="D1712" s="22"/>
      <x:c r="F1712" s="23"/>
      <x:c r="H1712" s="25"/>
    </x:row>
    <x:row r="1713">
      <x:c r="D1713" s="22"/>
      <x:c r="F1713" s="23"/>
      <x:c r="H1713" s="25"/>
    </x:row>
    <x:row r="1714">
      <x:c r="D1714" s="22"/>
      <x:c r="F1714" s="23"/>
      <x:c r="H1714" s="25"/>
    </x:row>
    <x:row r="1715">
      <x:c r="D1715" s="22"/>
      <x:c r="F1715" s="23"/>
      <x:c r="H1715" s="25"/>
    </x:row>
    <x:row r="1716">
      <x:c r="D1716" s="22"/>
      <x:c r="F1716" s="23"/>
      <x:c r="H1716" s="25"/>
    </x:row>
    <x:row r="1717">
      <x:c r="D1717" s="22"/>
      <x:c r="F1717" s="23"/>
      <x:c r="H1717" s="25"/>
    </x:row>
    <x:row r="1718">
      <x:c r="D1718" s="22"/>
      <x:c r="F1718" s="23"/>
      <x:c r="H1718" s="25"/>
    </x:row>
    <x:row r="1719">
      <x:c r="D1719" s="22"/>
      <x:c r="F1719" s="23"/>
      <x:c r="H1719" s="25"/>
    </x:row>
    <x:row r="1720">
      <x:c r="D1720" s="22"/>
      <x:c r="F1720" s="23"/>
      <x:c r="H1720" s="25"/>
    </x:row>
    <x:row r="1721">
      <x:c r="D1721" s="22"/>
      <x:c r="F1721" s="23"/>
      <x:c r="H1721" s="25"/>
    </x:row>
    <x:row r="1722">
      <x:c r="D1722" s="22"/>
      <x:c r="F1722" s="23"/>
      <x:c r="H1722" s="25"/>
    </x:row>
    <x:row r="1723">
      <x:c r="D1723" s="22"/>
      <x:c r="F1723" s="23"/>
      <x:c r="H1723" s="25"/>
    </x:row>
    <x:row r="1724">
      <x:c r="D1724" s="22"/>
      <x:c r="F1724" s="23"/>
      <x:c r="H1724" s="25"/>
    </x:row>
    <x:row r="1725">
      <x:c r="D1725" s="22"/>
      <x:c r="F1725" s="23"/>
      <x:c r="H1725" s="25"/>
    </x:row>
    <x:row r="1726">
      <x:c r="D1726" s="22"/>
      <x:c r="F1726" s="23"/>
      <x:c r="H1726" s="25"/>
    </x:row>
    <x:row r="1727">
      <x:c r="D1727" s="22"/>
      <x:c r="F1727" s="23"/>
      <x:c r="H1727" s="25"/>
    </x:row>
    <x:row r="1728">
      <x:c r="D1728" s="22"/>
      <x:c r="F1728" s="23"/>
      <x:c r="H1728" s="25"/>
    </x:row>
    <x:row r="1729">
      <x:c r="D1729" s="22"/>
      <x:c r="F1729" s="23"/>
      <x:c r="H1729" s="25"/>
    </x:row>
    <x:row r="1730">
      <x:c r="D1730" s="22"/>
      <x:c r="F1730" s="23"/>
      <x:c r="H1730" s="25"/>
    </x:row>
    <x:row r="1731">
      <x:c r="D1731" s="22"/>
      <x:c r="F1731" s="23"/>
      <x:c r="H1731" s="25"/>
    </x:row>
    <x:row r="1732">
      <x:c r="D1732" s="22"/>
      <x:c r="F1732" s="23"/>
      <x:c r="H1732" s="25"/>
    </x:row>
    <x:row r="1733">
      <x:c r="D1733" s="22"/>
      <x:c r="F1733" s="23"/>
      <x:c r="H1733" s="25"/>
    </x:row>
    <x:row r="1734">
      <x:c r="D1734" s="22"/>
      <x:c r="F1734" s="23"/>
      <x:c r="H1734" s="25"/>
    </x:row>
    <x:row r="1735">
      <x:c r="D1735" s="22"/>
      <x:c r="F1735" s="23"/>
      <x:c r="H1735" s="25"/>
    </x:row>
    <x:row r="1736">
      <x:c r="D1736" s="22"/>
      <x:c r="F1736" s="23"/>
      <x:c r="H1736" s="25"/>
    </x:row>
    <x:row r="1737">
      <x:c r="D1737" s="22"/>
      <x:c r="F1737" s="23"/>
      <x:c r="H1737" s="25"/>
    </x:row>
    <x:row r="1738">
      <x:c r="D1738" s="22"/>
      <x:c r="F1738" s="23"/>
      <x:c r="H1738" s="25"/>
    </x:row>
    <x:row r="1739">
      <x:c r="D1739" s="22"/>
      <x:c r="F1739" s="23"/>
      <x:c r="H1739" s="25"/>
    </x:row>
    <x:row r="1740">
      <x:c r="D1740" s="22"/>
      <x:c r="F1740" s="23"/>
      <x:c r="H1740" s="25"/>
    </x:row>
    <x:row r="1741">
      <x:c r="D1741" s="22"/>
      <x:c r="F1741" s="23"/>
      <x:c r="H1741" s="25"/>
    </x:row>
    <x:row r="1742">
      <x:c r="D1742" s="22"/>
      <x:c r="F1742" s="23"/>
      <x:c r="H1742" s="25"/>
    </x:row>
    <x:row r="1743">
      <x:c r="D1743" s="22"/>
      <x:c r="F1743" s="23"/>
      <x:c r="H1743" s="25"/>
    </x:row>
    <x:row r="1744">
      <x:c r="D1744" s="22"/>
      <x:c r="F1744" s="23"/>
      <x:c r="H1744" s="25"/>
    </x:row>
    <x:row r="1745">
      <x:c r="D1745" s="22"/>
      <x:c r="F1745" s="23"/>
      <x:c r="H1745" s="25"/>
    </x:row>
    <x:row r="1746">
      <x:c r="D1746" s="22"/>
      <x:c r="F1746" s="23"/>
      <x:c r="H1746" s="25"/>
    </x:row>
    <x:row r="1747">
      <x:c r="D1747" s="22"/>
      <x:c r="F1747" s="23"/>
      <x:c r="H1747" s="25"/>
    </x:row>
    <x:row r="1748">
      <x:c r="D1748" s="22"/>
      <x:c r="F1748" s="23"/>
      <x:c r="H1748" s="25"/>
    </x:row>
    <x:row r="1749">
      <x:c r="D1749" s="22"/>
      <x:c r="F1749" s="23"/>
      <x:c r="H1749" s="25"/>
    </x:row>
    <x:row r="1750">
      <x:c r="D1750" s="22"/>
      <x:c r="F1750" s="23"/>
      <x:c r="H1750" s="25"/>
    </x:row>
    <x:row r="1751">
      <x:c r="D1751" s="22"/>
      <x:c r="F1751" s="23"/>
      <x:c r="H1751" s="25"/>
    </x:row>
    <x:row r="1752">
      <x:c r="D1752" s="22"/>
      <x:c r="F1752" s="23"/>
      <x:c r="H1752" s="25"/>
    </x:row>
    <x:row r="1753">
      <x:c r="D1753" s="22"/>
      <x:c r="F1753" s="23"/>
      <x:c r="H1753" s="25"/>
    </x:row>
    <x:row r="1754">
      <x:c r="D1754" s="22"/>
      <x:c r="F1754" s="23"/>
      <x:c r="H1754" s="25"/>
    </x:row>
    <x:row r="1755">
      <x:c r="D1755" s="22"/>
      <x:c r="F1755" s="23"/>
      <x:c r="H1755" s="25"/>
    </x:row>
    <x:row r="1756">
      <x:c r="D1756" s="22"/>
      <x:c r="F1756" s="23"/>
      <x:c r="H1756" s="25"/>
    </x:row>
    <x:row r="1757">
      <x:c r="D1757" s="22"/>
      <x:c r="F1757" s="23"/>
      <x:c r="H1757" s="25"/>
    </x:row>
    <x:row r="1758">
      <x:c r="D1758" s="22"/>
      <x:c r="F1758" s="23"/>
      <x:c r="H1758" s="25"/>
    </x:row>
    <x:row r="1759">
      <x:c r="D1759" s="22"/>
      <x:c r="F1759" s="23"/>
      <x:c r="H1759" s="25"/>
    </x:row>
    <x:row r="1760">
      <x:c r="D1760" s="22"/>
      <x:c r="F1760" s="23"/>
      <x:c r="H1760" s="25"/>
    </x:row>
    <x:row r="1761">
      <x:c r="D1761" s="22"/>
      <x:c r="F1761" s="23"/>
      <x:c r="H1761" s="25"/>
    </x:row>
    <x:row r="1762">
      <x:c r="D1762" s="22"/>
      <x:c r="F1762" s="23"/>
      <x:c r="H1762" s="25"/>
    </x:row>
    <x:row r="1763">
      <x:c r="D1763" s="22"/>
      <x:c r="F1763" s="23"/>
      <x:c r="H1763" s="25"/>
    </x:row>
    <x:row r="1764">
      <x:c r="D1764" s="22"/>
      <x:c r="F1764" s="23"/>
      <x:c r="H1764" s="25"/>
    </x:row>
    <x:row r="1765">
      <x:c r="D1765" s="22"/>
      <x:c r="F1765" s="23"/>
      <x:c r="H1765" s="25"/>
    </x:row>
    <x:row r="1766">
      <x:c r="D1766" s="22"/>
      <x:c r="F1766" s="23"/>
      <x:c r="H1766" s="25"/>
    </x:row>
    <x:row r="1767">
      <x:c r="D1767" s="22"/>
      <x:c r="F1767" s="23"/>
      <x:c r="H1767" s="25"/>
    </x:row>
    <x:row r="1768">
      <x:c r="D1768" s="22"/>
      <x:c r="F1768" s="23"/>
      <x:c r="H1768" s="25"/>
    </x:row>
    <x:row r="1769">
      <x:c r="D1769" s="22"/>
      <x:c r="F1769" s="23"/>
      <x:c r="H1769" s="25"/>
    </x:row>
    <x:row r="1770">
      <x:c r="D1770" s="22"/>
      <x:c r="F1770" s="23"/>
      <x:c r="H1770" s="25"/>
    </x:row>
    <x:row r="1771">
      <x:c r="D1771" s="22"/>
      <x:c r="F1771" s="23"/>
      <x:c r="H1771" s="25"/>
    </x:row>
    <x:row r="1772">
      <x:c r="D1772" s="22"/>
      <x:c r="F1772" s="23"/>
      <x:c r="H1772" s="25"/>
    </x:row>
    <x:row r="1773">
      <x:c r="D1773" s="22"/>
      <x:c r="F1773" s="23"/>
      <x:c r="H1773" s="25"/>
    </x:row>
    <x:row r="1774">
      <x:c r="D1774" s="22"/>
      <x:c r="F1774" s="23"/>
      <x:c r="H1774" s="25"/>
    </x:row>
    <x:row r="1775">
      <x:c r="D1775" s="22"/>
      <x:c r="F1775" s="23"/>
      <x:c r="H1775" s="25"/>
    </x:row>
    <x:row r="1776">
      <x:c r="D1776" s="22"/>
      <x:c r="F1776" s="23"/>
      <x:c r="H1776" s="25"/>
    </x:row>
    <x:row r="1777">
      <x:c r="D1777" s="22"/>
      <x:c r="F1777" s="23"/>
      <x:c r="H1777" s="25"/>
    </x:row>
    <x:row r="1778">
      <x:c r="D1778" s="22"/>
      <x:c r="F1778" s="23"/>
      <x:c r="H1778" s="25"/>
    </x:row>
    <x:row r="1779">
      <x:c r="D1779" s="22"/>
      <x:c r="F1779" s="23"/>
      <x:c r="H1779" s="25"/>
    </x:row>
    <x:row r="1780">
      <x:c r="D1780" s="22"/>
      <x:c r="F1780" s="23"/>
      <x:c r="H1780" s="25"/>
    </x:row>
    <x:row r="1781">
      <x:c r="D1781" s="22"/>
      <x:c r="F1781" s="23"/>
      <x:c r="H1781" s="25"/>
    </x:row>
    <x:row r="1782">
      <x:c r="D1782" s="22"/>
      <x:c r="F1782" s="23"/>
      <x:c r="H1782" s="25"/>
    </x:row>
    <x:row r="1783">
      <x:c r="D1783" s="22"/>
      <x:c r="F1783" s="23"/>
      <x:c r="H1783" s="25"/>
    </x:row>
    <x:row r="1784">
      <x:c r="D1784" s="22"/>
      <x:c r="F1784" s="23"/>
      <x:c r="H1784" s="25"/>
    </x:row>
    <x:row r="1785">
      <x:c r="D1785" s="22"/>
      <x:c r="F1785" s="23"/>
      <x:c r="H1785" s="25"/>
    </x:row>
    <x:row r="1786">
      <x:c r="D1786" s="22"/>
      <x:c r="F1786" s="23"/>
      <x:c r="H1786" s="25"/>
    </x:row>
    <x:row r="1787">
      <x:c r="D1787" s="22"/>
      <x:c r="F1787" s="23"/>
      <x:c r="H1787" s="25"/>
    </x:row>
    <x:row r="1788">
      <x:c r="D1788" s="22"/>
      <x:c r="F1788" s="23"/>
      <x:c r="H1788" s="25"/>
    </x:row>
    <x:row r="1789">
      <x:c r="D1789" s="22"/>
      <x:c r="F1789" s="23"/>
      <x:c r="H1789" s="25"/>
    </x:row>
    <x:row r="1790">
      <x:c r="D1790" s="22"/>
      <x:c r="F1790" s="23"/>
      <x:c r="H1790" s="25"/>
    </x:row>
    <x:row r="1791">
      <x:c r="D1791" s="22"/>
      <x:c r="F1791" s="23"/>
      <x:c r="H1791" s="25"/>
    </x:row>
    <x:row r="1792">
      <x:c r="D1792" s="22"/>
      <x:c r="F1792" s="23"/>
      <x:c r="H1792" s="25"/>
    </x:row>
    <x:row r="1793">
      <x:c r="D1793" s="22"/>
      <x:c r="F1793" s="23"/>
      <x:c r="H1793" s="25"/>
    </x:row>
    <x:row r="1794">
      <x:c r="D1794" s="22"/>
      <x:c r="F1794" s="23"/>
      <x:c r="H1794" s="25"/>
    </x:row>
    <x:row r="1795">
      <x:c r="D1795" s="22"/>
      <x:c r="F1795" s="23"/>
      <x:c r="H1795" s="25"/>
    </x:row>
    <x:row r="1796">
      <x:c r="D1796" s="22"/>
      <x:c r="F1796" s="23"/>
      <x:c r="H1796" s="25"/>
    </x:row>
    <x:row r="1797">
      <x:c r="D1797" s="22"/>
      <x:c r="F1797" s="23"/>
      <x:c r="H1797" s="25"/>
    </x:row>
    <x:row r="1798">
      <x:c r="D1798" s="22"/>
      <x:c r="F1798" s="23"/>
      <x:c r="H1798" s="25"/>
    </x:row>
    <x:row r="1799">
      <x:c r="D1799" s="22"/>
      <x:c r="F1799" s="23"/>
      <x:c r="H1799" s="25"/>
    </x:row>
    <x:row r="1800">
      <x:c r="D1800" s="22"/>
      <x:c r="F1800" s="23"/>
      <x:c r="H1800" s="25"/>
    </x:row>
    <x:row r="1801">
      <x:c r="D1801" s="22"/>
      <x:c r="F1801" s="23"/>
      <x:c r="H1801" s="25"/>
    </x:row>
    <x:row r="1802">
      <x:c r="D1802" s="22"/>
      <x:c r="F1802" s="23"/>
      <x:c r="H1802" s="25"/>
    </x:row>
    <x:row r="1803">
      <x:c r="D1803" s="22"/>
      <x:c r="F1803" s="23"/>
      <x:c r="H1803" s="25"/>
    </x:row>
    <x:row r="1804">
      <x:c r="D1804" s="22"/>
      <x:c r="F1804" s="23"/>
      <x:c r="H1804" s="25"/>
    </x:row>
    <x:row r="1805">
      <x:c r="D1805" s="22"/>
      <x:c r="F1805" s="23"/>
      <x:c r="H1805" s="25"/>
    </x:row>
    <x:row r="1806">
      <x:c r="D1806" s="22"/>
      <x:c r="F1806" s="23"/>
      <x:c r="H1806" s="25"/>
    </x:row>
    <x:row r="1807">
      <x:c r="D1807" s="22"/>
      <x:c r="F1807" s="23"/>
      <x:c r="H1807" s="25"/>
    </x:row>
    <x:row r="1808">
      <x:c r="D1808" s="22"/>
      <x:c r="F1808" s="23"/>
      <x:c r="H1808" s="25"/>
    </x:row>
    <x:row r="1809">
      <x:c r="D1809" s="22"/>
      <x:c r="F1809" s="23"/>
      <x:c r="H1809" s="25"/>
    </x:row>
    <x:row r="1810">
      <x:c r="D1810" s="22"/>
      <x:c r="F1810" s="23"/>
      <x:c r="H1810" s="25"/>
    </x:row>
    <x:row r="1811">
      <x:c r="D1811" s="22"/>
      <x:c r="F1811" s="23"/>
      <x:c r="H1811" s="25"/>
    </x:row>
    <x:row r="1812">
      <x:c r="D1812" s="22"/>
      <x:c r="F1812" s="23"/>
      <x:c r="H1812" s="25"/>
    </x:row>
    <x:row r="1813">
      <x:c r="D1813" s="22"/>
      <x:c r="F1813" s="23"/>
      <x:c r="H1813" s="25"/>
    </x:row>
    <x:row r="1814">
      <x:c r="D1814" s="22"/>
      <x:c r="F1814" s="23"/>
      <x:c r="H1814" s="25"/>
    </x:row>
    <x:row r="1815">
      <x:c r="D1815" s="22"/>
      <x:c r="F1815" s="23"/>
      <x:c r="H1815" s="25"/>
    </x:row>
    <x:row r="1816">
      <x:c r="D1816" s="22"/>
      <x:c r="F1816" s="23"/>
      <x:c r="H1816" s="25"/>
    </x:row>
    <x:row r="1817">
      <x:c r="D1817" s="22"/>
      <x:c r="F1817" s="23"/>
      <x:c r="H1817" s="25"/>
    </x:row>
    <x:row r="1818">
      <x:c r="D1818" s="22"/>
      <x:c r="F1818" s="23"/>
      <x:c r="H1818" s="25"/>
    </x:row>
    <x:row r="1819">
      <x:c r="D1819" s="22"/>
      <x:c r="F1819" s="23"/>
      <x:c r="H1819" s="25"/>
    </x:row>
    <x:row r="1820">
      <x:c r="D1820" s="22"/>
      <x:c r="F1820" s="23"/>
      <x:c r="H1820" s="25"/>
    </x:row>
    <x:row r="1821">
      <x:c r="D1821" s="22"/>
      <x:c r="F1821" s="23"/>
      <x:c r="H1821" s="25"/>
    </x:row>
    <x:row r="1822">
      <x:c r="D1822" s="22"/>
      <x:c r="F1822" s="23"/>
      <x:c r="H1822" s="25"/>
    </x:row>
    <x:row r="1823">
      <x:c r="D1823" s="22"/>
      <x:c r="F1823" s="23"/>
      <x:c r="H1823" s="25"/>
    </x:row>
    <x:row r="1824">
      <x:c r="D1824" s="22"/>
      <x:c r="F1824" s="23"/>
      <x:c r="H1824" s="25"/>
    </x:row>
    <x:row r="1825">
      <x:c r="D1825" s="22"/>
      <x:c r="F1825" s="23"/>
      <x:c r="H1825" s="25"/>
    </x:row>
    <x:row r="1826">
      <x:c r="D1826" s="22"/>
      <x:c r="F1826" s="23"/>
      <x:c r="H1826" s="25"/>
    </x:row>
    <x:row r="1827">
      <x:c r="D1827" s="22"/>
      <x:c r="F1827" s="23"/>
      <x:c r="H1827" s="25"/>
    </x:row>
    <x:row r="1828">
      <x:c r="D1828" s="22"/>
      <x:c r="F1828" s="23"/>
      <x:c r="H1828" s="25"/>
    </x:row>
    <x:row r="1829">
      <x:c r="D1829" s="22"/>
      <x:c r="F1829" s="23"/>
      <x:c r="H1829" s="25"/>
    </x:row>
    <x:row r="1830">
      <x:c r="D1830" s="22"/>
      <x:c r="F1830" s="23"/>
      <x:c r="H1830" s="25"/>
    </x:row>
    <x:row r="1831">
      <x:c r="D1831" s="22"/>
      <x:c r="F1831" s="23"/>
      <x:c r="H1831" s="25"/>
    </x:row>
    <x:row r="1832">
      <x:c r="D1832" s="22"/>
      <x:c r="F1832" s="23"/>
      <x:c r="H1832" s="25"/>
    </x:row>
    <x:row r="1833">
      <x:c r="D1833" s="22"/>
      <x:c r="F1833" s="23"/>
      <x:c r="H1833" s="25"/>
    </x:row>
    <x:row r="1834">
      <x:c r="D1834" s="22"/>
      <x:c r="F1834" s="23"/>
      <x:c r="H1834" s="25"/>
    </x:row>
    <x:row r="1835">
      <x:c r="D1835" s="22"/>
      <x:c r="F1835" s="23"/>
      <x:c r="H1835" s="25"/>
    </x:row>
    <x:row r="1836">
      <x:c r="D1836" s="22"/>
      <x:c r="F1836" s="23"/>
      <x:c r="H1836" s="25"/>
    </x:row>
    <x:row r="1837">
      <x:c r="D1837" s="22"/>
      <x:c r="F1837" s="23"/>
      <x:c r="H1837" s="25"/>
    </x:row>
    <x:row r="1838">
      <x:c r="D1838" s="22"/>
      <x:c r="F1838" s="23"/>
      <x:c r="H1838" s="25"/>
    </x:row>
    <x:row r="1839">
      <x:c r="D1839" s="22"/>
      <x:c r="F1839" s="23"/>
      <x:c r="H1839" s="25"/>
    </x:row>
    <x:row r="1840">
      <x:c r="D1840" s="22"/>
      <x:c r="F1840" s="23"/>
      <x:c r="H1840" s="25"/>
    </x:row>
    <x:row r="1841">
      <x:c r="D1841" s="22"/>
      <x:c r="F1841" s="23"/>
      <x:c r="H1841" s="25"/>
    </x:row>
    <x:row r="1842">
      <x:c r="D1842" s="22"/>
      <x:c r="F1842" s="23"/>
      <x:c r="H1842" s="25"/>
    </x:row>
    <x:row r="1843">
      <x:c r="D1843" s="22"/>
      <x:c r="F1843" s="23"/>
      <x:c r="H1843" s="25"/>
    </x:row>
    <x:row r="1844">
      <x:c r="D1844" s="22"/>
      <x:c r="F1844" s="23"/>
      <x:c r="H1844" s="25"/>
    </x:row>
    <x:row r="1845">
      <x:c r="D1845" s="22"/>
      <x:c r="F1845" s="23"/>
      <x:c r="H1845" s="25"/>
    </x:row>
    <x:row r="1846">
      <x:c r="D1846" s="22"/>
      <x:c r="F1846" s="23"/>
      <x:c r="H1846" s="25"/>
    </x:row>
    <x:row r="1847">
      <x:c r="D1847" s="22"/>
      <x:c r="F1847" s="23"/>
      <x:c r="H1847" s="25"/>
    </x:row>
    <x:row r="1848">
      <x:c r="D1848" s="22"/>
      <x:c r="F1848" s="23"/>
      <x:c r="H1848" s="25"/>
    </x:row>
    <x:row r="1849">
      <x:c r="D1849" s="22"/>
      <x:c r="F1849" s="23"/>
      <x:c r="H1849" s="25"/>
    </x:row>
    <x:row r="1850">
      <x:c r="D1850" s="22"/>
      <x:c r="F1850" s="23"/>
      <x:c r="H1850" s="25"/>
    </x:row>
    <x:row r="1851">
      <x:c r="D1851" s="22"/>
      <x:c r="F1851" s="23"/>
      <x:c r="H1851" s="25"/>
    </x:row>
    <x:row r="1852">
      <x:c r="D1852" s="22"/>
      <x:c r="F1852" s="23"/>
      <x:c r="H1852" s="25"/>
    </x:row>
    <x:row r="1853">
      <x:c r="D1853" s="22"/>
      <x:c r="F1853" s="23"/>
      <x:c r="H1853" s="25"/>
    </x:row>
    <x:row r="1854">
      <x:c r="D1854" s="22"/>
      <x:c r="F1854" s="23"/>
      <x:c r="H1854" s="25"/>
    </x:row>
    <x:row r="1855">
      <x:c r="D1855" s="22"/>
      <x:c r="F1855" s="23"/>
      <x:c r="H1855" s="25"/>
    </x:row>
    <x:row r="1856">
      <x:c r="D1856" s="22"/>
      <x:c r="F1856" s="23"/>
      <x:c r="H1856" s="25"/>
    </x:row>
    <x:row r="1857">
      <x:c r="D1857" s="22"/>
      <x:c r="F1857" s="23"/>
      <x:c r="H1857" s="25"/>
    </x:row>
    <x:row r="1858">
      <x:c r="D1858" s="22"/>
      <x:c r="F1858" s="23"/>
      <x:c r="H1858" s="25"/>
    </x:row>
    <x:row r="1859">
      <x:c r="D1859" s="22"/>
      <x:c r="F1859" s="23"/>
      <x:c r="H1859" s="25"/>
    </x:row>
    <x:row r="1860">
      <x:c r="D1860" s="22"/>
      <x:c r="F1860" s="23"/>
      <x:c r="H1860" s="25"/>
    </x:row>
    <x:row r="1861">
      <x:c r="D1861" s="22"/>
      <x:c r="F1861" s="23"/>
      <x:c r="H1861" s="25"/>
    </x:row>
    <x:row r="1862">
      <x:c r="D1862" s="22"/>
      <x:c r="F1862" s="23"/>
      <x:c r="H1862" s="25"/>
    </x:row>
    <x:row r="1863">
      <x:c r="D1863" s="22"/>
      <x:c r="F1863" s="23"/>
      <x:c r="H1863" s="25"/>
    </x:row>
    <x:row r="1864">
      <x:c r="D1864" s="22"/>
      <x:c r="F1864" s="23"/>
      <x:c r="H1864" s="25"/>
    </x:row>
    <x:row r="1865">
      <x:c r="D1865" s="22"/>
      <x:c r="F1865" s="23"/>
      <x:c r="H1865" s="25"/>
    </x:row>
    <x:row r="1866">
      <x:c r="D1866" s="22"/>
      <x:c r="F1866" s="23"/>
      <x:c r="H1866" s="25"/>
    </x:row>
    <x:row r="1867">
      <x:c r="D1867" s="22"/>
      <x:c r="F1867" s="23"/>
      <x:c r="H1867" s="25"/>
    </x:row>
    <x:row r="1868">
      <x:c r="D1868" s="22"/>
      <x:c r="F1868" s="23"/>
      <x:c r="H1868" s="25"/>
    </x:row>
    <x:row r="1869">
      <x:c r="D1869" s="22"/>
      <x:c r="F1869" s="23"/>
      <x:c r="H1869" s="25"/>
    </x:row>
    <x:row r="1870">
      <x:c r="D1870" s="22"/>
      <x:c r="F1870" s="23"/>
      <x:c r="H1870" s="25"/>
    </x:row>
    <x:row r="1871">
      <x:c r="D1871" s="22"/>
      <x:c r="F1871" s="23"/>
      <x:c r="H1871" s="25"/>
    </x:row>
    <x:row r="1872">
      <x:c r="D1872" s="22"/>
      <x:c r="F1872" s="23"/>
      <x:c r="H1872" s="25"/>
    </x:row>
    <x:row r="1873">
      <x:c r="D1873" s="22"/>
      <x:c r="F1873" s="23"/>
      <x:c r="H1873" s="25"/>
    </x:row>
    <x:row r="1874">
      <x:c r="D1874" s="22"/>
      <x:c r="F1874" s="23"/>
      <x:c r="H1874" s="25"/>
    </x:row>
    <x:row r="1875">
      <x:c r="D1875" s="22"/>
      <x:c r="F1875" s="23"/>
      <x:c r="H1875" s="25"/>
    </x:row>
    <x:row r="1876">
      <x:c r="D1876" s="22"/>
      <x:c r="F1876" s="23"/>
      <x:c r="H1876" s="25"/>
    </x:row>
    <x:row r="1877">
      <x:c r="D1877" s="22"/>
      <x:c r="F1877" s="23"/>
      <x:c r="H1877" s="25"/>
    </x:row>
    <x:row r="1878">
      <x:c r="D1878" s="22"/>
      <x:c r="F1878" s="23"/>
      <x:c r="H1878" s="25"/>
    </x:row>
    <x:row r="1879">
      <x:c r="D1879" s="22"/>
      <x:c r="F1879" s="23"/>
      <x:c r="H1879" s="25"/>
    </x:row>
    <x:row r="1880">
      <x:c r="D1880" s="22"/>
      <x:c r="F1880" s="23"/>
      <x:c r="H1880" s="25"/>
    </x:row>
    <x:row r="1881">
      <x:c r="D1881" s="22"/>
      <x:c r="F1881" s="23"/>
      <x:c r="H1881" s="25"/>
    </x:row>
    <x:row r="1882">
      <x:c r="D1882" s="22"/>
      <x:c r="F1882" s="23"/>
      <x:c r="H1882" s="25"/>
    </x:row>
    <x:row r="1883">
      <x:c r="D1883" s="22"/>
      <x:c r="F1883" s="23"/>
      <x:c r="H1883" s="25"/>
    </x:row>
    <x:row r="1884">
      <x:c r="D1884" s="22"/>
      <x:c r="F1884" s="23"/>
      <x:c r="H1884" s="25"/>
    </x:row>
    <x:row r="1885">
      <x:c r="D1885" s="22"/>
      <x:c r="F1885" s="23"/>
      <x:c r="H1885" s="25"/>
    </x:row>
    <x:row r="1886">
      <x:c r="D1886" s="22"/>
      <x:c r="F1886" s="23"/>
      <x:c r="H1886" s="25"/>
    </x:row>
    <x:row r="1887">
      <x:c r="D1887" s="22"/>
      <x:c r="F1887" s="23"/>
      <x:c r="H1887" s="25"/>
    </x:row>
    <x:row r="1888">
      <x:c r="D1888" s="22"/>
      <x:c r="F1888" s="23"/>
      <x:c r="H1888" s="25"/>
    </x:row>
    <x:row r="1889">
      <x:c r="D1889" s="22"/>
      <x:c r="F1889" s="23"/>
      <x:c r="H1889" s="25"/>
    </x:row>
    <x:row r="1890">
      <x:c r="D1890" s="22"/>
      <x:c r="F1890" s="23"/>
      <x:c r="H1890" s="25"/>
    </x:row>
    <x:row r="1891">
      <x:c r="D1891" s="22"/>
      <x:c r="F1891" s="23"/>
      <x:c r="H1891" s="25"/>
    </x:row>
    <x:row r="1892">
      <x:c r="D1892" s="22"/>
      <x:c r="F1892" s="23"/>
      <x:c r="H1892" s="25"/>
    </x:row>
    <x:row r="1893">
      <x:c r="D1893" s="22"/>
      <x:c r="F1893" s="23"/>
      <x:c r="H1893" s="25"/>
    </x:row>
    <x:row r="1894">
      <x:c r="D1894" s="22"/>
      <x:c r="F1894" s="23"/>
      <x:c r="H1894" s="25"/>
    </x:row>
    <x:row r="1895">
      <x:c r="D1895" s="22"/>
      <x:c r="F1895" s="23"/>
      <x:c r="H1895" s="25"/>
    </x:row>
    <x:row r="1896">
      <x:c r="D1896" s="22"/>
      <x:c r="F1896" s="23"/>
      <x:c r="H1896" s="25"/>
    </x:row>
    <x:row r="1897">
      <x:c r="D1897" s="22"/>
      <x:c r="F1897" s="23"/>
      <x:c r="H1897" s="25"/>
    </x:row>
    <x:row r="1898">
      <x:c r="D1898" s="22"/>
      <x:c r="F1898" s="23"/>
      <x:c r="H1898" s="25"/>
    </x:row>
    <x:row r="1899">
      <x:c r="D1899" s="22"/>
      <x:c r="F1899" s="23"/>
      <x:c r="H1899" s="25"/>
    </x:row>
    <x:row r="1900">
      <x:c r="D1900" s="22"/>
      <x:c r="F1900" s="23"/>
      <x:c r="H1900" s="25"/>
    </x:row>
    <x:row r="1901">
      <x:c r="D1901" s="22"/>
      <x:c r="F1901" s="23"/>
      <x:c r="H1901" s="25"/>
    </x:row>
    <x:row r="1902">
      <x:c r="D1902" s="22"/>
      <x:c r="F1902" s="23"/>
      <x:c r="H1902" s="25"/>
    </x:row>
    <x:row r="1903">
      <x:c r="D1903" s="22"/>
      <x:c r="F1903" s="23"/>
      <x:c r="H1903" s="25"/>
    </x:row>
    <x:row r="1904">
      <x:c r="D1904" s="22"/>
      <x:c r="F1904" s="23"/>
      <x:c r="H1904" s="25"/>
    </x:row>
    <x:row r="1905">
      <x:c r="D1905" s="22"/>
      <x:c r="F1905" s="23"/>
      <x:c r="H1905" s="25"/>
    </x:row>
    <x:row r="1906">
      <x:c r="D1906" s="22"/>
      <x:c r="F1906" s="23"/>
      <x:c r="H1906" s="25"/>
    </x:row>
    <x:row r="1907">
      <x:c r="D1907" s="22"/>
      <x:c r="F1907" s="23"/>
      <x:c r="H1907" s="25"/>
    </x:row>
    <x:row r="1908">
      <x:c r="D1908" s="22"/>
      <x:c r="F1908" s="23"/>
      <x:c r="H1908" s="25"/>
    </x:row>
    <x:row r="1909">
      <x:c r="D1909" s="22"/>
      <x:c r="F1909" s="23"/>
      <x:c r="H1909" s="25"/>
    </x:row>
    <x:row r="1910">
      <x:c r="D1910" s="22"/>
      <x:c r="F1910" s="23"/>
      <x:c r="H1910" s="25"/>
    </x:row>
    <x:row r="1911">
      <x:c r="D1911" s="22"/>
      <x:c r="F1911" s="23"/>
      <x:c r="H1911" s="25"/>
    </x:row>
    <x:row r="1912">
      <x:c r="D1912" s="22"/>
      <x:c r="F1912" s="23"/>
      <x:c r="H1912" s="25"/>
    </x:row>
    <x:row r="1913">
      <x:c r="D1913" s="22"/>
      <x:c r="F1913" s="23"/>
      <x:c r="H1913" s="25"/>
    </x:row>
    <x:row r="1914">
      <x:c r="D1914" s="22"/>
      <x:c r="F1914" s="23"/>
      <x:c r="H1914" s="25"/>
    </x:row>
    <x:row r="1915">
      <x:c r="D1915" s="22"/>
      <x:c r="F1915" s="23"/>
      <x:c r="H1915" s="25"/>
    </x:row>
    <x:row r="1916">
      <x:c r="D1916" s="22"/>
      <x:c r="F1916" s="23"/>
      <x:c r="H1916" s="25"/>
    </x:row>
    <x:row r="1917">
      <x:c r="D1917" s="22"/>
      <x:c r="F1917" s="23"/>
      <x:c r="H1917" s="25"/>
    </x:row>
    <x:row r="1918">
      <x:c r="D1918" s="22"/>
      <x:c r="F1918" s="23"/>
      <x:c r="H1918" s="25"/>
    </x:row>
    <x:row r="1919">
      <x:c r="D1919" s="22"/>
      <x:c r="F1919" s="23"/>
      <x:c r="H1919" s="25"/>
    </x:row>
    <x:row r="1920">
      <x:c r="D1920" s="22"/>
      <x:c r="F1920" s="23"/>
      <x:c r="H1920" s="25"/>
    </x:row>
    <x:row r="1921">
      <x:c r="D1921" s="22"/>
      <x:c r="F1921" s="23"/>
      <x:c r="H1921" s="25"/>
    </x:row>
    <x:row r="1922">
      <x:c r="D1922" s="22"/>
      <x:c r="F1922" s="23"/>
      <x:c r="H1922" s="25"/>
    </x:row>
    <x:row r="1923">
      <x:c r="D1923" s="22"/>
      <x:c r="F1923" s="23"/>
      <x:c r="H1923" s="25"/>
    </x:row>
    <x:row r="1924">
      <x:c r="D1924" s="22"/>
      <x:c r="F1924" s="23"/>
      <x:c r="H1924" s="25"/>
    </x:row>
    <x:row r="1925">
      <x:c r="D1925" s="22"/>
      <x:c r="F1925" s="23"/>
      <x:c r="H1925" s="25"/>
    </x:row>
    <x:row r="1926">
      <x:c r="D1926" s="22"/>
      <x:c r="F1926" s="23"/>
      <x:c r="H1926" s="25"/>
    </x:row>
    <x:row r="1927">
      <x:c r="D1927" s="22"/>
      <x:c r="F1927" s="23"/>
      <x:c r="H1927" s="25"/>
    </x:row>
    <x:row r="1928">
      <x:c r="D1928" s="22"/>
      <x:c r="F1928" s="23"/>
      <x:c r="H1928" s="25"/>
    </x:row>
    <x:row r="1929">
      <x:c r="D1929" s="22"/>
      <x:c r="F1929" s="23"/>
      <x:c r="H1929" s="25"/>
    </x:row>
    <x:row r="1930">
      <x:c r="D1930" s="22"/>
      <x:c r="F1930" s="23"/>
      <x:c r="H1930" s="25"/>
    </x:row>
    <x:row r="1931">
      <x:c r="D1931" s="22"/>
      <x:c r="F1931" s="23"/>
      <x:c r="H1931" s="25"/>
    </x:row>
    <x:row r="1932">
      <x:c r="D1932" s="22"/>
      <x:c r="F1932" s="23"/>
      <x:c r="H1932" s="25"/>
    </x:row>
    <x:row r="1933">
      <x:c r="D1933" s="22"/>
      <x:c r="F1933" s="23"/>
      <x:c r="H1933" s="25"/>
    </x:row>
    <x:row r="1934">
      <x:c r="D1934" s="22"/>
      <x:c r="F1934" s="23"/>
      <x:c r="H1934" s="25"/>
    </x:row>
    <x:row r="1935">
      <x:c r="D1935" s="22"/>
      <x:c r="F1935" s="23"/>
      <x:c r="H1935" s="25"/>
    </x:row>
    <x:row r="1936">
      <x:c r="D1936" s="22"/>
      <x:c r="F1936" s="23"/>
      <x:c r="H1936" s="25"/>
    </x:row>
    <x:row r="1937">
      <x:c r="D1937" s="22"/>
      <x:c r="F1937" s="23"/>
      <x:c r="H1937" s="25"/>
    </x:row>
    <x:row r="1938">
      <x:c r="D1938" s="22"/>
      <x:c r="F1938" s="23"/>
      <x:c r="H1938" s="25"/>
    </x:row>
    <x:row r="1939">
      <x:c r="D1939" s="22"/>
      <x:c r="F1939" s="23"/>
      <x:c r="H1939" s="25"/>
    </x:row>
    <x:row r="1940">
      <x:c r="D1940" s="22"/>
      <x:c r="F1940" s="23"/>
      <x:c r="H1940" s="25"/>
    </x:row>
    <x:row r="1941">
      <x:c r="D1941" s="22"/>
      <x:c r="F1941" s="23"/>
      <x:c r="H1941" s="25"/>
    </x:row>
    <x:row r="1942">
      <x:c r="D1942" s="22"/>
      <x:c r="F1942" s="23"/>
      <x:c r="H1942" s="25"/>
    </x:row>
    <x:row r="1943">
      <x:c r="D1943" s="22"/>
      <x:c r="F1943" s="23"/>
      <x:c r="H1943" s="25"/>
    </x:row>
    <x:row r="1944">
      <x:c r="D1944" s="22"/>
      <x:c r="F1944" s="23"/>
      <x:c r="H1944" s="25"/>
    </x:row>
    <x:row r="1945">
      <x:c r="D1945" s="22"/>
      <x:c r="F1945" s="23"/>
      <x:c r="H1945" s="25"/>
    </x:row>
    <x:row r="1946">
      <x:c r="D1946" s="22"/>
      <x:c r="F1946" s="23"/>
      <x:c r="H1946" s="25"/>
    </x:row>
    <x:row r="1947">
      <x:c r="D1947" s="22"/>
      <x:c r="F1947" s="23"/>
      <x:c r="H1947" s="25"/>
    </x:row>
    <x:row r="1948">
      <x:c r="D1948" s="22"/>
      <x:c r="F1948" s="23"/>
      <x:c r="H1948" s="25"/>
    </x:row>
    <x:row r="1949">
      <x:c r="D1949" s="22"/>
      <x:c r="F1949" s="23"/>
      <x:c r="H1949" s="25"/>
    </x:row>
    <x:row r="1950">
      <x:c r="D1950" s="22"/>
      <x:c r="F1950" s="23"/>
      <x:c r="H1950" s="25"/>
    </x:row>
    <x:row r="1951">
      <x:c r="D1951" s="22"/>
      <x:c r="F1951" s="23"/>
      <x:c r="H1951" s="25"/>
    </x:row>
    <x:row r="1952">
      <x:c r="D1952" s="22"/>
      <x:c r="F1952" s="23"/>
      <x:c r="H1952" s="25"/>
    </x:row>
    <x:row r="1953">
      <x:c r="D1953" s="22"/>
      <x:c r="F1953" s="23"/>
      <x:c r="H1953" s="25"/>
    </x:row>
    <x:row r="1954">
      <x:c r="D1954" s="22"/>
      <x:c r="F1954" s="23"/>
      <x:c r="H1954" s="25"/>
    </x:row>
    <x:row r="1955">
      <x:c r="D1955" s="22"/>
      <x:c r="F1955" s="23"/>
      <x:c r="H1955" s="25"/>
    </x:row>
    <x:row r="1956">
      <x:c r="D1956" s="22"/>
      <x:c r="F1956" s="23"/>
      <x:c r="H1956" s="25"/>
    </x:row>
    <x:row r="1957">
      <x:c r="D1957" s="22"/>
      <x:c r="F1957" s="23"/>
      <x:c r="H1957" s="25"/>
    </x:row>
    <x:row r="1958">
      <x:c r="D1958" s="22"/>
      <x:c r="F1958" s="23"/>
      <x:c r="H1958" s="25"/>
    </x:row>
    <x:row r="1959">
      <x:c r="D1959" s="22"/>
      <x:c r="F1959" s="23"/>
      <x:c r="H1959" s="25"/>
    </x:row>
    <x:row r="1960">
      <x:c r="D1960" s="22"/>
      <x:c r="F1960" s="23"/>
      <x:c r="H1960" s="25"/>
    </x:row>
    <x:row r="1961">
      <x:c r="D1961" s="22"/>
      <x:c r="F1961" s="23"/>
      <x:c r="H1961" s="25"/>
    </x:row>
    <x:row r="1962">
      <x:c r="D1962" s="22"/>
      <x:c r="F1962" s="23"/>
      <x:c r="H1962" s="25"/>
    </x:row>
    <x:row r="1963">
      <x:c r="D1963" s="22"/>
      <x:c r="F1963" s="23"/>
      <x:c r="H1963" s="25"/>
    </x:row>
    <x:row r="1964">
      <x:c r="D1964" s="22"/>
      <x:c r="F1964" s="23"/>
      <x:c r="H1964" s="25"/>
    </x:row>
    <x:row r="1965">
      <x:c r="D1965" s="22"/>
      <x:c r="F1965" s="23"/>
      <x:c r="H1965" s="25"/>
    </x:row>
    <x:row r="1966">
      <x:c r="D1966" s="22"/>
      <x:c r="F1966" s="23"/>
      <x:c r="H1966" s="25"/>
    </x:row>
    <x:row r="1967">
      <x:c r="D1967" s="22"/>
      <x:c r="F1967" s="23"/>
      <x:c r="H1967" s="25"/>
    </x:row>
    <x:row r="1968">
      <x:c r="D1968" s="22"/>
      <x:c r="F1968" s="23"/>
      <x:c r="H1968" s="25"/>
    </x:row>
    <x:row r="1969">
      <x:c r="D1969" s="22"/>
      <x:c r="F1969" s="23"/>
      <x:c r="H1969" s="25"/>
    </x:row>
    <x:row r="1970">
      <x:c r="D1970" s="22"/>
      <x:c r="F1970" s="23"/>
      <x:c r="H1970" s="25"/>
    </x:row>
    <x:row r="1971">
      <x:c r="D1971" s="22"/>
      <x:c r="F1971" s="23"/>
      <x:c r="H1971" s="25"/>
    </x:row>
    <x:row r="1972">
      <x:c r="D1972" s="22"/>
      <x:c r="F1972" s="23"/>
      <x:c r="H1972" s="25"/>
    </x:row>
    <x:row r="1973">
      <x:c r="D1973" s="22"/>
      <x:c r="F1973" s="23"/>
      <x:c r="H1973" s="25"/>
    </x:row>
    <x:row r="1974">
      <x:c r="D1974" s="22"/>
      <x:c r="F1974" s="23"/>
      <x:c r="H1974" s="25"/>
    </x:row>
    <x:row r="1975">
      <x:c r="D1975" s="22"/>
      <x:c r="F1975" s="23"/>
      <x:c r="H1975" s="25"/>
    </x:row>
    <x:row r="1976">
      <x:c r="D1976" s="22"/>
      <x:c r="F1976" s="23"/>
      <x:c r="H1976" s="25"/>
    </x:row>
    <x:row r="1977">
      <x:c r="D1977" s="22"/>
      <x:c r="F1977" s="23"/>
      <x:c r="H1977" s="25"/>
    </x:row>
    <x:row r="1978">
      <x:c r="D1978" s="22"/>
      <x:c r="F1978" s="23"/>
      <x:c r="H1978" s="25"/>
    </x:row>
    <x:row r="1979">
      <x:c r="D1979" s="22"/>
      <x:c r="F1979" s="23"/>
      <x:c r="H1979" s="25"/>
    </x:row>
    <x:row r="1980">
      <x:c r="D1980" s="22"/>
      <x:c r="F1980" s="23"/>
      <x:c r="H1980" s="25"/>
    </x:row>
    <x:row r="1981">
      <x:c r="D1981" s="22"/>
      <x:c r="F1981" s="23"/>
      <x:c r="H1981" s="25"/>
    </x:row>
    <x:row r="1982">
      <x:c r="D1982" s="22"/>
      <x:c r="F1982" s="23"/>
      <x:c r="H1982" s="25"/>
    </x:row>
    <x:row r="1983">
      <x:c r="D1983" s="22"/>
      <x:c r="F1983" s="23"/>
      <x:c r="H1983" s="25"/>
    </x:row>
    <x:row r="1984">
      <x:c r="D1984" s="22"/>
      <x:c r="F1984" s="23"/>
      <x:c r="H1984" s="25"/>
    </x:row>
    <x:row r="1985">
      <x:c r="D1985" s="22"/>
      <x:c r="F1985" s="23"/>
      <x:c r="H1985" s="25"/>
    </x:row>
    <x:row r="1986">
      <x:c r="D1986" s="22"/>
      <x:c r="F1986" s="23"/>
      <x:c r="H1986" s="25"/>
    </x:row>
    <x:row r="1987">
      <x:c r="D1987" s="22"/>
      <x:c r="F1987" s="23"/>
      <x:c r="H1987" s="25"/>
    </x:row>
    <x:row r="1988">
      <x:c r="D1988" s="22"/>
      <x:c r="F1988" s="23"/>
      <x:c r="H1988" s="25"/>
    </x:row>
    <x:row r="1989">
      <x:c r="D1989" s="22"/>
      <x:c r="F1989" s="23"/>
      <x:c r="H1989" s="25"/>
    </x:row>
    <x:row r="1990">
      <x:c r="D1990" s="22"/>
      <x:c r="F1990" s="23"/>
      <x:c r="H1990" s="25"/>
    </x:row>
    <x:row r="1991">
      <x:c r="D1991" s="22"/>
      <x:c r="F1991" s="23"/>
      <x:c r="H1991" s="25"/>
    </x:row>
    <x:row r="1992">
      <x:c r="D1992" s="22"/>
      <x:c r="F1992" s="23"/>
      <x:c r="H1992" s="25"/>
    </x:row>
    <x:row r="1993">
      <x:c r="D1993" s="22"/>
      <x:c r="F1993" s="23"/>
      <x:c r="H1993" s="25"/>
    </x:row>
    <x:row r="1994">
      <x:c r="D1994" s="22"/>
      <x:c r="F1994" s="23"/>
      <x:c r="H1994" s="25"/>
    </x:row>
    <x:row r="1995">
      <x:c r="D1995" s="22"/>
      <x:c r="F1995" s="23"/>
      <x:c r="H1995" s="25"/>
    </x:row>
    <x:row r="1996">
      <x:c r="D1996" s="22"/>
      <x:c r="F1996" s="23"/>
      <x:c r="H1996" s="25"/>
    </x:row>
    <x:row r="1997">
      <x:c r="D1997" s="22"/>
      <x:c r="F1997" s="23"/>
      <x:c r="H1997" s="25"/>
    </x:row>
    <x:row r="1998">
      <x:c r="D1998" s="22"/>
      <x:c r="F1998" s="23"/>
      <x:c r="H1998" s="25"/>
    </x:row>
    <x:row r="1999">
      <x:c r="D1999" s="22"/>
      <x:c r="F1999" s="23"/>
      <x:c r="H1999" s="25"/>
    </x:row>
    <x:row r="2000">
      <x:c r="D2000" s="22"/>
      <x:c r="F2000" s="23"/>
      <x:c r="H2000" s="25"/>
    </x:row>
    <x:row r="2001">
      <x:c r="D2001" s="22"/>
      <x:c r="F2001" s="23"/>
      <x:c r="H2001" s="25"/>
    </x:row>
    <x:row r="2002">
      <x:c r="D2002" s="22"/>
      <x:c r="F2002" s="23"/>
      <x:c r="H2002" s="25"/>
    </x:row>
    <x:row r="2003">
      <x:c r="D2003" s="22"/>
      <x:c r="F2003" s="23"/>
      <x:c r="H2003" s="25"/>
    </x:row>
    <x:row r="2004">
      <x:c r="D2004" s="22"/>
      <x:c r="F2004" s="23"/>
      <x:c r="H2004" s="25"/>
    </x:row>
  </x:sheetData>
  <x:dataValidations count="1">
    <x:dataValidation type="list" sqref="B5:B2004">
      <x:formula1>"MPS,PPS,Exact"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22" hidden="0" customWidth="1"/>
    <x:col min="12" max="12" width="14" hidden="0" customWidth="1"/>
    <x:col min="13" max="13" width="14" hidden="0" customWidth="1"/>
    <x:col min="14" max="14" width="17" hidden="0" customWidth="1"/>
    <x:col min="15" max="15" width="17" hidden="0" customWidth="1"/>
    <x:col min="16" max="16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Job 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1" t="str">
        <x:v>One row per submitted job. Record credits once, even if the job returns many qubits.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28" customHeight="1">
      <x:c r="A4" s="19" t="str">
        <x:v>Job ID</x:v>
      </x:c>
      <x:c r="B4" s="19" t="str">
        <x:v>Job key</x:v>
      </x:c>
      <x:c r="C4" s="19" t="str">
        <x:v>Qubits covered</x:v>
      </x:c>
      <x:c r="D4" s="19" t="str">
        <x:v>Method</x:v>
      </x:c>
      <x:c r="E4" s="19" t="str">
        <x:v>Device</x:v>
      </x:c>
      <x:c r="F4" s="19" t="str">
        <x:v>MPS χ</x:v>
      </x:c>
      <x:c r="G4" s="19" t="str">
        <x:v>PPS ε</x:v>
      </x:c>
      <x:c r="H4" s="19" t="str">
        <x:v>Transpile</x:v>
      </x:c>
      <x:c r="I4" s="19" t="str">
        <x:v>Status</x:v>
      </x:c>
      <x:c r="J4" s="19" t="str">
        <x:v>Started UTC</x:v>
      </x:c>
      <x:c r="K4" s="19" t="str">
        <x:v>Finished UTC</x:v>
      </x:c>
      <x:c r="L4" s="19" t="str">
        <x:v>Wall s</x:v>
      </x:c>
      <x:c r="M4" s="19" t="str">
        <x:v>Credits</x:v>
      </x:c>
      <x:c r="N4" s="19" t="str">
        <x:v>SDK version</x:v>
      </x:c>
      <x:c r="O4" s="19" t="str">
        <x:v>Kit version</x:v>
      </x:c>
      <x:c r="P4" s="19" t="str">
        <x:v>Error</x:v>
      </x:c>
    </x:row>
    <x:row r="5">
      <x:c r="A5" s="6"/>
      <x:c r="B5" s="6"/>
      <x:c r="C5" s="6"/>
      <x:c r="D5" s="6"/>
      <x:c r="E5" s="6"/>
      <x:c r="F5" s="6"/>
      <x:c r="G5" s="12"/>
      <x:c r="H5" s="6"/>
      <x:c r="I5" s="6"/>
      <x:c r="J5" s="24"/>
      <x:c r="K5" s="24"/>
      <x:c r="L5" s="8"/>
      <x:c r="M5" s="8"/>
      <x:c r="N5" s="6"/>
      <x:c r="O5" s="6"/>
      <x:c r="P5" s="6"/>
    </x:row>
    <x:row r="6">
      <x:c r="A6" s="6"/>
      <x:c r="B6" s="6"/>
      <x:c r="C6" s="6"/>
      <x:c r="D6" s="6"/>
      <x:c r="E6" s="6"/>
      <x:c r="F6" s="6"/>
      <x:c r="G6" s="12"/>
      <x:c r="H6" s="6"/>
      <x:c r="I6" s="6"/>
      <x:c r="J6" s="24"/>
      <x:c r="K6" s="24"/>
      <x:c r="L6" s="8"/>
      <x:c r="M6" s="8"/>
      <x:c r="N6" s="6"/>
      <x:c r="O6" s="6"/>
      <x:c r="P6" s="6"/>
    </x:row>
    <x:row r="7">
      <x:c r="A7" s="6"/>
      <x:c r="B7" s="6"/>
      <x:c r="C7" s="6"/>
      <x:c r="D7" s="6"/>
      <x:c r="E7" s="6"/>
      <x:c r="F7" s="6"/>
      <x:c r="G7" s="12"/>
      <x:c r="H7" s="6"/>
      <x:c r="I7" s="6"/>
      <x:c r="J7" s="24"/>
      <x:c r="K7" s="24"/>
      <x:c r="L7" s="8"/>
      <x:c r="M7" s="8"/>
      <x:c r="N7" s="6"/>
      <x:c r="O7" s="6"/>
      <x:c r="P7" s="6"/>
    </x:row>
    <x:row r="8">
      <x:c r="A8" s="6"/>
      <x:c r="B8" s="6"/>
      <x:c r="C8" s="6"/>
      <x:c r="D8" s="6"/>
      <x:c r="E8" s="6"/>
      <x:c r="F8" s="6"/>
      <x:c r="G8" s="12"/>
      <x:c r="H8" s="6"/>
      <x:c r="I8" s="6"/>
      <x:c r="J8" s="24"/>
      <x:c r="K8" s="24"/>
      <x:c r="L8" s="8"/>
      <x:c r="M8" s="8"/>
      <x:c r="N8" s="6"/>
      <x:c r="O8" s="6"/>
      <x:c r="P8" s="6"/>
    </x:row>
    <x:row r="9">
      <x:c r="A9" s="6"/>
      <x:c r="B9" s="6"/>
      <x:c r="C9" s="6"/>
      <x:c r="D9" s="6"/>
      <x:c r="E9" s="6"/>
      <x:c r="F9" s="6"/>
      <x:c r="G9" s="12"/>
      <x:c r="H9" s="6"/>
      <x:c r="I9" s="6"/>
      <x:c r="J9" s="24"/>
      <x:c r="K9" s="24"/>
      <x:c r="L9" s="8"/>
      <x:c r="M9" s="8"/>
      <x:c r="N9" s="6"/>
      <x:c r="O9" s="6"/>
      <x:c r="P9" s="6"/>
    </x:row>
    <x:row r="10">
      <x:c r="A10" s="6"/>
      <x:c r="B10" s="6"/>
      <x:c r="C10" s="6"/>
      <x:c r="D10" s="6"/>
      <x:c r="E10" s="6"/>
      <x:c r="F10" s="6"/>
      <x:c r="G10" s="12"/>
      <x:c r="H10" s="6"/>
      <x:c r="I10" s="6"/>
      <x:c r="J10" s="24"/>
      <x:c r="K10" s="24"/>
      <x:c r="L10" s="8"/>
      <x:c r="M10" s="8"/>
      <x:c r="N10" s="6"/>
      <x:c r="O10" s="6"/>
      <x:c r="P10" s="6"/>
    </x:row>
    <x:row r="11">
      <x:c r="A11" s="6"/>
      <x:c r="B11" s="6"/>
      <x:c r="C11" s="6"/>
      <x:c r="D11" s="6"/>
      <x:c r="E11" s="6"/>
      <x:c r="F11" s="6"/>
      <x:c r="G11" s="12"/>
      <x:c r="H11" s="6"/>
      <x:c r="I11" s="6"/>
      <x:c r="J11" s="24"/>
      <x:c r="K11" s="24"/>
      <x:c r="L11" s="8"/>
      <x:c r="M11" s="8"/>
      <x:c r="N11" s="6"/>
      <x:c r="O11" s="6"/>
      <x:c r="P11" s="6"/>
    </x:row>
    <x:row r="12">
      <x:c r="A12" s="6"/>
      <x:c r="B12" s="6"/>
      <x:c r="C12" s="6"/>
      <x:c r="D12" s="6"/>
      <x:c r="E12" s="6"/>
      <x:c r="F12" s="6"/>
      <x:c r="G12" s="12"/>
      <x:c r="H12" s="6"/>
      <x:c r="I12" s="6"/>
      <x:c r="J12" s="24"/>
      <x:c r="K12" s="24"/>
      <x:c r="L12" s="8"/>
      <x:c r="M12" s="8"/>
      <x:c r="N12" s="6"/>
      <x:c r="O12" s="6"/>
      <x:c r="P12" s="6"/>
    </x:row>
    <x:row r="13">
      <x:c r="A13" s="6"/>
      <x:c r="B13" s="6"/>
      <x:c r="C13" s="6"/>
      <x:c r="D13" s="6"/>
      <x:c r="E13" s="6"/>
      <x:c r="F13" s="6"/>
      <x:c r="G13" s="12"/>
      <x:c r="H13" s="6"/>
      <x:c r="I13" s="6"/>
      <x:c r="J13" s="24"/>
      <x:c r="K13" s="24"/>
      <x:c r="L13" s="8"/>
      <x:c r="M13" s="8"/>
      <x:c r="N13" s="6"/>
      <x:c r="O13" s="6"/>
      <x:c r="P13" s="6"/>
    </x:row>
    <x:row r="14">
      <x:c r="A14" s="6"/>
      <x:c r="B14" s="6"/>
      <x:c r="C14" s="6"/>
      <x:c r="D14" s="6"/>
      <x:c r="E14" s="6"/>
      <x:c r="F14" s="6"/>
      <x:c r="G14" s="12"/>
      <x:c r="H14" s="6"/>
      <x:c r="I14" s="6"/>
      <x:c r="J14" s="24"/>
      <x:c r="K14" s="24"/>
      <x:c r="L14" s="8"/>
      <x:c r="M14" s="8"/>
      <x:c r="N14" s="6"/>
      <x:c r="O14" s="6"/>
      <x:c r="P14" s="6"/>
    </x:row>
    <x:row r="15">
      <x:c r="A15" s="6"/>
      <x:c r="B15" s="6"/>
      <x:c r="C15" s="6"/>
      <x:c r="D15" s="6"/>
      <x:c r="E15" s="6"/>
      <x:c r="F15" s="6"/>
      <x:c r="G15" s="12"/>
      <x:c r="H15" s="6"/>
      <x:c r="I15" s="6"/>
      <x:c r="J15" s="24"/>
      <x:c r="K15" s="24"/>
      <x:c r="L15" s="8"/>
      <x:c r="M15" s="8"/>
      <x:c r="N15" s="6"/>
      <x:c r="O15" s="6"/>
      <x:c r="P15" s="6"/>
    </x:row>
    <x:row r="16">
      <x:c r="A16" s="6"/>
      <x:c r="B16" s="6"/>
      <x:c r="C16" s="6"/>
      <x:c r="D16" s="6"/>
      <x:c r="E16" s="6"/>
      <x:c r="F16" s="6"/>
      <x:c r="G16" s="12"/>
      <x:c r="H16" s="6"/>
      <x:c r="I16" s="6"/>
      <x:c r="J16" s="24"/>
      <x:c r="K16" s="24"/>
      <x:c r="L16" s="8"/>
      <x:c r="M16" s="8"/>
      <x:c r="N16" s="6"/>
      <x:c r="O16" s="6"/>
      <x:c r="P16" s="6"/>
    </x:row>
    <x:row r="17">
      <x:c r="A17" s="6"/>
      <x:c r="B17" s="6"/>
      <x:c r="C17" s="6"/>
      <x:c r="D17" s="6"/>
      <x:c r="E17" s="6"/>
      <x:c r="F17" s="6"/>
      <x:c r="G17" s="12"/>
      <x:c r="H17" s="6"/>
      <x:c r="I17" s="6"/>
      <x:c r="J17" s="24"/>
      <x:c r="K17" s="24"/>
      <x:c r="L17" s="8"/>
      <x:c r="M17" s="8"/>
      <x:c r="N17" s="6"/>
      <x:c r="O17" s="6"/>
      <x:c r="P17" s="6"/>
    </x:row>
    <x:row r="18">
      <x:c r="A18" s="6"/>
      <x:c r="B18" s="6"/>
      <x:c r="C18" s="6"/>
      <x:c r="D18" s="6"/>
      <x:c r="E18" s="6"/>
      <x:c r="F18" s="6"/>
      <x:c r="G18" s="12"/>
      <x:c r="H18" s="6"/>
      <x:c r="I18" s="6"/>
      <x:c r="J18" s="24"/>
      <x:c r="K18" s="24"/>
      <x:c r="L18" s="8"/>
      <x:c r="M18" s="8"/>
      <x:c r="N18" s="6"/>
      <x:c r="O18" s="6"/>
      <x:c r="P18" s="6"/>
    </x:row>
    <x:row r="19">
      <x:c r="A19" s="6"/>
      <x:c r="B19" s="6"/>
      <x:c r="C19" s="6"/>
      <x:c r="D19" s="6"/>
      <x:c r="E19" s="6"/>
      <x:c r="F19" s="6"/>
      <x:c r="G19" s="12"/>
      <x:c r="H19" s="6"/>
      <x:c r="I19" s="6"/>
      <x:c r="J19" s="24"/>
      <x:c r="K19" s="24"/>
      <x:c r="L19" s="8"/>
      <x:c r="M19" s="8"/>
      <x:c r="N19" s="6"/>
      <x:c r="O19" s="6"/>
      <x:c r="P19" s="6"/>
    </x:row>
    <x:row r="20">
      <x:c r="A20" s="6"/>
      <x:c r="B20" s="6"/>
      <x:c r="C20" s="6"/>
      <x:c r="D20" s="6"/>
      <x:c r="E20" s="6"/>
      <x:c r="F20" s="6"/>
      <x:c r="G20" s="12"/>
      <x:c r="H20" s="6"/>
      <x:c r="I20" s="6"/>
      <x:c r="J20" s="24"/>
      <x:c r="K20" s="24"/>
      <x:c r="L20" s="8"/>
      <x:c r="M20" s="8"/>
      <x:c r="N20" s="6"/>
      <x:c r="O20" s="6"/>
      <x:c r="P20" s="6"/>
    </x:row>
    <x:row r="21">
      <x:c r="G21" s="22"/>
      <x:c r="J21" s="25"/>
      <x:c r="K21" s="25"/>
      <x:c r="L21" s="26"/>
      <x:c r="M21" s="26"/>
    </x:row>
    <x:row r="22">
      <x:c r="G22" s="22"/>
      <x:c r="J22" s="25"/>
      <x:c r="K22" s="25"/>
      <x:c r="L22" s="26"/>
      <x:c r="M22" s="26"/>
    </x:row>
    <x:row r="23">
      <x:c r="G23" s="22"/>
      <x:c r="J23" s="25"/>
      <x:c r="K23" s="25"/>
      <x:c r="L23" s="26"/>
      <x:c r="M23" s="26"/>
    </x:row>
    <x:row r="24">
      <x:c r="G24" s="22"/>
      <x:c r="J24" s="25"/>
      <x:c r="K24" s="25"/>
      <x:c r="L24" s="26"/>
      <x:c r="M24" s="26"/>
    </x:row>
    <x:row r="25">
      <x:c r="G25" s="22"/>
      <x:c r="J25" s="25"/>
      <x:c r="K25" s="25"/>
      <x:c r="L25" s="26"/>
      <x:c r="M25" s="26"/>
    </x:row>
    <x:row r="26">
      <x:c r="G26" s="22"/>
      <x:c r="J26" s="25"/>
      <x:c r="K26" s="25"/>
      <x:c r="L26" s="26"/>
      <x:c r="M26" s="26"/>
    </x:row>
    <x:row r="27">
      <x:c r="G27" s="22"/>
      <x:c r="J27" s="25"/>
      <x:c r="K27" s="25"/>
      <x:c r="L27" s="26"/>
      <x:c r="M27" s="26"/>
    </x:row>
    <x:row r="28">
      <x:c r="G28" s="22"/>
      <x:c r="J28" s="25"/>
      <x:c r="K28" s="25"/>
      <x:c r="L28" s="26"/>
      <x:c r="M28" s="26"/>
    </x:row>
    <x:row r="29">
      <x:c r="G29" s="22"/>
      <x:c r="J29" s="25"/>
      <x:c r="K29" s="25"/>
      <x:c r="L29" s="26"/>
      <x:c r="M29" s="26"/>
    </x:row>
    <x:row r="30">
      <x:c r="G30" s="22"/>
      <x:c r="J30" s="25"/>
      <x:c r="K30" s="25"/>
      <x:c r="L30" s="26"/>
      <x:c r="M30" s="26"/>
    </x:row>
    <x:row r="31">
      <x:c r="G31" s="22"/>
      <x:c r="J31" s="25"/>
      <x:c r="K31" s="25"/>
      <x:c r="L31" s="26"/>
      <x:c r="M31" s="26"/>
    </x:row>
    <x:row r="32">
      <x:c r="G32" s="22"/>
      <x:c r="J32" s="25"/>
      <x:c r="K32" s="25"/>
      <x:c r="L32" s="26"/>
      <x:c r="M32" s="26"/>
    </x:row>
    <x:row r="33">
      <x:c r="G33" s="22"/>
      <x:c r="J33" s="25"/>
      <x:c r="K33" s="25"/>
      <x:c r="L33" s="26"/>
      <x:c r="M33" s="26"/>
    </x:row>
    <x:row r="34">
      <x:c r="G34" s="22"/>
      <x:c r="J34" s="25"/>
      <x:c r="K34" s="25"/>
      <x:c r="L34" s="26"/>
      <x:c r="M34" s="26"/>
    </x:row>
    <x:row r="35">
      <x:c r="G35" s="22"/>
      <x:c r="J35" s="25"/>
      <x:c r="K35" s="25"/>
      <x:c r="L35" s="26"/>
      <x:c r="M35" s="26"/>
    </x:row>
    <x:row r="36">
      <x:c r="G36" s="22"/>
      <x:c r="J36" s="25"/>
      <x:c r="K36" s="25"/>
      <x:c r="L36" s="26"/>
      <x:c r="M36" s="26"/>
    </x:row>
    <x:row r="37">
      <x:c r="G37" s="22"/>
      <x:c r="J37" s="25"/>
      <x:c r="K37" s="25"/>
      <x:c r="L37" s="26"/>
      <x:c r="M37" s="26"/>
    </x:row>
    <x:row r="38">
      <x:c r="G38" s="22"/>
      <x:c r="J38" s="25"/>
      <x:c r="K38" s="25"/>
      <x:c r="L38" s="26"/>
      <x:c r="M38" s="26"/>
    </x:row>
    <x:row r="39">
      <x:c r="G39" s="22"/>
      <x:c r="J39" s="25"/>
      <x:c r="K39" s="25"/>
      <x:c r="L39" s="26"/>
      <x:c r="M39" s="26"/>
    </x:row>
    <x:row r="40">
      <x:c r="G40" s="22"/>
      <x:c r="J40" s="25"/>
      <x:c r="K40" s="25"/>
      <x:c r="L40" s="26"/>
      <x:c r="M40" s="26"/>
    </x:row>
    <x:row r="41">
      <x:c r="G41" s="22"/>
      <x:c r="J41" s="25"/>
      <x:c r="K41" s="25"/>
      <x:c r="L41" s="26"/>
      <x:c r="M41" s="26"/>
    </x:row>
    <x:row r="42">
      <x:c r="G42" s="22"/>
      <x:c r="J42" s="25"/>
      <x:c r="K42" s="25"/>
      <x:c r="L42" s="26"/>
      <x:c r="M42" s="26"/>
    </x:row>
    <x:row r="43">
      <x:c r="G43" s="22"/>
      <x:c r="J43" s="25"/>
      <x:c r="K43" s="25"/>
      <x:c r="L43" s="26"/>
      <x:c r="M43" s="26"/>
    </x:row>
    <x:row r="44">
      <x:c r="G44" s="22"/>
      <x:c r="J44" s="25"/>
      <x:c r="K44" s="25"/>
      <x:c r="L44" s="26"/>
      <x:c r="M44" s="26"/>
    </x:row>
    <x:row r="45">
      <x:c r="G45" s="22"/>
      <x:c r="J45" s="25"/>
      <x:c r="K45" s="25"/>
      <x:c r="L45" s="26"/>
      <x:c r="M45" s="26"/>
    </x:row>
    <x:row r="46">
      <x:c r="G46" s="22"/>
      <x:c r="J46" s="25"/>
      <x:c r="K46" s="25"/>
      <x:c r="L46" s="26"/>
      <x:c r="M46" s="26"/>
    </x:row>
    <x:row r="47">
      <x:c r="G47" s="22"/>
      <x:c r="J47" s="25"/>
      <x:c r="K47" s="25"/>
      <x:c r="L47" s="26"/>
      <x:c r="M47" s="26"/>
    </x:row>
    <x:row r="48">
      <x:c r="G48" s="22"/>
      <x:c r="J48" s="25"/>
      <x:c r="K48" s="25"/>
      <x:c r="L48" s="26"/>
      <x:c r="M48" s="26"/>
    </x:row>
    <x:row r="49">
      <x:c r="G49" s="22"/>
      <x:c r="J49" s="25"/>
      <x:c r="K49" s="25"/>
      <x:c r="L49" s="26"/>
      <x:c r="M49" s="26"/>
    </x:row>
    <x:row r="50">
      <x:c r="G50" s="22"/>
      <x:c r="J50" s="25"/>
      <x:c r="K50" s="25"/>
      <x:c r="L50" s="26"/>
      <x:c r="M50" s="26"/>
    </x:row>
    <x:row r="51">
      <x:c r="G51" s="22"/>
      <x:c r="J51" s="25"/>
      <x:c r="K51" s="25"/>
      <x:c r="L51" s="26"/>
      <x:c r="M51" s="26"/>
    </x:row>
    <x:row r="52">
      <x:c r="G52" s="22"/>
      <x:c r="J52" s="25"/>
      <x:c r="K52" s="25"/>
      <x:c r="L52" s="26"/>
      <x:c r="M52" s="26"/>
    </x:row>
    <x:row r="53">
      <x:c r="G53" s="22"/>
      <x:c r="J53" s="25"/>
      <x:c r="K53" s="25"/>
      <x:c r="L53" s="26"/>
      <x:c r="M53" s="26"/>
    </x:row>
    <x:row r="54">
      <x:c r="G54" s="22"/>
      <x:c r="J54" s="25"/>
      <x:c r="K54" s="25"/>
      <x:c r="L54" s="26"/>
      <x:c r="M54" s="26"/>
    </x:row>
    <x:row r="55">
      <x:c r="G55" s="22"/>
      <x:c r="J55" s="25"/>
      <x:c r="K55" s="25"/>
      <x:c r="L55" s="26"/>
      <x:c r="M55" s="26"/>
    </x:row>
    <x:row r="56">
      <x:c r="G56" s="22"/>
      <x:c r="J56" s="25"/>
      <x:c r="K56" s="25"/>
      <x:c r="L56" s="26"/>
      <x:c r="M56" s="26"/>
    </x:row>
    <x:row r="57">
      <x:c r="G57" s="22"/>
      <x:c r="J57" s="25"/>
      <x:c r="K57" s="25"/>
      <x:c r="L57" s="26"/>
      <x:c r="M57" s="26"/>
    </x:row>
    <x:row r="58">
      <x:c r="G58" s="22"/>
      <x:c r="J58" s="25"/>
      <x:c r="K58" s="25"/>
      <x:c r="L58" s="26"/>
      <x:c r="M58" s="26"/>
    </x:row>
    <x:row r="59">
      <x:c r="G59" s="22"/>
      <x:c r="J59" s="25"/>
      <x:c r="K59" s="25"/>
      <x:c r="L59" s="26"/>
      <x:c r="M59" s="26"/>
    </x:row>
    <x:row r="60">
      <x:c r="G60" s="22"/>
      <x:c r="J60" s="25"/>
      <x:c r="K60" s="25"/>
      <x:c r="L60" s="26"/>
      <x:c r="M60" s="26"/>
    </x:row>
    <x:row r="61">
      <x:c r="G61" s="22"/>
      <x:c r="J61" s="25"/>
      <x:c r="K61" s="25"/>
      <x:c r="L61" s="26"/>
      <x:c r="M61" s="26"/>
    </x:row>
    <x:row r="62">
      <x:c r="G62" s="22"/>
      <x:c r="J62" s="25"/>
      <x:c r="K62" s="25"/>
      <x:c r="L62" s="26"/>
      <x:c r="M62" s="26"/>
    </x:row>
    <x:row r="63">
      <x:c r="G63" s="22"/>
      <x:c r="J63" s="25"/>
      <x:c r="K63" s="25"/>
      <x:c r="L63" s="26"/>
      <x:c r="M63" s="26"/>
    </x:row>
    <x:row r="64">
      <x:c r="G64" s="22"/>
      <x:c r="J64" s="25"/>
      <x:c r="K64" s="25"/>
      <x:c r="L64" s="26"/>
      <x:c r="M64" s="26"/>
    </x:row>
    <x:row r="65">
      <x:c r="G65" s="22"/>
      <x:c r="J65" s="25"/>
      <x:c r="K65" s="25"/>
      <x:c r="L65" s="26"/>
      <x:c r="M65" s="26"/>
    </x:row>
    <x:row r="66">
      <x:c r="G66" s="22"/>
      <x:c r="J66" s="25"/>
      <x:c r="K66" s="25"/>
      <x:c r="L66" s="26"/>
      <x:c r="M66" s="26"/>
    </x:row>
    <x:row r="67">
      <x:c r="G67" s="22"/>
      <x:c r="J67" s="25"/>
      <x:c r="K67" s="25"/>
      <x:c r="L67" s="26"/>
      <x:c r="M67" s="26"/>
    </x:row>
    <x:row r="68">
      <x:c r="G68" s="22"/>
      <x:c r="J68" s="25"/>
      <x:c r="K68" s="25"/>
      <x:c r="L68" s="26"/>
      <x:c r="M68" s="26"/>
    </x:row>
    <x:row r="69">
      <x:c r="G69" s="22"/>
      <x:c r="J69" s="25"/>
      <x:c r="K69" s="25"/>
      <x:c r="L69" s="26"/>
      <x:c r="M69" s="26"/>
    </x:row>
    <x:row r="70">
      <x:c r="G70" s="22"/>
      <x:c r="J70" s="25"/>
      <x:c r="K70" s="25"/>
      <x:c r="L70" s="26"/>
      <x:c r="M70" s="26"/>
    </x:row>
    <x:row r="71">
      <x:c r="G71" s="22"/>
      <x:c r="J71" s="25"/>
      <x:c r="K71" s="25"/>
      <x:c r="L71" s="26"/>
      <x:c r="M71" s="26"/>
    </x:row>
    <x:row r="72">
      <x:c r="G72" s="22"/>
      <x:c r="J72" s="25"/>
      <x:c r="K72" s="25"/>
      <x:c r="L72" s="26"/>
      <x:c r="M72" s="26"/>
    </x:row>
    <x:row r="73">
      <x:c r="G73" s="22"/>
      <x:c r="J73" s="25"/>
      <x:c r="K73" s="25"/>
      <x:c r="L73" s="26"/>
      <x:c r="M73" s="26"/>
    </x:row>
    <x:row r="74">
      <x:c r="G74" s="22"/>
      <x:c r="J74" s="25"/>
      <x:c r="K74" s="25"/>
      <x:c r="L74" s="26"/>
      <x:c r="M74" s="26"/>
    </x:row>
    <x:row r="75">
      <x:c r="G75" s="22"/>
      <x:c r="J75" s="25"/>
      <x:c r="K75" s="25"/>
      <x:c r="L75" s="26"/>
      <x:c r="M75" s="26"/>
    </x:row>
    <x:row r="76">
      <x:c r="G76" s="22"/>
      <x:c r="J76" s="25"/>
      <x:c r="K76" s="25"/>
      <x:c r="L76" s="26"/>
      <x:c r="M76" s="26"/>
    </x:row>
    <x:row r="77">
      <x:c r="G77" s="22"/>
      <x:c r="J77" s="25"/>
      <x:c r="K77" s="25"/>
      <x:c r="L77" s="26"/>
      <x:c r="M77" s="26"/>
    </x:row>
    <x:row r="78">
      <x:c r="G78" s="22"/>
      <x:c r="J78" s="25"/>
      <x:c r="K78" s="25"/>
      <x:c r="L78" s="26"/>
      <x:c r="M78" s="26"/>
    </x:row>
    <x:row r="79">
      <x:c r="G79" s="22"/>
      <x:c r="J79" s="25"/>
      <x:c r="K79" s="25"/>
      <x:c r="L79" s="26"/>
      <x:c r="M79" s="26"/>
    </x:row>
    <x:row r="80">
      <x:c r="G80" s="22"/>
      <x:c r="J80" s="25"/>
      <x:c r="K80" s="25"/>
      <x:c r="L80" s="26"/>
      <x:c r="M80" s="26"/>
    </x:row>
    <x:row r="81">
      <x:c r="G81" s="22"/>
      <x:c r="J81" s="25"/>
      <x:c r="K81" s="25"/>
      <x:c r="L81" s="26"/>
      <x:c r="M81" s="26"/>
    </x:row>
    <x:row r="82">
      <x:c r="G82" s="22"/>
      <x:c r="J82" s="25"/>
      <x:c r="K82" s="25"/>
      <x:c r="L82" s="26"/>
      <x:c r="M82" s="26"/>
    </x:row>
    <x:row r="83">
      <x:c r="G83" s="22"/>
      <x:c r="J83" s="25"/>
      <x:c r="K83" s="25"/>
      <x:c r="L83" s="26"/>
      <x:c r="M83" s="26"/>
    </x:row>
    <x:row r="84">
      <x:c r="G84" s="22"/>
      <x:c r="J84" s="25"/>
      <x:c r="K84" s="25"/>
      <x:c r="L84" s="26"/>
      <x:c r="M84" s="26"/>
    </x:row>
    <x:row r="85">
      <x:c r="G85" s="22"/>
      <x:c r="J85" s="25"/>
      <x:c r="K85" s="25"/>
      <x:c r="L85" s="26"/>
      <x:c r="M85" s="26"/>
    </x:row>
    <x:row r="86">
      <x:c r="G86" s="22"/>
      <x:c r="J86" s="25"/>
      <x:c r="K86" s="25"/>
      <x:c r="L86" s="26"/>
      <x:c r="M86" s="26"/>
    </x:row>
    <x:row r="87">
      <x:c r="G87" s="22"/>
      <x:c r="J87" s="25"/>
      <x:c r="K87" s="25"/>
      <x:c r="L87" s="26"/>
      <x:c r="M87" s="26"/>
    </x:row>
    <x:row r="88">
      <x:c r="G88" s="22"/>
      <x:c r="J88" s="25"/>
      <x:c r="K88" s="25"/>
      <x:c r="L88" s="26"/>
      <x:c r="M88" s="26"/>
    </x:row>
    <x:row r="89">
      <x:c r="G89" s="22"/>
      <x:c r="J89" s="25"/>
      <x:c r="K89" s="25"/>
      <x:c r="L89" s="26"/>
      <x:c r="M89" s="26"/>
    </x:row>
    <x:row r="90">
      <x:c r="G90" s="22"/>
      <x:c r="J90" s="25"/>
      <x:c r="K90" s="25"/>
      <x:c r="L90" s="26"/>
      <x:c r="M90" s="26"/>
    </x:row>
    <x:row r="91">
      <x:c r="G91" s="22"/>
      <x:c r="J91" s="25"/>
      <x:c r="K91" s="25"/>
      <x:c r="L91" s="26"/>
      <x:c r="M91" s="26"/>
    </x:row>
    <x:row r="92">
      <x:c r="G92" s="22"/>
      <x:c r="J92" s="25"/>
      <x:c r="K92" s="25"/>
      <x:c r="L92" s="26"/>
      <x:c r="M92" s="26"/>
    </x:row>
    <x:row r="93">
      <x:c r="G93" s="22"/>
      <x:c r="J93" s="25"/>
      <x:c r="K93" s="25"/>
      <x:c r="L93" s="26"/>
      <x:c r="M93" s="26"/>
    </x:row>
    <x:row r="94">
      <x:c r="G94" s="22"/>
      <x:c r="J94" s="25"/>
      <x:c r="K94" s="25"/>
      <x:c r="L94" s="26"/>
      <x:c r="M94" s="26"/>
    </x:row>
    <x:row r="95">
      <x:c r="G95" s="22"/>
      <x:c r="J95" s="25"/>
      <x:c r="K95" s="25"/>
      <x:c r="L95" s="26"/>
      <x:c r="M95" s="26"/>
    </x:row>
    <x:row r="96">
      <x:c r="G96" s="22"/>
      <x:c r="J96" s="25"/>
      <x:c r="K96" s="25"/>
      <x:c r="L96" s="26"/>
      <x:c r="M96" s="26"/>
    </x:row>
    <x:row r="97">
      <x:c r="G97" s="22"/>
      <x:c r="J97" s="25"/>
      <x:c r="K97" s="25"/>
      <x:c r="L97" s="26"/>
      <x:c r="M97" s="26"/>
    </x:row>
    <x:row r="98">
      <x:c r="G98" s="22"/>
      <x:c r="J98" s="25"/>
      <x:c r="K98" s="25"/>
      <x:c r="L98" s="26"/>
      <x:c r="M98" s="26"/>
    </x:row>
    <x:row r="99">
      <x:c r="G99" s="22"/>
      <x:c r="J99" s="25"/>
      <x:c r="K99" s="25"/>
      <x:c r="L99" s="26"/>
      <x:c r="M99" s="26"/>
    </x:row>
    <x:row r="100">
      <x:c r="G100" s="22"/>
      <x:c r="J100" s="25"/>
      <x:c r="K100" s="25"/>
      <x:c r="L100" s="26"/>
      <x:c r="M100" s="26"/>
    </x:row>
    <x:row r="101">
      <x:c r="G101" s="22"/>
      <x:c r="J101" s="25"/>
      <x:c r="K101" s="25"/>
      <x:c r="L101" s="26"/>
      <x:c r="M101" s="26"/>
    </x:row>
    <x:row r="102">
      <x:c r="G102" s="22"/>
      <x:c r="J102" s="25"/>
      <x:c r="K102" s="25"/>
      <x:c r="L102" s="26"/>
      <x:c r="M102" s="26"/>
    </x:row>
    <x:row r="103">
      <x:c r="G103" s="22"/>
      <x:c r="J103" s="25"/>
      <x:c r="K103" s="25"/>
      <x:c r="L103" s="26"/>
      <x:c r="M103" s="26"/>
    </x:row>
    <x:row r="104">
      <x:c r="G104" s="22"/>
      <x:c r="J104" s="25"/>
      <x:c r="K104" s="25"/>
      <x:c r="L104" s="26"/>
      <x:c r="M104" s="26"/>
    </x:row>
    <x:row r="105">
      <x:c r="G105" s="22"/>
      <x:c r="J105" s="25"/>
      <x:c r="K105" s="25"/>
      <x:c r="L105" s="26"/>
      <x:c r="M105" s="26"/>
    </x:row>
    <x:row r="106">
      <x:c r="G106" s="22"/>
      <x:c r="J106" s="25"/>
      <x:c r="K106" s="25"/>
      <x:c r="L106" s="26"/>
      <x:c r="M106" s="26"/>
    </x:row>
    <x:row r="107">
      <x:c r="G107" s="22"/>
      <x:c r="J107" s="25"/>
      <x:c r="K107" s="25"/>
      <x:c r="L107" s="26"/>
      <x:c r="M107" s="26"/>
    </x:row>
    <x:row r="108">
      <x:c r="G108" s="22"/>
      <x:c r="J108" s="25"/>
      <x:c r="K108" s="25"/>
      <x:c r="L108" s="26"/>
      <x:c r="M108" s="26"/>
    </x:row>
    <x:row r="109">
      <x:c r="G109" s="22"/>
      <x:c r="J109" s="25"/>
      <x:c r="K109" s="25"/>
      <x:c r="L109" s="26"/>
      <x:c r="M109" s="26"/>
    </x:row>
    <x:row r="110">
      <x:c r="G110" s="22"/>
      <x:c r="J110" s="25"/>
      <x:c r="K110" s="25"/>
      <x:c r="L110" s="26"/>
      <x:c r="M110" s="26"/>
    </x:row>
    <x:row r="111">
      <x:c r="G111" s="22"/>
      <x:c r="J111" s="25"/>
      <x:c r="K111" s="25"/>
      <x:c r="L111" s="26"/>
      <x:c r="M111" s="26"/>
    </x:row>
    <x:row r="112">
      <x:c r="G112" s="22"/>
      <x:c r="J112" s="25"/>
      <x:c r="K112" s="25"/>
      <x:c r="L112" s="26"/>
      <x:c r="M112" s="26"/>
    </x:row>
    <x:row r="113">
      <x:c r="G113" s="22"/>
      <x:c r="J113" s="25"/>
      <x:c r="K113" s="25"/>
      <x:c r="L113" s="26"/>
      <x:c r="M113" s="26"/>
    </x:row>
    <x:row r="114">
      <x:c r="G114" s="22"/>
      <x:c r="J114" s="25"/>
      <x:c r="K114" s="25"/>
      <x:c r="L114" s="26"/>
      <x:c r="M114" s="26"/>
    </x:row>
    <x:row r="115">
      <x:c r="G115" s="22"/>
      <x:c r="J115" s="25"/>
      <x:c r="K115" s="25"/>
      <x:c r="L115" s="26"/>
      <x:c r="M115" s="26"/>
    </x:row>
    <x:row r="116">
      <x:c r="G116" s="22"/>
      <x:c r="J116" s="25"/>
      <x:c r="K116" s="25"/>
      <x:c r="L116" s="26"/>
      <x:c r="M116" s="26"/>
    </x:row>
    <x:row r="117">
      <x:c r="G117" s="22"/>
      <x:c r="J117" s="25"/>
      <x:c r="K117" s="25"/>
      <x:c r="L117" s="26"/>
      <x:c r="M117" s="26"/>
    </x:row>
    <x:row r="118">
      <x:c r="G118" s="22"/>
      <x:c r="J118" s="25"/>
      <x:c r="K118" s="25"/>
      <x:c r="L118" s="26"/>
      <x:c r="M118" s="26"/>
    </x:row>
    <x:row r="119">
      <x:c r="G119" s="22"/>
      <x:c r="J119" s="25"/>
      <x:c r="K119" s="25"/>
      <x:c r="L119" s="26"/>
      <x:c r="M119" s="26"/>
    </x:row>
    <x:row r="120">
      <x:c r="G120" s="22"/>
      <x:c r="J120" s="25"/>
      <x:c r="K120" s="25"/>
      <x:c r="L120" s="26"/>
      <x:c r="M120" s="26"/>
    </x:row>
    <x:row r="121">
      <x:c r="G121" s="22"/>
      <x:c r="J121" s="25"/>
      <x:c r="K121" s="25"/>
      <x:c r="L121" s="26"/>
      <x:c r="M121" s="26"/>
    </x:row>
    <x:row r="122">
      <x:c r="G122" s="22"/>
      <x:c r="J122" s="25"/>
      <x:c r="K122" s="25"/>
      <x:c r="L122" s="26"/>
      <x:c r="M122" s="26"/>
    </x:row>
    <x:row r="123">
      <x:c r="G123" s="22"/>
      <x:c r="J123" s="25"/>
      <x:c r="K123" s="25"/>
      <x:c r="L123" s="26"/>
      <x:c r="M123" s="26"/>
    </x:row>
    <x:row r="124">
      <x:c r="G124" s="22"/>
      <x:c r="J124" s="25"/>
      <x:c r="K124" s="25"/>
      <x:c r="L124" s="26"/>
      <x:c r="M124" s="26"/>
    </x:row>
    <x:row r="125">
      <x:c r="G125" s="22"/>
      <x:c r="J125" s="25"/>
      <x:c r="K125" s="25"/>
      <x:c r="L125" s="26"/>
      <x:c r="M125" s="26"/>
    </x:row>
    <x:row r="126">
      <x:c r="G126" s="22"/>
      <x:c r="J126" s="25"/>
      <x:c r="K126" s="25"/>
      <x:c r="L126" s="26"/>
      <x:c r="M126" s="26"/>
    </x:row>
    <x:row r="127">
      <x:c r="G127" s="22"/>
      <x:c r="J127" s="25"/>
      <x:c r="K127" s="25"/>
      <x:c r="L127" s="26"/>
      <x:c r="M127" s="26"/>
    </x:row>
    <x:row r="128">
      <x:c r="G128" s="22"/>
      <x:c r="J128" s="25"/>
      <x:c r="K128" s="25"/>
      <x:c r="L128" s="26"/>
      <x:c r="M128" s="26"/>
    </x:row>
    <x:row r="129">
      <x:c r="G129" s="22"/>
      <x:c r="J129" s="25"/>
      <x:c r="K129" s="25"/>
      <x:c r="L129" s="26"/>
      <x:c r="M129" s="26"/>
    </x:row>
    <x:row r="130">
      <x:c r="G130" s="22"/>
      <x:c r="J130" s="25"/>
      <x:c r="K130" s="25"/>
      <x:c r="L130" s="26"/>
      <x:c r="M130" s="26"/>
    </x:row>
    <x:row r="131">
      <x:c r="G131" s="22"/>
      <x:c r="J131" s="25"/>
      <x:c r="K131" s="25"/>
      <x:c r="L131" s="26"/>
      <x:c r="M131" s="26"/>
    </x:row>
    <x:row r="132">
      <x:c r="G132" s="22"/>
      <x:c r="J132" s="25"/>
      <x:c r="K132" s="25"/>
      <x:c r="L132" s="26"/>
      <x:c r="M132" s="26"/>
    </x:row>
    <x:row r="133">
      <x:c r="G133" s="22"/>
      <x:c r="J133" s="25"/>
      <x:c r="K133" s="25"/>
      <x:c r="L133" s="26"/>
      <x:c r="M133" s="26"/>
    </x:row>
    <x:row r="134">
      <x:c r="G134" s="22"/>
      <x:c r="J134" s="25"/>
      <x:c r="K134" s="25"/>
      <x:c r="L134" s="26"/>
      <x:c r="M134" s="26"/>
    </x:row>
    <x:row r="135">
      <x:c r="G135" s="22"/>
      <x:c r="J135" s="25"/>
      <x:c r="K135" s="25"/>
      <x:c r="L135" s="26"/>
      <x:c r="M135" s="26"/>
    </x:row>
    <x:row r="136">
      <x:c r="G136" s="22"/>
      <x:c r="J136" s="25"/>
      <x:c r="K136" s="25"/>
      <x:c r="L136" s="26"/>
      <x:c r="M136" s="26"/>
    </x:row>
    <x:row r="137">
      <x:c r="G137" s="22"/>
      <x:c r="J137" s="25"/>
      <x:c r="K137" s="25"/>
      <x:c r="L137" s="26"/>
      <x:c r="M137" s="26"/>
    </x:row>
    <x:row r="138">
      <x:c r="G138" s="22"/>
      <x:c r="J138" s="25"/>
      <x:c r="K138" s="25"/>
      <x:c r="L138" s="26"/>
      <x:c r="M138" s="26"/>
    </x:row>
    <x:row r="139">
      <x:c r="G139" s="22"/>
      <x:c r="J139" s="25"/>
      <x:c r="K139" s="25"/>
      <x:c r="L139" s="26"/>
      <x:c r="M139" s="26"/>
    </x:row>
    <x:row r="140">
      <x:c r="G140" s="22"/>
      <x:c r="J140" s="25"/>
      <x:c r="K140" s="25"/>
      <x:c r="L140" s="26"/>
      <x:c r="M140" s="26"/>
    </x:row>
    <x:row r="141">
      <x:c r="G141" s="22"/>
      <x:c r="J141" s="25"/>
      <x:c r="K141" s="25"/>
      <x:c r="L141" s="26"/>
      <x:c r="M141" s="26"/>
    </x:row>
    <x:row r="142">
      <x:c r="G142" s="22"/>
      <x:c r="J142" s="25"/>
      <x:c r="K142" s="25"/>
      <x:c r="L142" s="26"/>
      <x:c r="M142" s="26"/>
    </x:row>
    <x:row r="143">
      <x:c r="G143" s="22"/>
      <x:c r="J143" s="25"/>
      <x:c r="K143" s="25"/>
      <x:c r="L143" s="26"/>
      <x:c r="M143" s="26"/>
    </x:row>
    <x:row r="144">
      <x:c r="G144" s="22"/>
      <x:c r="J144" s="25"/>
      <x:c r="K144" s="25"/>
      <x:c r="L144" s="26"/>
      <x:c r="M144" s="26"/>
    </x:row>
    <x:row r="145">
      <x:c r="G145" s="22"/>
      <x:c r="J145" s="25"/>
      <x:c r="K145" s="25"/>
      <x:c r="L145" s="26"/>
      <x:c r="M145" s="26"/>
    </x:row>
    <x:row r="146">
      <x:c r="G146" s="22"/>
      <x:c r="J146" s="25"/>
      <x:c r="K146" s="25"/>
      <x:c r="L146" s="26"/>
      <x:c r="M146" s="26"/>
    </x:row>
    <x:row r="147">
      <x:c r="G147" s="22"/>
      <x:c r="J147" s="25"/>
      <x:c r="K147" s="25"/>
      <x:c r="L147" s="26"/>
      <x:c r="M147" s="26"/>
    </x:row>
    <x:row r="148">
      <x:c r="G148" s="22"/>
      <x:c r="J148" s="25"/>
      <x:c r="K148" s="25"/>
      <x:c r="L148" s="26"/>
      <x:c r="M148" s="26"/>
    </x:row>
    <x:row r="149">
      <x:c r="G149" s="22"/>
      <x:c r="J149" s="25"/>
      <x:c r="K149" s="25"/>
      <x:c r="L149" s="26"/>
      <x:c r="M149" s="26"/>
    </x:row>
    <x:row r="150">
      <x:c r="G150" s="22"/>
      <x:c r="J150" s="25"/>
      <x:c r="K150" s="25"/>
      <x:c r="L150" s="26"/>
      <x:c r="M150" s="26"/>
    </x:row>
    <x:row r="151">
      <x:c r="G151" s="22"/>
      <x:c r="J151" s="25"/>
      <x:c r="K151" s="25"/>
      <x:c r="L151" s="26"/>
      <x:c r="M151" s="26"/>
    </x:row>
    <x:row r="152">
      <x:c r="G152" s="22"/>
      <x:c r="J152" s="25"/>
      <x:c r="K152" s="25"/>
      <x:c r="L152" s="26"/>
      <x:c r="M152" s="26"/>
    </x:row>
    <x:row r="153">
      <x:c r="G153" s="22"/>
      <x:c r="J153" s="25"/>
      <x:c r="K153" s="25"/>
      <x:c r="L153" s="26"/>
      <x:c r="M153" s="26"/>
    </x:row>
    <x:row r="154">
      <x:c r="G154" s="22"/>
      <x:c r="J154" s="25"/>
      <x:c r="K154" s="25"/>
      <x:c r="L154" s="26"/>
      <x:c r="M154" s="26"/>
    </x:row>
    <x:row r="155">
      <x:c r="G155" s="22"/>
      <x:c r="J155" s="25"/>
      <x:c r="K155" s="25"/>
      <x:c r="L155" s="26"/>
      <x:c r="M155" s="26"/>
    </x:row>
    <x:row r="156">
      <x:c r="G156" s="22"/>
      <x:c r="J156" s="25"/>
      <x:c r="K156" s="25"/>
      <x:c r="L156" s="26"/>
      <x:c r="M156" s="26"/>
    </x:row>
    <x:row r="157">
      <x:c r="G157" s="22"/>
      <x:c r="J157" s="25"/>
      <x:c r="K157" s="25"/>
      <x:c r="L157" s="26"/>
      <x:c r="M157" s="26"/>
    </x:row>
    <x:row r="158">
      <x:c r="G158" s="22"/>
      <x:c r="J158" s="25"/>
      <x:c r="K158" s="25"/>
      <x:c r="L158" s="26"/>
      <x:c r="M158" s="26"/>
    </x:row>
    <x:row r="159">
      <x:c r="G159" s="22"/>
      <x:c r="J159" s="25"/>
      <x:c r="K159" s="25"/>
      <x:c r="L159" s="26"/>
      <x:c r="M159" s="26"/>
    </x:row>
    <x:row r="160">
      <x:c r="G160" s="22"/>
      <x:c r="J160" s="25"/>
      <x:c r="K160" s="25"/>
      <x:c r="L160" s="26"/>
      <x:c r="M160" s="26"/>
    </x:row>
    <x:row r="161">
      <x:c r="G161" s="22"/>
      <x:c r="J161" s="25"/>
      <x:c r="K161" s="25"/>
      <x:c r="L161" s="26"/>
      <x:c r="M161" s="26"/>
    </x:row>
    <x:row r="162">
      <x:c r="G162" s="22"/>
      <x:c r="J162" s="25"/>
      <x:c r="K162" s="25"/>
      <x:c r="L162" s="26"/>
      <x:c r="M162" s="26"/>
    </x:row>
    <x:row r="163">
      <x:c r="G163" s="22"/>
      <x:c r="J163" s="25"/>
      <x:c r="K163" s="25"/>
      <x:c r="L163" s="26"/>
      <x:c r="M163" s="26"/>
    </x:row>
    <x:row r="164">
      <x:c r="G164" s="22"/>
      <x:c r="J164" s="25"/>
      <x:c r="K164" s="25"/>
      <x:c r="L164" s="26"/>
      <x:c r="M164" s="26"/>
    </x:row>
    <x:row r="165">
      <x:c r="G165" s="22"/>
      <x:c r="J165" s="25"/>
      <x:c r="K165" s="25"/>
      <x:c r="L165" s="26"/>
      <x:c r="M165" s="26"/>
    </x:row>
    <x:row r="166">
      <x:c r="G166" s="22"/>
      <x:c r="J166" s="25"/>
      <x:c r="K166" s="25"/>
      <x:c r="L166" s="26"/>
      <x:c r="M166" s="26"/>
    </x:row>
    <x:row r="167">
      <x:c r="G167" s="22"/>
      <x:c r="J167" s="25"/>
      <x:c r="K167" s="25"/>
      <x:c r="L167" s="26"/>
      <x:c r="M167" s="26"/>
    </x:row>
    <x:row r="168">
      <x:c r="G168" s="22"/>
      <x:c r="J168" s="25"/>
      <x:c r="K168" s="25"/>
      <x:c r="L168" s="26"/>
      <x:c r="M168" s="26"/>
    </x:row>
    <x:row r="169">
      <x:c r="G169" s="22"/>
      <x:c r="J169" s="25"/>
      <x:c r="K169" s="25"/>
      <x:c r="L169" s="26"/>
      <x:c r="M169" s="26"/>
    </x:row>
    <x:row r="170">
      <x:c r="G170" s="22"/>
      <x:c r="J170" s="25"/>
      <x:c r="K170" s="25"/>
      <x:c r="L170" s="26"/>
      <x:c r="M170" s="26"/>
    </x:row>
    <x:row r="171">
      <x:c r="G171" s="22"/>
      <x:c r="J171" s="25"/>
      <x:c r="K171" s="25"/>
      <x:c r="L171" s="26"/>
      <x:c r="M171" s="26"/>
    </x:row>
    <x:row r="172">
      <x:c r="G172" s="22"/>
      <x:c r="J172" s="25"/>
      <x:c r="K172" s="25"/>
      <x:c r="L172" s="26"/>
      <x:c r="M172" s="26"/>
    </x:row>
    <x:row r="173">
      <x:c r="G173" s="22"/>
      <x:c r="J173" s="25"/>
      <x:c r="K173" s="25"/>
      <x:c r="L173" s="26"/>
      <x:c r="M173" s="26"/>
    </x:row>
    <x:row r="174">
      <x:c r="G174" s="22"/>
      <x:c r="J174" s="25"/>
      <x:c r="K174" s="25"/>
      <x:c r="L174" s="26"/>
      <x:c r="M174" s="26"/>
    </x:row>
    <x:row r="175">
      <x:c r="G175" s="22"/>
      <x:c r="J175" s="25"/>
      <x:c r="K175" s="25"/>
      <x:c r="L175" s="26"/>
      <x:c r="M175" s="26"/>
    </x:row>
    <x:row r="176">
      <x:c r="G176" s="22"/>
      <x:c r="J176" s="25"/>
      <x:c r="K176" s="25"/>
      <x:c r="L176" s="26"/>
      <x:c r="M176" s="26"/>
    </x:row>
    <x:row r="177">
      <x:c r="G177" s="22"/>
      <x:c r="J177" s="25"/>
      <x:c r="K177" s="25"/>
      <x:c r="L177" s="26"/>
      <x:c r="M177" s="26"/>
    </x:row>
    <x:row r="178">
      <x:c r="G178" s="22"/>
      <x:c r="J178" s="25"/>
      <x:c r="K178" s="25"/>
      <x:c r="L178" s="26"/>
      <x:c r="M178" s="26"/>
    </x:row>
    <x:row r="179">
      <x:c r="G179" s="22"/>
      <x:c r="J179" s="25"/>
      <x:c r="K179" s="25"/>
      <x:c r="L179" s="26"/>
      <x:c r="M179" s="26"/>
    </x:row>
    <x:row r="180">
      <x:c r="G180" s="22"/>
      <x:c r="J180" s="25"/>
      <x:c r="K180" s="25"/>
      <x:c r="L180" s="26"/>
      <x:c r="M180" s="26"/>
    </x:row>
    <x:row r="181">
      <x:c r="G181" s="22"/>
      <x:c r="J181" s="25"/>
      <x:c r="K181" s="25"/>
      <x:c r="L181" s="26"/>
      <x:c r="M181" s="26"/>
    </x:row>
    <x:row r="182">
      <x:c r="G182" s="22"/>
      <x:c r="J182" s="25"/>
      <x:c r="K182" s="25"/>
      <x:c r="L182" s="26"/>
      <x:c r="M182" s="26"/>
    </x:row>
    <x:row r="183">
      <x:c r="G183" s="22"/>
      <x:c r="J183" s="25"/>
      <x:c r="K183" s="25"/>
      <x:c r="L183" s="26"/>
      <x:c r="M183" s="26"/>
    </x:row>
    <x:row r="184">
      <x:c r="G184" s="22"/>
      <x:c r="J184" s="25"/>
      <x:c r="K184" s="25"/>
      <x:c r="L184" s="26"/>
      <x:c r="M184" s="26"/>
    </x:row>
    <x:row r="185">
      <x:c r="G185" s="22"/>
      <x:c r="J185" s="25"/>
      <x:c r="K185" s="25"/>
      <x:c r="L185" s="26"/>
      <x:c r="M185" s="26"/>
    </x:row>
    <x:row r="186">
      <x:c r="G186" s="22"/>
      <x:c r="J186" s="25"/>
      <x:c r="K186" s="25"/>
      <x:c r="L186" s="26"/>
      <x:c r="M186" s="26"/>
    </x:row>
    <x:row r="187">
      <x:c r="G187" s="22"/>
      <x:c r="J187" s="25"/>
      <x:c r="K187" s="25"/>
      <x:c r="L187" s="26"/>
      <x:c r="M187" s="26"/>
    </x:row>
    <x:row r="188">
      <x:c r="G188" s="22"/>
      <x:c r="J188" s="25"/>
      <x:c r="K188" s="25"/>
      <x:c r="L188" s="26"/>
      <x:c r="M188" s="26"/>
    </x:row>
    <x:row r="189">
      <x:c r="G189" s="22"/>
      <x:c r="J189" s="25"/>
      <x:c r="K189" s="25"/>
      <x:c r="L189" s="26"/>
      <x:c r="M189" s="26"/>
    </x:row>
    <x:row r="190">
      <x:c r="G190" s="22"/>
      <x:c r="J190" s="25"/>
      <x:c r="K190" s="25"/>
      <x:c r="L190" s="26"/>
      <x:c r="M190" s="26"/>
    </x:row>
    <x:row r="191">
      <x:c r="G191" s="22"/>
      <x:c r="J191" s="25"/>
      <x:c r="K191" s="25"/>
      <x:c r="L191" s="26"/>
      <x:c r="M191" s="26"/>
    </x:row>
    <x:row r="192">
      <x:c r="G192" s="22"/>
      <x:c r="J192" s="25"/>
      <x:c r="K192" s="25"/>
      <x:c r="L192" s="26"/>
      <x:c r="M192" s="26"/>
    </x:row>
    <x:row r="193">
      <x:c r="G193" s="22"/>
      <x:c r="J193" s="25"/>
      <x:c r="K193" s="25"/>
      <x:c r="L193" s="26"/>
      <x:c r="M193" s="26"/>
    </x:row>
    <x:row r="194">
      <x:c r="G194" s="22"/>
      <x:c r="J194" s="25"/>
      <x:c r="K194" s="25"/>
      <x:c r="L194" s="26"/>
      <x:c r="M194" s="26"/>
    </x:row>
    <x:row r="195">
      <x:c r="G195" s="22"/>
      <x:c r="J195" s="25"/>
      <x:c r="K195" s="25"/>
      <x:c r="L195" s="26"/>
      <x:c r="M195" s="26"/>
    </x:row>
    <x:row r="196">
      <x:c r="G196" s="22"/>
      <x:c r="J196" s="25"/>
      <x:c r="K196" s="25"/>
      <x:c r="L196" s="26"/>
      <x:c r="M196" s="26"/>
    </x:row>
    <x:row r="197">
      <x:c r="G197" s="22"/>
      <x:c r="J197" s="25"/>
      <x:c r="K197" s="25"/>
      <x:c r="L197" s="26"/>
      <x:c r="M197" s="26"/>
    </x:row>
    <x:row r="198">
      <x:c r="G198" s="22"/>
      <x:c r="J198" s="25"/>
      <x:c r="K198" s="25"/>
      <x:c r="L198" s="26"/>
      <x:c r="M198" s="26"/>
    </x:row>
    <x:row r="199">
      <x:c r="G199" s="22"/>
      <x:c r="J199" s="25"/>
      <x:c r="K199" s="25"/>
      <x:c r="L199" s="26"/>
      <x:c r="M199" s="26"/>
    </x:row>
    <x:row r="200">
      <x:c r="G200" s="22"/>
      <x:c r="J200" s="25"/>
      <x:c r="K200" s="25"/>
      <x:c r="L200" s="26"/>
      <x:c r="M200" s="26"/>
    </x:row>
    <x:row r="201">
      <x:c r="G201" s="22"/>
      <x:c r="J201" s="25"/>
      <x:c r="K201" s="25"/>
      <x:c r="L201" s="26"/>
      <x:c r="M201" s="26"/>
    </x:row>
    <x:row r="202">
      <x:c r="G202" s="22"/>
      <x:c r="J202" s="25"/>
      <x:c r="K202" s="25"/>
      <x:c r="L202" s="26"/>
      <x:c r="M202" s="26"/>
    </x:row>
    <x:row r="203">
      <x:c r="G203" s="22"/>
      <x:c r="J203" s="25"/>
      <x:c r="K203" s="25"/>
      <x:c r="L203" s="26"/>
      <x:c r="M203" s="26"/>
    </x:row>
    <x:row r="204">
      <x:c r="G204" s="22"/>
      <x:c r="J204" s="25"/>
      <x:c r="K204" s="25"/>
      <x:c r="L204" s="26"/>
      <x:c r="M204" s="26"/>
    </x:row>
    <x:row r="205">
      <x:c r="G205" s="22"/>
      <x:c r="J205" s="25"/>
      <x:c r="K205" s="25"/>
      <x:c r="L205" s="26"/>
      <x:c r="M205" s="26"/>
    </x:row>
    <x:row r="206">
      <x:c r="G206" s="22"/>
      <x:c r="J206" s="25"/>
      <x:c r="K206" s="25"/>
      <x:c r="L206" s="26"/>
      <x:c r="M206" s="26"/>
    </x:row>
    <x:row r="207">
      <x:c r="G207" s="22"/>
      <x:c r="J207" s="25"/>
      <x:c r="K207" s="25"/>
      <x:c r="L207" s="26"/>
      <x:c r="M207" s="26"/>
    </x:row>
    <x:row r="208">
      <x:c r="G208" s="22"/>
      <x:c r="J208" s="25"/>
      <x:c r="K208" s="25"/>
      <x:c r="L208" s="26"/>
      <x:c r="M208" s="26"/>
    </x:row>
    <x:row r="209">
      <x:c r="G209" s="22"/>
      <x:c r="J209" s="25"/>
      <x:c r="K209" s="25"/>
      <x:c r="L209" s="26"/>
      <x:c r="M209" s="26"/>
    </x:row>
    <x:row r="210">
      <x:c r="G210" s="22"/>
      <x:c r="J210" s="25"/>
      <x:c r="K210" s="25"/>
      <x:c r="L210" s="26"/>
      <x:c r="M210" s="26"/>
    </x:row>
    <x:row r="211">
      <x:c r="G211" s="22"/>
      <x:c r="J211" s="25"/>
      <x:c r="K211" s="25"/>
      <x:c r="L211" s="26"/>
      <x:c r="M211" s="26"/>
    </x:row>
    <x:row r="212">
      <x:c r="G212" s="22"/>
      <x:c r="J212" s="25"/>
      <x:c r="K212" s="25"/>
      <x:c r="L212" s="26"/>
      <x:c r="M212" s="26"/>
    </x:row>
    <x:row r="213">
      <x:c r="G213" s="22"/>
      <x:c r="J213" s="25"/>
      <x:c r="K213" s="25"/>
      <x:c r="L213" s="26"/>
      <x:c r="M213" s="26"/>
    </x:row>
    <x:row r="214">
      <x:c r="G214" s="22"/>
      <x:c r="J214" s="25"/>
      <x:c r="K214" s="25"/>
      <x:c r="L214" s="26"/>
      <x:c r="M214" s="26"/>
    </x:row>
    <x:row r="215">
      <x:c r="G215" s="22"/>
      <x:c r="J215" s="25"/>
      <x:c r="K215" s="25"/>
      <x:c r="L215" s="26"/>
      <x:c r="M215" s="26"/>
    </x:row>
    <x:row r="216">
      <x:c r="G216" s="22"/>
      <x:c r="J216" s="25"/>
      <x:c r="K216" s="25"/>
      <x:c r="L216" s="26"/>
      <x:c r="M216" s="26"/>
    </x:row>
    <x:row r="217">
      <x:c r="G217" s="22"/>
      <x:c r="J217" s="25"/>
      <x:c r="K217" s="25"/>
      <x:c r="L217" s="26"/>
      <x:c r="M217" s="26"/>
    </x:row>
    <x:row r="218">
      <x:c r="G218" s="22"/>
      <x:c r="J218" s="25"/>
      <x:c r="K218" s="25"/>
      <x:c r="L218" s="26"/>
      <x:c r="M218" s="26"/>
    </x:row>
    <x:row r="219">
      <x:c r="G219" s="22"/>
      <x:c r="J219" s="25"/>
      <x:c r="K219" s="25"/>
      <x:c r="L219" s="26"/>
      <x:c r="M219" s="26"/>
    </x:row>
    <x:row r="220">
      <x:c r="G220" s="22"/>
      <x:c r="J220" s="25"/>
      <x:c r="K220" s="25"/>
      <x:c r="L220" s="26"/>
      <x:c r="M220" s="26"/>
    </x:row>
    <x:row r="221">
      <x:c r="G221" s="22"/>
      <x:c r="J221" s="25"/>
      <x:c r="K221" s="25"/>
      <x:c r="L221" s="26"/>
      <x:c r="M221" s="26"/>
    </x:row>
    <x:row r="222">
      <x:c r="G222" s="22"/>
      <x:c r="J222" s="25"/>
      <x:c r="K222" s="25"/>
      <x:c r="L222" s="26"/>
      <x:c r="M222" s="26"/>
    </x:row>
    <x:row r="223">
      <x:c r="G223" s="22"/>
      <x:c r="J223" s="25"/>
      <x:c r="K223" s="25"/>
      <x:c r="L223" s="26"/>
      <x:c r="M223" s="26"/>
    </x:row>
    <x:row r="224">
      <x:c r="G224" s="22"/>
      <x:c r="J224" s="25"/>
      <x:c r="K224" s="25"/>
      <x:c r="L224" s="26"/>
      <x:c r="M224" s="26"/>
    </x:row>
    <x:row r="225">
      <x:c r="G225" s="22"/>
      <x:c r="J225" s="25"/>
      <x:c r="K225" s="25"/>
      <x:c r="L225" s="26"/>
      <x:c r="M225" s="26"/>
    </x:row>
    <x:row r="226">
      <x:c r="G226" s="22"/>
      <x:c r="J226" s="25"/>
      <x:c r="K226" s="25"/>
      <x:c r="L226" s="26"/>
      <x:c r="M226" s="26"/>
    </x:row>
    <x:row r="227">
      <x:c r="G227" s="22"/>
      <x:c r="J227" s="25"/>
      <x:c r="K227" s="25"/>
      <x:c r="L227" s="26"/>
      <x:c r="M227" s="26"/>
    </x:row>
    <x:row r="228">
      <x:c r="G228" s="22"/>
      <x:c r="J228" s="25"/>
      <x:c r="K228" s="25"/>
      <x:c r="L228" s="26"/>
      <x:c r="M228" s="26"/>
    </x:row>
    <x:row r="229">
      <x:c r="G229" s="22"/>
      <x:c r="J229" s="25"/>
      <x:c r="K229" s="25"/>
      <x:c r="L229" s="26"/>
      <x:c r="M229" s="26"/>
    </x:row>
    <x:row r="230">
      <x:c r="G230" s="22"/>
      <x:c r="J230" s="25"/>
      <x:c r="K230" s="25"/>
      <x:c r="L230" s="26"/>
      <x:c r="M230" s="26"/>
    </x:row>
    <x:row r="231">
      <x:c r="G231" s="22"/>
      <x:c r="J231" s="25"/>
      <x:c r="K231" s="25"/>
      <x:c r="L231" s="26"/>
      <x:c r="M231" s="26"/>
    </x:row>
    <x:row r="232">
      <x:c r="G232" s="22"/>
      <x:c r="J232" s="25"/>
      <x:c r="K232" s="25"/>
      <x:c r="L232" s="26"/>
      <x:c r="M232" s="26"/>
    </x:row>
    <x:row r="233">
      <x:c r="G233" s="22"/>
      <x:c r="J233" s="25"/>
      <x:c r="K233" s="25"/>
      <x:c r="L233" s="26"/>
      <x:c r="M233" s="26"/>
    </x:row>
    <x:row r="234">
      <x:c r="G234" s="22"/>
      <x:c r="J234" s="25"/>
      <x:c r="K234" s="25"/>
      <x:c r="L234" s="26"/>
      <x:c r="M234" s="26"/>
    </x:row>
    <x:row r="235">
      <x:c r="G235" s="22"/>
      <x:c r="J235" s="25"/>
      <x:c r="K235" s="25"/>
      <x:c r="L235" s="26"/>
      <x:c r="M235" s="26"/>
    </x:row>
    <x:row r="236">
      <x:c r="G236" s="22"/>
      <x:c r="J236" s="25"/>
      <x:c r="K236" s="25"/>
      <x:c r="L236" s="26"/>
      <x:c r="M236" s="26"/>
    </x:row>
    <x:row r="237">
      <x:c r="G237" s="22"/>
      <x:c r="J237" s="25"/>
      <x:c r="K237" s="25"/>
      <x:c r="L237" s="26"/>
      <x:c r="M237" s="26"/>
    </x:row>
    <x:row r="238">
      <x:c r="G238" s="22"/>
      <x:c r="J238" s="25"/>
      <x:c r="K238" s="25"/>
      <x:c r="L238" s="26"/>
      <x:c r="M238" s="26"/>
    </x:row>
    <x:row r="239">
      <x:c r="G239" s="22"/>
      <x:c r="J239" s="25"/>
      <x:c r="K239" s="25"/>
      <x:c r="L239" s="26"/>
      <x:c r="M239" s="26"/>
    </x:row>
    <x:row r="240">
      <x:c r="G240" s="22"/>
      <x:c r="J240" s="25"/>
      <x:c r="K240" s="25"/>
      <x:c r="L240" s="26"/>
      <x:c r="M240" s="26"/>
    </x:row>
    <x:row r="241">
      <x:c r="G241" s="22"/>
      <x:c r="J241" s="25"/>
      <x:c r="K241" s="25"/>
      <x:c r="L241" s="26"/>
      <x:c r="M241" s="26"/>
    </x:row>
    <x:row r="242">
      <x:c r="G242" s="22"/>
      <x:c r="J242" s="25"/>
      <x:c r="K242" s="25"/>
      <x:c r="L242" s="26"/>
      <x:c r="M242" s="26"/>
    </x:row>
    <x:row r="243">
      <x:c r="G243" s="22"/>
      <x:c r="J243" s="25"/>
      <x:c r="K243" s="25"/>
      <x:c r="L243" s="26"/>
      <x:c r="M243" s="26"/>
    </x:row>
    <x:row r="244">
      <x:c r="G244" s="22"/>
      <x:c r="J244" s="25"/>
      <x:c r="K244" s="25"/>
      <x:c r="L244" s="26"/>
      <x:c r="M244" s="26"/>
    </x:row>
    <x:row r="245">
      <x:c r="G245" s="22"/>
      <x:c r="J245" s="25"/>
      <x:c r="K245" s="25"/>
      <x:c r="L245" s="26"/>
      <x:c r="M245" s="26"/>
    </x:row>
    <x:row r="246">
      <x:c r="G246" s="22"/>
      <x:c r="J246" s="25"/>
      <x:c r="K246" s="25"/>
      <x:c r="L246" s="26"/>
      <x:c r="M246" s="26"/>
    </x:row>
    <x:row r="247">
      <x:c r="G247" s="22"/>
      <x:c r="J247" s="25"/>
      <x:c r="K247" s="25"/>
      <x:c r="L247" s="26"/>
      <x:c r="M247" s="26"/>
    </x:row>
    <x:row r="248">
      <x:c r="G248" s="22"/>
      <x:c r="J248" s="25"/>
      <x:c r="K248" s="25"/>
      <x:c r="L248" s="26"/>
      <x:c r="M248" s="26"/>
    </x:row>
    <x:row r="249">
      <x:c r="G249" s="22"/>
      <x:c r="J249" s="25"/>
      <x:c r="K249" s="25"/>
      <x:c r="L249" s="26"/>
      <x:c r="M249" s="26"/>
    </x:row>
    <x:row r="250">
      <x:c r="G250" s="22"/>
      <x:c r="J250" s="25"/>
      <x:c r="K250" s="25"/>
      <x:c r="L250" s="26"/>
      <x:c r="M250" s="26"/>
    </x:row>
    <x:row r="251">
      <x:c r="G251" s="22"/>
      <x:c r="J251" s="25"/>
      <x:c r="K251" s="25"/>
      <x:c r="L251" s="26"/>
      <x:c r="M251" s="26"/>
    </x:row>
    <x:row r="252">
      <x:c r="G252" s="22"/>
      <x:c r="J252" s="25"/>
      <x:c r="K252" s="25"/>
      <x:c r="L252" s="26"/>
      <x:c r="M252" s="26"/>
    </x:row>
    <x:row r="253">
      <x:c r="G253" s="22"/>
      <x:c r="J253" s="25"/>
      <x:c r="K253" s="25"/>
      <x:c r="L253" s="26"/>
      <x:c r="M253" s="26"/>
    </x:row>
    <x:row r="254">
      <x:c r="G254" s="22"/>
      <x:c r="J254" s="25"/>
      <x:c r="K254" s="25"/>
      <x:c r="L254" s="26"/>
      <x:c r="M254" s="26"/>
    </x:row>
    <x:row r="255">
      <x:c r="G255" s="22"/>
      <x:c r="J255" s="25"/>
      <x:c r="K255" s="25"/>
      <x:c r="L255" s="26"/>
      <x:c r="M255" s="26"/>
    </x:row>
    <x:row r="256">
      <x:c r="G256" s="22"/>
      <x:c r="J256" s="25"/>
      <x:c r="K256" s="25"/>
      <x:c r="L256" s="26"/>
      <x:c r="M256" s="26"/>
    </x:row>
    <x:row r="257">
      <x:c r="G257" s="22"/>
      <x:c r="J257" s="25"/>
      <x:c r="K257" s="25"/>
      <x:c r="L257" s="26"/>
      <x:c r="M257" s="26"/>
    </x:row>
    <x:row r="258">
      <x:c r="G258" s="22"/>
      <x:c r="J258" s="25"/>
      <x:c r="K258" s="25"/>
      <x:c r="L258" s="26"/>
      <x:c r="M258" s="26"/>
    </x:row>
    <x:row r="259">
      <x:c r="G259" s="22"/>
      <x:c r="J259" s="25"/>
      <x:c r="K259" s="25"/>
      <x:c r="L259" s="26"/>
      <x:c r="M259" s="26"/>
    </x:row>
    <x:row r="260">
      <x:c r="G260" s="22"/>
      <x:c r="J260" s="25"/>
      <x:c r="K260" s="25"/>
      <x:c r="L260" s="26"/>
      <x:c r="M260" s="26"/>
    </x:row>
    <x:row r="261">
      <x:c r="G261" s="22"/>
      <x:c r="J261" s="25"/>
      <x:c r="K261" s="25"/>
      <x:c r="L261" s="26"/>
      <x:c r="M261" s="26"/>
    </x:row>
    <x:row r="262">
      <x:c r="G262" s="22"/>
      <x:c r="J262" s="25"/>
      <x:c r="K262" s="25"/>
      <x:c r="L262" s="26"/>
      <x:c r="M262" s="26"/>
    </x:row>
    <x:row r="263">
      <x:c r="G263" s="22"/>
      <x:c r="J263" s="25"/>
      <x:c r="K263" s="25"/>
      <x:c r="L263" s="26"/>
      <x:c r="M263" s="26"/>
    </x:row>
    <x:row r="264">
      <x:c r="G264" s="22"/>
      <x:c r="J264" s="25"/>
      <x:c r="K264" s="25"/>
      <x:c r="L264" s="26"/>
      <x:c r="M264" s="26"/>
    </x:row>
    <x:row r="265">
      <x:c r="G265" s="22"/>
      <x:c r="J265" s="25"/>
      <x:c r="K265" s="25"/>
      <x:c r="L265" s="26"/>
      <x:c r="M265" s="26"/>
    </x:row>
    <x:row r="266">
      <x:c r="G266" s="22"/>
      <x:c r="J266" s="25"/>
      <x:c r="K266" s="25"/>
      <x:c r="L266" s="26"/>
      <x:c r="M266" s="26"/>
    </x:row>
    <x:row r="267">
      <x:c r="G267" s="22"/>
      <x:c r="J267" s="25"/>
      <x:c r="K267" s="25"/>
      <x:c r="L267" s="26"/>
      <x:c r="M267" s="26"/>
    </x:row>
    <x:row r="268">
      <x:c r="G268" s="22"/>
      <x:c r="J268" s="25"/>
      <x:c r="K268" s="25"/>
      <x:c r="L268" s="26"/>
      <x:c r="M268" s="26"/>
    </x:row>
    <x:row r="269">
      <x:c r="G269" s="22"/>
      <x:c r="J269" s="25"/>
      <x:c r="K269" s="25"/>
      <x:c r="L269" s="26"/>
      <x:c r="M269" s="26"/>
    </x:row>
    <x:row r="270">
      <x:c r="G270" s="22"/>
      <x:c r="J270" s="25"/>
      <x:c r="K270" s="25"/>
      <x:c r="L270" s="26"/>
      <x:c r="M270" s="26"/>
    </x:row>
    <x:row r="271">
      <x:c r="G271" s="22"/>
      <x:c r="J271" s="25"/>
      <x:c r="K271" s="25"/>
      <x:c r="L271" s="26"/>
      <x:c r="M271" s="26"/>
    </x:row>
    <x:row r="272">
      <x:c r="G272" s="22"/>
      <x:c r="J272" s="25"/>
      <x:c r="K272" s="25"/>
      <x:c r="L272" s="26"/>
      <x:c r="M272" s="26"/>
    </x:row>
    <x:row r="273">
      <x:c r="G273" s="22"/>
      <x:c r="J273" s="25"/>
      <x:c r="K273" s="25"/>
      <x:c r="L273" s="26"/>
      <x:c r="M273" s="26"/>
    </x:row>
    <x:row r="274">
      <x:c r="G274" s="22"/>
      <x:c r="J274" s="25"/>
      <x:c r="K274" s="25"/>
      <x:c r="L274" s="26"/>
      <x:c r="M274" s="26"/>
    </x:row>
    <x:row r="275">
      <x:c r="G275" s="22"/>
      <x:c r="J275" s="25"/>
      <x:c r="K275" s="25"/>
      <x:c r="L275" s="26"/>
      <x:c r="M275" s="26"/>
    </x:row>
    <x:row r="276">
      <x:c r="G276" s="22"/>
      <x:c r="J276" s="25"/>
      <x:c r="K276" s="25"/>
      <x:c r="L276" s="26"/>
      <x:c r="M276" s="26"/>
    </x:row>
    <x:row r="277">
      <x:c r="G277" s="22"/>
      <x:c r="J277" s="25"/>
      <x:c r="K277" s="25"/>
      <x:c r="L277" s="26"/>
      <x:c r="M277" s="26"/>
    </x:row>
    <x:row r="278">
      <x:c r="G278" s="22"/>
      <x:c r="J278" s="25"/>
      <x:c r="K278" s="25"/>
      <x:c r="L278" s="26"/>
      <x:c r="M278" s="26"/>
    </x:row>
    <x:row r="279">
      <x:c r="G279" s="22"/>
      <x:c r="J279" s="25"/>
      <x:c r="K279" s="25"/>
      <x:c r="L279" s="26"/>
      <x:c r="M279" s="26"/>
    </x:row>
    <x:row r="280">
      <x:c r="G280" s="22"/>
      <x:c r="J280" s="25"/>
      <x:c r="K280" s="25"/>
      <x:c r="L280" s="26"/>
      <x:c r="M280" s="26"/>
    </x:row>
    <x:row r="281">
      <x:c r="G281" s="22"/>
      <x:c r="J281" s="25"/>
      <x:c r="K281" s="25"/>
      <x:c r="L281" s="26"/>
      <x:c r="M281" s="26"/>
    </x:row>
    <x:row r="282">
      <x:c r="G282" s="22"/>
      <x:c r="J282" s="25"/>
      <x:c r="K282" s="25"/>
      <x:c r="L282" s="26"/>
      <x:c r="M282" s="26"/>
    </x:row>
    <x:row r="283">
      <x:c r="G283" s="22"/>
      <x:c r="J283" s="25"/>
      <x:c r="K283" s="25"/>
      <x:c r="L283" s="26"/>
      <x:c r="M283" s="26"/>
    </x:row>
    <x:row r="284">
      <x:c r="G284" s="22"/>
      <x:c r="J284" s="25"/>
      <x:c r="K284" s="25"/>
      <x:c r="L284" s="26"/>
      <x:c r="M284" s="26"/>
    </x:row>
    <x:row r="285">
      <x:c r="G285" s="22"/>
      <x:c r="J285" s="25"/>
      <x:c r="K285" s="25"/>
      <x:c r="L285" s="26"/>
      <x:c r="M285" s="26"/>
    </x:row>
    <x:row r="286">
      <x:c r="G286" s="22"/>
      <x:c r="J286" s="25"/>
      <x:c r="K286" s="25"/>
      <x:c r="L286" s="26"/>
      <x:c r="M286" s="26"/>
    </x:row>
    <x:row r="287">
      <x:c r="G287" s="22"/>
      <x:c r="J287" s="25"/>
      <x:c r="K287" s="25"/>
      <x:c r="L287" s="26"/>
      <x:c r="M287" s="26"/>
    </x:row>
    <x:row r="288">
      <x:c r="G288" s="22"/>
      <x:c r="J288" s="25"/>
      <x:c r="K288" s="25"/>
      <x:c r="L288" s="26"/>
      <x:c r="M288" s="26"/>
    </x:row>
    <x:row r="289">
      <x:c r="G289" s="22"/>
      <x:c r="J289" s="25"/>
      <x:c r="K289" s="25"/>
      <x:c r="L289" s="26"/>
      <x:c r="M289" s="26"/>
    </x:row>
    <x:row r="290">
      <x:c r="G290" s="22"/>
      <x:c r="J290" s="25"/>
      <x:c r="K290" s="25"/>
      <x:c r="L290" s="26"/>
      <x:c r="M290" s="26"/>
    </x:row>
    <x:row r="291">
      <x:c r="G291" s="22"/>
      <x:c r="J291" s="25"/>
      <x:c r="K291" s="25"/>
      <x:c r="L291" s="26"/>
      <x:c r="M291" s="26"/>
    </x:row>
    <x:row r="292">
      <x:c r="G292" s="22"/>
      <x:c r="J292" s="25"/>
      <x:c r="K292" s="25"/>
      <x:c r="L292" s="26"/>
      <x:c r="M292" s="26"/>
    </x:row>
    <x:row r="293">
      <x:c r="G293" s="22"/>
      <x:c r="J293" s="25"/>
      <x:c r="K293" s="25"/>
      <x:c r="L293" s="26"/>
      <x:c r="M293" s="26"/>
    </x:row>
    <x:row r="294">
      <x:c r="G294" s="22"/>
      <x:c r="J294" s="25"/>
      <x:c r="K294" s="25"/>
      <x:c r="L294" s="26"/>
      <x:c r="M294" s="26"/>
    </x:row>
    <x:row r="295">
      <x:c r="G295" s="22"/>
      <x:c r="J295" s="25"/>
      <x:c r="K295" s="25"/>
      <x:c r="L295" s="26"/>
      <x:c r="M295" s="26"/>
    </x:row>
    <x:row r="296">
      <x:c r="G296" s="22"/>
      <x:c r="J296" s="25"/>
      <x:c r="K296" s="25"/>
      <x:c r="L296" s="26"/>
      <x:c r="M296" s="26"/>
    </x:row>
    <x:row r="297">
      <x:c r="G297" s="22"/>
      <x:c r="J297" s="25"/>
      <x:c r="K297" s="25"/>
      <x:c r="L297" s="26"/>
      <x:c r="M297" s="26"/>
    </x:row>
    <x:row r="298">
      <x:c r="G298" s="22"/>
      <x:c r="J298" s="25"/>
      <x:c r="K298" s="25"/>
      <x:c r="L298" s="26"/>
      <x:c r="M298" s="26"/>
    </x:row>
    <x:row r="299">
      <x:c r="G299" s="22"/>
      <x:c r="J299" s="25"/>
      <x:c r="K299" s="25"/>
      <x:c r="L299" s="26"/>
      <x:c r="M299" s="26"/>
    </x:row>
    <x:row r="300">
      <x:c r="G300" s="22"/>
      <x:c r="J300" s="25"/>
      <x:c r="K300" s="25"/>
      <x:c r="L300" s="26"/>
      <x:c r="M300" s="26"/>
    </x:row>
    <x:row r="301">
      <x:c r="G301" s="22"/>
      <x:c r="J301" s="25"/>
      <x:c r="K301" s="25"/>
      <x:c r="L301" s="26"/>
      <x:c r="M301" s="26"/>
    </x:row>
    <x:row r="302">
      <x:c r="G302" s="22"/>
      <x:c r="J302" s="25"/>
      <x:c r="K302" s="25"/>
      <x:c r="L302" s="26"/>
      <x:c r="M302" s="26"/>
    </x:row>
    <x:row r="303">
      <x:c r="G303" s="22"/>
      <x:c r="J303" s="25"/>
      <x:c r="K303" s="25"/>
      <x:c r="L303" s="26"/>
      <x:c r="M303" s="26"/>
    </x:row>
    <x:row r="304">
      <x:c r="G304" s="22"/>
      <x:c r="J304" s="25"/>
      <x:c r="K304" s="25"/>
      <x:c r="L304" s="26"/>
      <x:c r="M304" s="26"/>
    </x:row>
    <x:row r="305">
      <x:c r="G305" s="22"/>
      <x:c r="J305" s="25"/>
      <x:c r="K305" s="25"/>
      <x:c r="L305" s="26"/>
      <x:c r="M305" s="26"/>
    </x:row>
    <x:row r="306">
      <x:c r="G306" s="22"/>
      <x:c r="J306" s="25"/>
      <x:c r="K306" s="25"/>
      <x:c r="L306" s="26"/>
      <x:c r="M306" s="26"/>
    </x:row>
    <x:row r="307">
      <x:c r="G307" s="22"/>
      <x:c r="J307" s="25"/>
      <x:c r="K307" s="25"/>
      <x:c r="L307" s="26"/>
      <x:c r="M307" s="26"/>
    </x:row>
    <x:row r="308">
      <x:c r="G308" s="22"/>
      <x:c r="J308" s="25"/>
      <x:c r="K308" s="25"/>
      <x:c r="L308" s="26"/>
      <x:c r="M308" s="26"/>
    </x:row>
    <x:row r="309">
      <x:c r="G309" s="22"/>
      <x:c r="J309" s="25"/>
      <x:c r="K309" s="25"/>
      <x:c r="L309" s="26"/>
      <x:c r="M309" s="26"/>
    </x:row>
    <x:row r="310">
      <x:c r="G310" s="22"/>
      <x:c r="J310" s="25"/>
      <x:c r="K310" s="25"/>
      <x:c r="L310" s="26"/>
      <x:c r="M310" s="26"/>
    </x:row>
    <x:row r="311">
      <x:c r="G311" s="22"/>
      <x:c r="J311" s="25"/>
      <x:c r="K311" s="25"/>
      <x:c r="L311" s="26"/>
      <x:c r="M311" s="26"/>
    </x:row>
    <x:row r="312">
      <x:c r="G312" s="22"/>
      <x:c r="J312" s="25"/>
      <x:c r="K312" s="25"/>
      <x:c r="L312" s="26"/>
      <x:c r="M312" s="26"/>
    </x:row>
    <x:row r="313">
      <x:c r="G313" s="22"/>
      <x:c r="J313" s="25"/>
      <x:c r="K313" s="25"/>
      <x:c r="L313" s="26"/>
      <x:c r="M313" s="26"/>
    </x:row>
    <x:row r="314">
      <x:c r="G314" s="22"/>
      <x:c r="J314" s="25"/>
      <x:c r="K314" s="25"/>
      <x:c r="L314" s="26"/>
      <x:c r="M314" s="26"/>
    </x:row>
    <x:row r="315">
      <x:c r="G315" s="22"/>
      <x:c r="J315" s="25"/>
      <x:c r="K315" s="25"/>
      <x:c r="L315" s="26"/>
      <x:c r="M315" s="26"/>
    </x:row>
    <x:row r="316">
      <x:c r="G316" s="22"/>
      <x:c r="J316" s="25"/>
      <x:c r="K316" s="25"/>
      <x:c r="L316" s="26"/>
      <x:c r="M316" s="26"/>
    </x:row>
    <x:row r="317">
      <x:c r="G317" s="22"/>
      <x:c r="J317" s="25"/>
      <x:c r="K317" s="25"/>
      <x:c r="L317" s="26"/>
      <x:c r="M317" s="26"/>
    </x:row>
    <x:row r="318">
      <x:c r="G318" s="22"/>
      <x:c r="J318" s="25"/>
      <x:c r="K318" s="25"/>
      <x:c r="L318" s="26"/>
      <x:c r="M318" s="26"/>
    </x:row>
    <x:row r="319">
      <x:c r="G319" s="22"/>
      <x:c r="J319" s="25"/>
      <x:c r="K319" s="25"/>
      <x:c r="L319" s="26"/>
      <x:c r="M319" s="26"/>
    </x:row>
    <x:row r="320">
      <x:c r="G320" s="22"/>
      <x:c r="J320" s="25"/>
      <x:c r="K320" s="25"/>
      <x:c r="L320" s="26"/>
      <x:c r="M320" s="26"/>
    </x:row>
    <x:row r="321">
      <x:c r="G321" s="22"/>
      <x:c r="J321" s="25"/>
      <x:c r="K321" s="25"/>
      <x:c r="L321" s="26"/>
      <x:c r="M321" s="26"/>
    </x:row>
    <x:row r="322">
      <x:c r="G322" s="22"/>
      <x:c r="J322" s="25"/>
      <x:c r="K322" s="25"/>
      <x:c r="L322" s="26"/>
      <x:c r="M322" s="26"/>
    </x:row>
    <x:row r="323">
      <x:c r="G323" s="22"/>
      <x:c r="J323" s="25"/>
      <x:c r="K323" s="25"/>
      <x:c r="L323" s="26"/>
      <x:c r="M323" s="26"/>
    </x:row>
    <x:row r="324">
      <x:c r="G324" s="22"/>
      <x:c r="J324" s="25"/>
      <x:c r="K324" s="25"/>
      <x:c r="L324" s="26"/>
      <x:c r="M324" s="26"/>
    </x:row>
    <x:row r="325">
      <x:c r="G325" s="22"/>
      <x:c r="J325" s="25"/>
      <x:c r="K325" s="25"/>
      <x:c r="L325" s="26"/>
      <x:c r="M325" s="26"/>
    </x:row>
    <x:row r="326">
      <x:c r="G326" s="22"/>
      <x:c r="J326" s="25"/>
      <x:c r="K326" s="25"/>
      <x:c r="L326" s="26"/>
      <x:c r="M326" s="26"/>
    </x:row>
    <x:row r="327">
      <x:c r="G327" s="22"/>
      <x:c r="J327" s="25"/>
      <x:c r="K327" s="25"/>
      <x:c r="L327" s="26"/>
      <x:c r="M327" s="26"/>
    </x:row>
    <x:row r="328">
      <x:c r="G328" s="22"/>
      <x:c r="J328" s="25"/>
      <x:c r="K328" s="25"/>
      <x:c r="L328" s="26"/>
      <x:c r="M328" s="26"/>
    </x:row>
    <x:row r="329">
      <x:c r="G329" s="22"/>
      <x:c r="J329" s="25"/>
      <x:c r="K329" s="25"/>
      <x:c r="L329" s="26"/>
      <x:c r="M329" s="26"/>
    </x:row>
    <x:row r="330">
      <x:c r="G330" s="22"/>
      <x:c r="J330" s="25"/>
      <x:c r="K330" s="25"/>
      <x:c r="L330" s="26"/>
      <x:c r="M330" s="26"/>
    </x:row>
    <x:row r="331">
      <x:c r="G331" s="22"/>
      <x:c r="J331" s="25"/>
      <x:c r="K331" s="25"/>
      <x:c r="L331" s="26"/>
      <x:c r="M331" s="26"/>
    </x:row>
    <x:row r="332">
      <x:c r="G332" s="22"/>
      <x:c r="J332" s="25"/>
      <x:c r="K332" s="25"/>
      <x:c r="L332" s="26"/>
      <x:c r="M332" s="26"/>
    </x:row>
    <x:row r="333">
      <x:c r="G333" s="22"/>
      <x:c r="J333" s="25"/>
      <x:c r="K333" s="25"/>
      <x:c r="L333" s="26"/>
      <x:c r="M333" s="26"/>
    </x:row>
    <x:row r="334">
      <x:c r="G334" s="22"/>
      <x:c r="J334" s="25"/>
      <x:c r="K334" s="25"/>
      <x:c r="L334" s="26"/>
      <x:c r="M334" s="26"/>
    </x:row>
    <x:row r="335">
      <x:c r="G335" s="22"/>
      <x:c r="J335" s="25"/>
      <x:c r="K335" s="25"/>
      <x:c r="L335" s="26"/>
      <x:c r="M335" s="26"/>
    </x:row>
    <x:row r="336">
      <x:c r="G336" s="22"/>
      <x:c r="J336" s="25"/>
      <x:c r="K336" s="25"/>
      <x:c r="L336" s="26"/>
      <x:c r="M336" s="26"/>
    </x:row>
    <x:row r="337">
      <x:c r="G337" s="22"/>
      <x:c r="J337" s="25"/>
      <x:c r="K337" s="25"/>
      <x:c r="L337" s="26"/>
      <x:c r="M337" s="26"/>
    </x:row>
    <x:row r="338">
      <x:c r="G338" s="22"/>
      <x:c r="J338" s="25"/>
      <x:c r="K338" s="25"/>
      <x:c r="L338" s="26"/>
      <x:c r="M338" s="26"/>
    </x:row>
    <x:row r="339">
      <x:c r="G339" s="22"/>
      <x:c r="J339" s="25"/>
      <x:c r="K339" s="25"/>
      <x:c r="L339" s="26"/>
      <x:c r="M339" s="26"/>
    </x:row>
    <x:row r="340">
      <x:c r="G340" s="22"/>
      <x:c r="J340" s="25"/>
      <x:c r="K340" s="25"/>
      <x:c r="L340" s="26"/>
      <x:c r="M340" s="26"/>
    </x:row>
    <x:row r="341">
      <x:c r="G341" s="22"/>
      <x:c r="J341" s="25"/>
      <x:c r="K341" s="25"/>
      <x:c r="L341" s="26"/>
      <x:c r="M341" s="26"/>
    </x:row>
    <x:row r="342">
      <x:c r="G342" s="22"/>
      <x:c r="J342" s="25"/>
      <x:c r="K342" s="25"/>
      <x:c r="L342" s="26"/>
      <x:c r="M342" s="26"/>
    </x:row>
    <x:row r="343">
      <x:c r="G343" s="22"/>
      <x:c r="J343" s="25"/>
      <x:c r="K343" s="25"/>
      <x:c r="L343" s="26"/>
      <x:c r="M343" s="26"/>
    </x:row>
    <x:row r="344">
      <x:c r="G344" s="22"/>
      <x:c r="J344" s="25"/>
      <x:c r="K344" s="25"/>
      <x:c r="L344" s="26"/>
      <x:c r="M344" s="26"/>
    </x:row>
    <x:row r="345">
      <x:c r="G345" s="22"/>
      <x:c r="J345" s="25"/>
      <x:c r="K345" s="25"/>
      <x:c r="L345" s="26"/>
      <x:c r="M345" s="26"/>
    </x:row>
    <x:row r="346">
      <x:c r="G346" s="22"/>
      <x:c r="J346" s="25"/>
      <x:c r="K346" s="25"/>
      <x:c r="L346" s="26"/>
      <x:c r="M346" s="26"/>
    </x:row>
    <x:row r="347">
      <x:c r="G347" s="22"/>
      <x:c r="J347" s="25"/>
      <x:c r="K347" s="25"/>
      <x:c r="L347" s="26"/>
      <x:c r="M347" s="26"/>
    </x:row>
    <x:row r="348">
      <x:c r="G348" s="22"/>
      <x:c r="J348" s="25"/>
      <x:c r="K348" s="25"/>
      <x:c r="L348" s="26"/>
      <x:c r="M348" s="26"/>
    </x:row>
    <x:row r="349">
      <x:c r="G349" s="22"/>
      <x:c r="J349" s="25"/>
      <x:c r="K349" s="25"/>
      <x:c r="L349" s="26"/>
      <x:c r="M349" s="26"/>
    </x:row>
    <x:row r="350">
      <x:c r="G350" s="22"/>
      <x:c r="J350" s="25"/>
      <x:c r="K350" s="25"/>
      <x:c r="L350" s="26"/>
      <x:c r="M350" s="26"/>
    </x:row>
    <x:row r="351">
      <x:c r="G351" s="22"/>
      <x:c r="J351" s="25"/>
      <x:c r="K351" s="25"/>
      <x:c r="L351" s="26"/>
      <x:c r="M351" s="26"/>
    </x:row>
    <x:row r="352">
      <x:c r="G352" s="22"/>
      <x:c r="J352" s="25"/>
      <x:c r="K352" s="25"/>
      <x:c r="L352" s="26"/>
      <x:c r="M352" s="26"/>
    </x:row>
    <x:row r="353">
      <x:c r="G353" s="22"/>
      <x:c r="J353" s="25"/>
      <x:c r="K353" s="25"/>
      <x:c r="L353" s="26"/>
      <x:c r="M353" s="26"/>
    </x:row>
    <x:row r="354">
      <x:c r="G354" s="22"/>
      <x:c r="J354" s="25"/>
      <x:c r="K354" s="25"/>
      <x:c r="L354" s="26"/>
      <x:c r="M354" s="26"/>
    </x:row>
    <x:row r="355">
      <x:c r="G355" s="22"/>
      <x:c r="J355" s="25"/>
      <x:c r="K355" s="25"/>
      <x:c r="L355" s="26"/>
      <x:c r="M355" s="26"/>
    </x:row>
    <x:row r="356">
      <x:c r="G356" s="22"/>
      <x:c r="J356" s="25"/>
      <x:c r="K356" s="25"/>
      <x:c r="L356" s="26"/>
      <x:c r="M356" s="26"/>
    </x:row>
    <x:row r="357">
      <x:c r="G357" s="22"/>
      <x:c r="J357" s="25"/>
      <x:c r="K357" s="25"/>
      <x:c r="L357" s="26"/>
      <x:c r="M357" s="26"/>
    </x:row>
    <x:row r="358">
      <x:c r="G358" s="22"/>
      <x:c r="J358" s="25"/>
      <x:c r="K358" s="25"/>
      <x:c r="L358" s="26"/>
      <x:c r="M358" s="26"/>
    </x:row>
    <x:row r="359">
      <x:c r="G359" s="22"/>
      <x:c r="J359" s="25"/>
      <x:c r="K359" s="25"/>
      <x:c r="L359" s="26"/>
      <x:c r="M359" s="26"/>
    </x:row>
    <x:row r="360">
      <x:c r="G360" s="22"/>
      <x:c r="J360" s="25"/>
      <x:c r="K360" s="25"/>
      <x:c r="L360" s="26"/>
      <x:c r="M360" s="26"/>
    </x:row>
    <x:row r="361">
      <x:c r="G361" s="22"/>
      <x:c r="J361" s="25"/>
      <x:c r="K361" s="25"/>
      <x:c r="L361" s="26"/>
      <x:c r="M361" s="26"/>
    </x:row>
    <x:row r="362">
      <x:c r="G362" s="22"/>
      <x:c r="J362" s="25"/>
      <x:c r="K362" s="25"/>
      <x:c r="L362" s="26"/>
      <x:c r="M362" s="26"/>
    </x:row>
    <x:row r="363">
      <x:c r="G363" s="22"/>
      <x:c r="J363" s="25"/>
      <x:c r="K363" s="25"/>
      <x:c r="L363" s="26"/>
      <x:c r="M363" s="26"/>
    </x:row>
    <x:row r="364">
      <x:c r="G364" s="22"/>
      <x:c r="J364" s="25"/>
      <x:c r="K364" s="25"/>
      <x:c r="L364" s="26"/>
      <x:c r="M364" s="26"/>
    </x:row>
    <x:row r="365">
      <x:c r="G365" s="22"/>
      <x:c r="J365" s="25"/>
      <x:c r="K365" s="25"/>
      <x:c r="L365" s="26"/>
      <x:c r="M365" s="26"/>
    </x:row>
    <x:row r="366">
      <x:c r="G366" s="22"/>
      <x:c r="J366" s="25"/>
      <x:c r="K366" s="25"/>
      <x:c r="L366" s="26"/>
      <x:c r="M366" s="26"/>
    </x:row>
    <x:row r="367">
      <x:c r="G367" s="22"/>
      <x:c r="J367" s="25"/>
      <x:c r="K367" s="25"/>
      <x:c r="L367" s="26"/>
      <x:c r="M367" s="26"/>
    </x:row>
    <x:row r="368">
      <x:c r="G368" s="22"/>
      <x:c r="J368" s="25"/>
      <x:c r="K368" s="25"/>
      <x:c r="L368" s="26"/>
      <x:c r="M368" s="26"/>
    </x:row>
    <x:row r="369">
      <x:c r="G369" s="22"/>
      <x:c r="J369" s="25"/>
      <x:c r="K369" s="25"/>
      <x:c r="L369" s="26"/>
      <x:c r="M369" s="26"/>
    </x:row>
    <x:row r="370">
      <x:c r="G370" s="22"/>
      <x:c r="J370" s="25"/>
      <x:c r="K370" s="25"/>
      <x:c r="L370" s="26"/>
      <x:c r="M370" s="26"/>
    </x:row>
    <x:row r="371">
      <x:c r="G371" s="22"/>
      <x:c r="J371" s="25"/>
      <x:c r="K371" s="25"/>
      <x:c r="L371" s="26"/>
      <x:c r="M371" s="26"/>
    </x:row>
    <x:row r="372">
      <x:c r="G372" s="22"/>
      <x:c r="J372" s="25"/>
      <x:c r="K372" s="25"/>
      <x:c r="L372" s="26"/>
      <x:c r="M372" s="26"/>
    </x:row>
    <x:row r="373">
      <x:c r="G373" s="22"/>
      <x:c r="J373" s="25"/>
      <x:c r="K373" s="25"/>
      <x:c r="L373" s="26"/>
      <x:c r="M373" s="26"/>
    </x:row>
    <x:row r="374">
      <x:c r="G374" s="22"/>
      <x:c r="J374" s="25"/>
      <x:c r="K374" s="25"/>
      <x:c r="L374" s="26"/>
      <x:c r="M374" s="26"/>
    </x:row>
    <x:row r="375">
      <x:c r="G375" s="22"/>
      <x:c r="J375" s="25"/>
      <x:c r="K375" s="25"/>
      <x:c r="L375" s="26"/>
      <x:c r="M375" s="26"/>
    </x:row>
    <x:row r="376">
      <x:c r="G376" s="22"/>
      <x:c r="J376" s="25"/>
      <x:c r="K376" s="25"/>
      <x:c r="L376" s="26"/>
      <x:c r="M376" s="26"/>
    </x:row>
    <x:row r="377">
      <x:c r="G377" s="22"/>
      <x:c r="J377" s="25"/>
      <x:c r="K377" s="25"/>
      <x:c r="L377" s="26"/>
      <x:c r="M377" s="26"/>
    </x:row>
    <x:row r="378">
      <x:c r="G378" s="22"/>
      <x:c r="J378" s="25"/>
      <x:c r="K378" s="25"/>
      <x:c r="L378" s="26"/>
      <x:c r="M378" s="26"/>
    </x:row>
    <x:row r="379">
      <x:c r="G379" s="22"/>
      <x:c r="J379" s="25"/>
      <x:c r="K379" s="25"/>
      <x:c r="L379" s="26"/>
      <x:c r="M379" s="26"/>
    </x:row>
    <x:row r="380">
      <x:c r="G380" s="22"/>
      <x:c r="J380" s="25"/>
      <x:c r="K380" s="25"/>
      <x:c r="L380" s="26"/>
      <x:c r="M380" s="26"/>
    </x:row>
    <x:row r="381">
      <x:c r="G381" s="22"/>
      <x:c r="J381" s="25"/>
      <x:c r="K381" s="25"/>
      <x:c r="L381" s="26"/>
      <x:c r="M381" s="26"/>
    </x:row>
    <x:row r="382">
      <x:c r="G382" s="22"/>
      <x:c r="J382" s="25"/>
      <x:c r="K382" s="25"/>
      <x:c r="L382" s="26"/>
      <x:c r="M382" s="26"/>
    </x:row>
    <x:row r="383">
      <x:c r="G383" s="22"/>
      <x:c r="J383" s="25"/>
      <x:c r="K383" s="25"/>
      <x:c r="L383" s="26"/>
      <x:c r="M383" s="26"/>
    </x:row>
    <x:row r="384">
      <x:c r="G384" s="22"/>
      <x:c r="J384" s="25"/>
      <x:c r="K384" s="25"/>
      <x:c r="L384" s="26"/>
      <x:c r="M384" s="26"/>
    </x:row>
    <x:row r="385">
      <x:c r="G385" s="22"/>
      <x:c r="J385" s="25"/>
      <x:c r="K385" s="25"/>
      <x:c r="L385" s="26"/>
      <x:c r="M385" s="26"/>
    </x:row>
    <x:row r="386">
      <x:c r="G386" s="22"/>
      <x:c r="J386" s="25"/>
      <x:c r="K386" s="25"/>
      <x:c r="L386" s="26"/>
      <x:c r="M386" s="26"/>
    </x:row>
    <x:row r="387">
      <x:c r="G387" s="22"/>
      <x:c r="J387" s="25"/>
      <x:c r="K387" s="25"/>
      <x:c r="L387" s="26"/>
      <x:c r="M387" s="26"/>
    </x:row>
    <x:row r="388">
      <x:c r="G388" s="22"/>
      <x:c r="J388" s="25"/>
      <x:c r="K388" s="25"/>
      <x:c r="L388" s="26"/>
      <x:c r="M388" s="26"/>
    </x:row>
    <x:row r="389">
      <x:c r="G389" s="22"/>
      <x:c r="J389" s="25"/>
      <x:c r="K389" s="25"/>
      <x:c r="L389" s="26"/>
      <x:c r="M389" s="26"/>
    </x:row>
    <x:row r="390">
      <x:c r="G390" s="22"/>
      <x:c r="J390" s="25"/>
      <x:c r="K390" s="25"/>
      <x:c r="L390" s="26"/>
      <x:c r="M390" s="26"/>
    </x:row>
    <x:row r="391">
      <x:c r="G391" s="22"/>
      <x:c r="J391" s="25"/>
      <x:c r="K391" s="25"/>
      <x:c r="L391" s="26"/>
      <x:c r="M391" s="26"/>
    </x:row>
    <x:row r="392">
      <x:c r="G392" s="22"/>
      <x:c r="J392" s="25"/>
      <x:c r="K392" s="25"/>
      <x:c r="L392" s="26"/>
      <x:c r="M392" s="26"/>
    </x:row>
    <x:row r="393">
      <x:c r="G393" s="22"/>
      <x:c r="J393" s="25"/>
      <x:c r="K393" s="25"/>
      <x:c r="L393" s="26"/>
      <x:c r="M393" s="26"/>
    </x:row>
    <x:row r="394">
      <x:c r="G394" s="22"/>
      <x:c r="J394" s="25"/>
      <x:c r="K394" s="25"/>
      <x:c r="L394" s="26"/>
      <x:c r="M394" s="26"/>
    </x:row>
    <x:row r="395">
      <x:c r="G395" s="22"/>
      <x:c r="J395" s="25"/>
      <x:c r="K395" s="25"/>
      <x:c r="L395" s="26"/>
      <x:c r="M395" s="26"/>
    </x:row>
    <x:row r="396">
      <x:c r="G396" s="22"/>
      <x:c r="J396" s="25"/>
      <x:c r="K396" s="25"/>
      <x:c r="L396" s="26"/>
      <x:c r="M396" s="26"/>
    </x:row>
    <x:row r="397">
      <x:c r="G397" s="22"/>
      <x:c r="J397" s="25"/>
      <x:c r="K397" s="25"/>
      <x:c r="L397" s="26"/>
      <x:c r="M397" s="26"/>
    </x:row>
    <x:row r="398">
      <x:c r="G398" s="22"/>
      <x:c r="J398" s="25"/>
      <x:c r="K398" s="25"/>
      <x:c r="L398" s="26"/>
      <x:c r="M398" s="26"/>
    </x:row>
    <x:row r="399">
      <x:c r="G399" s="22"/>
      <x:c r="J399" s="25"/>
      <x:c r="K399" s="25"/>
      <x:c r="L399" s="26"/>
      <x:c r="M399" s="26"/>
    </x:row>
    <x:row r="400">
      <x:c r="G400" s="22"/>
      <x:c r="J400" s="25"/>
      <x:c r="K400" s="25"/>
      <x:c r="L400" s="26"/>
      <x:c r="M400" s="26"/>
    </x:row>
    <x:row r="401">
      <x:c r="G401" s="22"/>
      <x:c r="J401" s="25"/>
      <x:c r="K401" s="25"/>
      <x:c r="L401" s="26"/>
      <x:c r="M401" s="26"/>
    </x:row>
    <x:row r="402">
      <x:c r="G402" s="22"/>
      <x:c r="J402" s="25"/>
      <x:c r="K402" s="25"/>
      <x:c r="L402" s="26"/>
      <x:c r="M402" s="26"/>
    </x:row>
    <x:row r="403">
      <x:c r="G403" s="22"/>
      <x:c r="J403" s="25"/>
      <x:c r="K403" s="25"/>
      <x:c r="L403" s="26"/>
      <x:c r="M403" s="26"/>
    </x:row>
    <x:row r="404">
      <x:c r="G404" s="22"/>
      <x:c r="J404" s="25"/>
      <x:c r="K404" s="25"/>
      <x:c r="L404" s="26"/>
      <x:c r="M404" s="26"/>
    </x:row>
    <x:row r="405">
      <x:c r="G405" s="22"/>
      <x:c r="J405" s="25"/>
      <x:c r="K405" s="25"/>
      <x:c r="L405" s="26"/>
      <x:c r="M405" s="26"/>
    </x:row>
    <x:row r="406">
      <x:c r="G406" s="22"/>
      <x:c r="J406" s="25"/>
      <x:c r="K406" s="25"/>
      <x:c r="L406" s="26"/>
      <x:c r="M406" s="26"/>
    </x:row>
    <x:row r="407">
      <x:c r="G407" s="22"/>
      <x:c r="J407" s="25"/>
      <x:c r="K407" s="25"/>
      <x:c r="L407" s="26"/>
      <x:c r="M407" s="26"/>
    </x:row>
    <x:row r="408">
      <x:c r="G408" s="22"/>
      <x:c r="J408" s="25"/>
      <x:c r="K408" s="25"/>
      <x:c r="L408" s="26"/>
      <x:c r="M408" s="26"/>
    </x:row>
    <x:row r="409">
      <x:c r="G409" s="22"/>
      <x:c r="J409" s="25"/>
      <x:c r="K409" s="25"/>
      <x:c r="L409" s="26"/>
      <x:c r="M409" s="26"/>
    </x:row>
    <x:row r="410">
      <x:c r="G410" s="22"/>
      <x:c r="J410" s="25"/>
      <x:c r="K410" s="25"/>
      <x:c r="L410" s="26"/>
      <x:c r="M410" s="26"/>
    </x:row>
    <x:row r="411">
      <x:c r="G411" s="22"/>
      <x:c r="J411" s="25"/>
      <x:c r="K411" s="25"/>
      <x:c r="L411" s="26"/>
      <x:c r="M411" s="26"/>
    </x:row>
    <x:row r="412">
      <x:c r="G412" s="22"/>
      <x:c r="J412" s="25"/>
      <x:c r="K412" s="25"/>
      <x:c r="L412" s="26"/>
      <x:c r="M412" s="26"/>
    </x:row>
    <x:row r="413">
      <x:c r="G413" s="22"/>
      <x:c r="J413" s="25"/>
      <x:c r="K413" s="25"/>
      <x:c r="L413" s="26"/>
      <x:c r="M413" s="26"/>
    </x:row>
    <x:row r="414">
      <x:c r="G414" s="22"/>
      <x:c r="J414" s="25"/>
      <x:c r="K414" s="25"/>
      <x:c r="L414" s="26"/>
      <x:c r="M414" s="26"/>
    </x:row>
    <x:row r="415">
      <x:c r="G415" s="22"/>
      <x:c r="J415" s="25"/>
      <x:c r="K415" s="25"/>
      <x:c r="L415" s="26"/>
      <x:c r="M415" s="26"/>
    </x:row>
    <x:row r="416">
      <x:c r="G416" s="22"/>
      <x:c r="J416" s="25"/>
      <x:c r="K416" s="25"/>
      <x:c r="L416" s="26"/>
      <x:c r="M416" s="26"/>
    </x:row>
    <x:row r="417">
      <x:c r="G417" s="22"/>
      <x:c r="J417" s="25"/>
      <x:c r="K417" s="25"/>
      <x:c r="L417" s="26"/>
      <x:c r="M417" s="26"/>
    </x:row>
    <x:row r="418">
      <x:c r="G418" s="22"/>
      <x:c r="J418" s="25"/>
      <x:c r="K418" s="25"/>
      <x:c r="L418" s="26"/>
      <x:c r="M418" s="26"/>
    </x:row>
    <x:row r="419">
      <x:c r="G419" s="22"/>
      <x:c r="J419" s="25"/>
      <x:c r="K419" s="25"/>
      <x:c r="L419" s="26"/>
      <x:c r="M419" s="26"/>
    </x:row>
    <x:row r="420">
      <x:c r="G420" s="22"/>
      <x:c r="J420" s="25"/>
      <x:c r="K420" s="25"/>
      <x:c r="L420" s="26"/>
      <x:c r="M420" s="26"/>
    </x:row>
    <x:row r="421">
      <x:c r="G421" s="22"/>
      <x:c r="J421" s="25"/>
      <x:c r="K421" s="25"/>
      <x:c r="L421" s="26"/>
      <x:c r="M421" s="26"/>
    </x:row>
    <x:row r="422">
      <x:c r="G422" s="22"/>
      <x:c r="J422" s="25"/>
      <x:c r="K422" s="25"/>
      <x:c r="L422" s="26"/>
      <x:c r="M422" s="26"/>
    </x:row>
    <x:row r="423">
      <x:c r="G423" s="22"/>
      <x:c r="J423" s="25"/>
      <x:c r="K423" s="25"/>
      <x:c r="L423" s="26"/>
      <x:c r="M423" s="26"/>
    </x:row>
    <x:row r="424">
      <x:c r="G424" s="22"/>
      <x:c r="J424" s="25"/>
      <x:c r="K424" s="25"/>
      <x:c r="L424" s="26"/>
      <x:c r="M424" s="26"/>
    </x:row>
    <x:row r="425">
      <x:c r="G425" s="22"/>
      <x:c r="J425" s="25"/>
      <x:c r="K425" s="25"/>
      <x:c r="L425" s="26"/>
      <x:c r="M425" s="26"/>
    </x:row>
    <x:row r="426">
      <x:c r="G426" s="22"/>
      <x:c r="J426" s="25"/>
      <x:c r="K426" s="25"/>
      <x:c r="L426" s="26"/>
      <x:c r="M426" s="26"/>
    </x:row>
    <x:row r="427">
      <x:c r="G427" s="22"/>
      <x:c r="J427" s="25"/>
      <x:c r="K427" s="25"/>
      <x:c r="L427" s="26"/>
      <x:c r="M427" s="26"/>
    </x:row>
    <x:row r="428">
      <x:c r="G428" s="22"/>
      <x:c r="J428" s="25"/>
      <x:c r="K428" s="25"/>
      <x:c r="L428" s="26"/>
      <x:c r="M428" s="26"/>
    </x:row>
    <x:row r="429">
      <x:c r="G429" s="22"/>
      <x:c r="J429" s="25"/>
      <x:c r="K429" s="25"/>
      <x:c r="L429" s="26"/>
      <x:c r="M429" s="26"/>
    </x:row>
    <x:row r="430">
      <x:c r="G430" s="22"/>
      <x:c r="J430" s="25"/>
      <x:c r="K430" s="25"/>
      <x:c r="L430" s="26"/>
      <x:c r="M430" s="26"/>
    </x:row>
    <x:row r="431">
      <x:c r="G431" s="22"/>
      <x:c r="J431" s="25"/>
      <x:c r="K431" s="25"/>
      <x:c r="L431" s="26"/>
      <x:c r="M431" s="26"/>
    </x:row>
    <x:row r="432">
      <x:c r="G432" s="22"/>
      <x:c r="J432" s="25"/>
      <x:c r="K432" s="25"/>
      <x:c r="L432" s="26"/>
      <x:c r="M432" s="26"/>
    </x:row>
    <x:row r="433">
      <x:c r="G433" s="22"/>
      <x:c r="J433" s="25"/>
      <x:c r="K433" s="25"/>
      <x:c r="L433" s="26"/>
      <x:c r="M433" s="26"/>
    </x:row>
    <x:row r="434">
      <x:c r="G434" s="22"/>
      <x:c r="J434" s="25"/>
      <x:c r="K434" s="25"/>
      <x:c r="L434" s="26"/>
      <x:c r="M434" s="26"/>
    </x:row>
    <x:row r="435">
      <x:c r="G435" s="22"/>
      <x:c r="J435" s="25"/>
      <x:c r="K435" s="25"/>
      <x:c r="L435" s="26"/>
      <x:c r="M435" s="26"/>
    </x:row>
    <x:row r="436">
      <x:c r="G436" s="22"/>
      <x:c r="J436" s="25"/>
      <x:c r="K436" s="25"/>
      <x:c r="L436" s="26"/>
      <x:c r="M436" s="26"/>
    </x:row>
    <x:row r="437">
      <x:c r="G437" s="22"/>
      <x:c r="J437" s="25"/>
      <x:c r="K437" s="25"/>
      <x:c r="L437" s="26"/>
      <x:c r="M437" s="26"/>
    </x:row>
    <x:row r="438">
      <x:c r="G438" s="22"/>
      <x:c r="J438" s="25"/>
      <x:c r="K438" s="25"/>
      <x:c r="L438" s="26"/>
      <x:c r="M438" s="26"/>
    </x:row>
    <x:row r="439">
      <x:c r="G439" s="22"/>
      <x:c r="J439" s="25"/>
      <x:c r="K439" s="25"/>
      <x:c r="L439" s="26"/>
      <x:c r="M439" s="26"/>
    </x:row>
    <x:row r="440">
      <x:c r="G440" s="22"/>
      <x:c r="J440" s="25"/>
      <x:c r="K440" s="25"/>
      <x:c r="L440" s="26"/>
      <x:c r="M440" s="26"/>
    </x:row>
    <x:row r="441">
      <x:c r="G441" s="22"/>
      <x:c r="J441" s="25"/>
      <x:c r="K441" s="25"/>
      <x:c r="L441" s="26"/>
      <x:c r="M441" s="26"/>
    </x:row>
    <x:row r="442">
      <x:c r="G442" s="22"/>
      <x:c r="J442" s="25"/>
      <x:c r="K442" s="25"/>
      <x:c r="L442" s="26"/>
      <x:c r="M442" s="26"/>
    </x:row>
    <x:row r="443">
      <x:c r="G443" s="22"/>
      <x:c r="J443" s="25"/>
      <x:c r="K443" s="25"/>
      <x:c r="L443" s="26"/>
      <x:c r="M443" s="26"/>
    </x:row>
    <x:row r="444">
      <x:c r="G444" s="22"/>
      <x:c r="J444" s="25"/>
      <x:c r="K444" s="25"/>
      <x:c r="L444" s="26"/>
      <x:c r="M444" s="26"/>
    </x:row>
    <x:row r="445">
      <x:c r="G445" s="22"/>
      <x:c r="J445" s="25"/>
      <x:c r="K445" s="25"/>
      <x:c r="L445" s="26"/>
      <x:c r="M445" s="26"/>
    </x:row>
    <x:row r="446">
      <x:c r="G446" s="22"/>
      <x:c r="J446" s="25"/>
      <x:c r="K446" s="25"/>
      <x:c r="L446" s="26"/>
      <x:c r="M446" s="26"/>
    </x:row>
    <x:row r="447">
      <x:c r="G447" s="22"/>
      <x:c r="J447" s="25"/>
      <x:c r="K447" s="25"/>
      <x:c r="L447" s="26"/>
      <x:c r="M447" s="26"/>
    </x:row>
    <x:row r="448">
      <x:c r="G448" s="22"/>
      <x:c r="J448" s="25"/>
      <x:c r="K448" s="25"/>
      <x:c r="L448" s="26"/>
      <x:c r="M448" s="26"/>
    </x:row>
    <x:row r="449">
      <x:c r="G449" s="22"/>
      <x:c r="J449" s="25"/>
      <x:c r="K449" s="25"/>
      <x:c r="L449" s="26"/>
      <x:c r="M449" s="26"/>
    </x:row>
    <x:row r="450">
      <x:c r="G450" s="22"/>
      <x:c r="J450" s="25"/>
      <x:c r="K450" s="25"/>
      <x:c r="L450" s="26"/>
      <x:c r="M450" s="26"/>
    </x:row>
    <x:row r="451">
      <x:c r="G451" s="22"/>
      <x:c r="J451" s="25"/>
      <x:c r="K451" s="25"/>
      <x:c r="L451" s="26"/>
      <x:c r="M451" s="26"/>
    </x:row>
    <x:row r="452">
      <x:c r="G452" s="22"/>
      <x:c r="J452" s="25"/>
      <x:c r="K452" s="25"/>
      <x:c r="L452" s="26"/>
      <x:c r="M452" s="26"/>
    </x:row>
    <x:row r="453">
      <x:c r="G453" s="22"/>
      <x:c r="J453" s="25"/>
      <x:c r="K453" s="25"/>
      <x:c r="L453" s="26"/>
      <x:c r="M453" s="26"/>
    </x:row>
    <x:row r="454">
      <x:c r="G454" s="22"/>
      <x:c r="J454" s="25"/>
      <x:c r="K454" s="25"/>
      <x:c r="L454" s="26"/>
      <x:c r="M454" s="26"/>
    </x:row>
    <x:row r="455">
      <x:c r="G455" s="22"/>
      <x:c r="J455" s="25"/>
      <x:c r="K455" s="25"/>
      <x:c r="L455" s="26"/>
      <x:c r="M455" s="26"/>
    </x:row>
    <x:row r="456">
      <x:c r="G456" s="22"/>
      <x:c r="J456" s="25"/>
      <x:c r="K456" s="25"/>
      <x:c r="L456" s="26"/>
      <x:c r="M456" s="26"/>
    </x:row>
    <x:row r="457">
      <x:c r="G457" s="22"/>
      <x:c r="J457" s="25"/>
      <x:c r="K457" s="25"/>
      <x:c r="L457" s="26"/>
      <x:c r="M457" s="26"/>
    </x:row>
    <x:row r="458">
      <x:c r="G458" s="22"/>
      <x:c r="J458" s="25"/>
      <x:c r="K458" s="25"/>
      <x:c r="L458" s="26"/>
      <x:c r="M458" s="26"/>
    </x:row>
    <x:row r="459">
      <x:c r="G459" s="22"/>
      <x:c r="J459" s="25"/>
      <x:c r="K459" s="25"/>
      <x:c r="L459" s="26"/>
      <x:c r="M459" s="26"/>
    </x:row>
    <x:row r="460">
      <x:c r="G460" s="22"/>
      <x:c r="J460" s="25"/>
      <x:c r="K460" s="25"/>
      <x:c r="L460" s="26"/>
      <x:c r="M460" s="26"/>
    </x:row>
    <x:row r="461">
      <x:c r="G461" s="22"/>
      <x:c r="J461" s="25"/>
      <x:c r="K461" s="25"/>
      <x:c r="L461" s="26"/>
      <x:c r="M461" s="26"/>
    </x:row>
    <x:row r="462">
      <x:c r="G462" s="22"/>
      <x:c r="J462" s="25"/>
      <x:c r="K462" s="25"/>
      <x:c r="L462" s="26"/>
      <x:c r="M462" s="26"/>
    </x:row>
    <x:row r="463">
      <x:c r="G463" s="22"/>
      <x:c r="J463" s="25"/>
      <x:c r="K463" s="25"/>
      <x:c r="L463" s="26"/>
      <x:c r="M463" s="26"/>
    </x:row>
    <x:row r="464">
      <x:c r="G464" s="22"/>
      <x:c r="J464" s="25"/>
      <x:c r="K464" s="25"/>
      <x:c r="L464" s="26"/>
      <x:c r="M464" s="26"/>
    </x:row>
    <x:row r="465">
      <x:c r="G465" s="22"/>
      <x:c r="J465" s="25"/>
      <x:c r="K465" s="25"/>
      <x:c r="L465" s="26"/>
      <x:c r="M465" s="26"/>
    </x:row>
    <x:row r="466">
      <x:c r="G466" s="22"/>
      <x:c r="J466" s="25"/>
      <x:c r="K466" s="25"/>
      <x:c r="L466" s="26"/>
      <x:c r="M466" s="26"/>
    </x:row>
    <x:row r="467">
      <x:c r="G467" s="22"/>
      <x:c r="J467" s="25"/>
      <x:c r="K467" s="25"/>
      <x:c r="L467" s="26"/>
      <x:c r="M467" s="26"/>
    </x:row>
    <x:row r="468">
      <x:c r="G468" s="22"/>
      <x:c r="J468" s="25"/>
      <x:c r="K468" s="25"/>
      <x:c r="L468" s="26"/>
      <x:c r="M468" s="26"/>
    </x:row>
    <x:row r="469">
      <x:c r="G469" s="22"/>
      <x:c r="J469" s="25"/>
      <x:c r="K469" s="25"/>
      <x:c r="L469" s="26"/>
      <x:c r="M469" s="26"/>
    </x:row>
    <x:row r="470">
      <x:c r="G470" s="22"/>
      <x:c r="J470" s="25"/>
      <x:c r="K470" s="25"/>
      <x:c r="L470" s="26"/>
      <x:c r="M470" s="26"/>
    </x:row>
    <x:row r="471">
      <x:c r="G471" s="22"/>
      <x:c r="J471" s="25"/>
      <x:c r="K471" s="25"/>
      <x:c r="L471" s="26"/>
      <x:c r="M471" s="26"/>
    </x:row>
    <x:row r="472">
      <x:c r="G472" s="22"/>
      <x:c r="J472" s="25"/>
      <x:c r="K472" s="25"/>
      <x:c r="L472" s="26"/>
      <x:c r="M472" s="26"/>
    </x:row>
    <x:row r="473">
      <x:c r="G473" s="22"/>
      <x:c r="J473" s="25"/>
      <x:c r="K473" s="25"/>
      <x:c r="L473" s="26"/>
      <x:c r="M473" s="26"/>
    </x:row>
    <x:row r="474">
      <x:c r="G474" s="22"/>
      <x:c r="J474" s="25"/>
      <x:c r="K474" s="25"/>
      <x:c r="L474" s="26"/>
      <x:c r="M474" s="26"/>
    </x:row>
    <x:row r="475">
      <x:c r="G475" s="22"/>
      <x:c r="J475" s="25"/>
      <x:c r="K475" s="25"/>
      <x:c r="L475" s="26"/>
      <x:c r="M475" s="26"/>
    </x:row>
    <x:row r="476">
      <x:c r="G476" s="22"/>
      <x:c r="J476" s="25"/>
      <x:c r="K476" s="25"/>
      <x:c r="L476" s="26"/>
      <x:c r="M476" s="26"/>
    </x:row>
    <x:row r="477">
      <x:c r="G477" s="22"/>
      <x:c r="J477" s="25"/>
      <x:c r="K477" s="25"/>
      <x:c r="L477" s="26"/>
      <x:c r="M477" s="26"/>
    </x:row>
    <x:row r="478">
      <x:c r="G478" s="22"/>
      <x:c r="J478" s="25"/>
      <x:c r="K478" s="25"/>
      <x:c r="L478" s="26"/>
      <x:c r="M478" s="26"/>
    </x:row>
    <x:row r="479">
      <x:c r="G479" s="22"/>
      <x:c r="J479" s="25"/>
      <x:c r="K479" s="25"/>
      <x:c r="L479" s="26"/>
      <x:c r="M479" s="26"/>
    </x:row>
    <x:row r="480">
      <x:c r="G480" s="22"/>
      <x:c r="J480" s="25"/>
      <x:c r="K480" s="25"/>
      <x:c r="L480" s="26"/>
      <x:c r="M480" s="26"/>
    </x:row>
    <x:row r="481">
      <x:c r="G481" s="22"/>
      <x:c r="J481" s="25"/>
      <x:c r="K481" s="25"/>
      <x:c r="L481" s="26"/>
      <x:c r="M481" s="26"/>
    </x:row>
    <x:row r="482">
      <x:c r="G482" s="22"/>
      <x:c r="J482" s="25"/>
      <x:c r="K482" s="25"/>
      <x:c r="L482" s="26"/>
      <x:c r="M482" s="26"/>
    </x:row>
    <x:row r="483">
      <x:c r="G483" s="22"/>
      <x:c r="J483" s="25"/>
      <x:c r="K483" s="25"/>
      <x:c r="L483" s="26"/>
      <x:c r="M483" s="26"/>
    </x:row>
    <x:row r="484">
      <x:c r="G484" s="22"/>
      <x:c r="J484" s="25"/>
      <x:c r="K484" s="25"/>
      <x:c r="L484" s="26"/>
      <x:c r="M484" s="26"/>
    </x:row>
    <x:row r="485">
      <x:c r="G485" s="22"/>
      <x:c r="J485" s="25"/>
      <x:c r="K485" s="25"/>
      <x:c r="L485" s="26"/>
      <x:c r="M485" s="26"/>
    </x:row>
    <x:row r="486">
      <x:c r="G486" s="22"/>
      <x:c r="J486" s="25"/>
      <x:c r="K486" s="25"/>
      <x:c r="L486" s="26"/>
      <x:c r="M486" s="26"/>
    </x:row>
    <x:row r="487">
      <x:c r="G487" s="22"/>
      <x:c r="J487" s="25"/>
      <x:c r="K487" s="25"/>
      <x:c r="L487" s="26"/>
      <x:c r="M487" s="26"/>
    </x:row>
    <x:row r="488">
      <x:c r="G488" s="22"/>
      <x:c r="J488" s="25"/>
      <x:c r="K488" s="25"/>
      <x:c r="L488" s="26"/>
      <x:c r="M488" s="26"/>
    </x:row>
    <x:row r="489">
      <x:c r="G489" s="22"/>
      <x:c r="J489" s="25"/>
      <x:c r="K489" s="25"/>
      <x:c r="L489" s="26"/>
      <x:c r="M489" s="26"/>
    </x:row>
    <x:row r="490">
      <x:c r="G490" s="22"/>
      <x:c r="J490" s="25"/>
      <x:c r="K490" s="25"/>
      <x:c r="L490" s="26"/>
      <x:c r="M490" s="26"/>
    </x:row>
    <x:row r="491">
      <x:c r="G491" s="22"/>
      <x:c r="J491" s="25"/>
      <x:c r="K491" s="25"/>
      <x:c r="L491" s="26"/>
      <x:c r="M491" s="26"/>
    </x:row>
    <x:row r="492">
      <x:c r="G492" s="22"/>
      <x:c r="J492" s="25"/>
      <x:c r="K492" s="25"/>
      <x:c r="L492" s="26"/>
      <x:c r="M492" s="26"/>
    </x:row>
    <x:row r="493">
      <x:c r="G493" s="22"/>
      <x:c r="J493" s="25"/>
      <x:c r="K493" s="25"/>
      <x:c r="L493" s="26"/>
      <x:c r="M493" s="26"/>
    </x:row>
    <x:row r="494">
      <x:c r="G494" s="22"/>
      <x:c r="J494" s="25"/>
      <x:c r="K494" s="25"/>
      <x:c r="L494" s="26"/>
      <x:c r="M494" s="26"/>
    </x:row>
    <x:row r="495">
      <x:c r="G495" s="22"/>
      <x:c r="J495" s="25"/>
      <x:c r="K495" s="25"/>
      <x:c r="L495" s="26"/>
      <x:c r="M495" s="26"/>
    </x:row>
    <x:row r="496">
      <x:c r="G496" s="22"/>
      <x:c r="J496" s="25"/>
      <x:c r="K496" s="25"/>
      <x:c r="L496" s="26"/>
      <x:c r="M496" s="26"/>
    </x:row>
    <x:row r="497">
      <x:c r="G497" s="22"/>
      <x:c r="J497" s="25"/>
      <x:c r="K497" s="25"/>
      <x:c r="L497" s="26"/>
      <x:c r="M497" s="26"/>
    </x:row>
    <x:row r="498">
      <x:c r="G498" s="22"/>
      <x:c r="J498" s="25"/>
      <x:c r="K498" s="25"/>
      <x:c r="L498" s="26"/>
      <x:c r="M498" s="26"/>
    </x:row>
    <x:row r="499">
      <x:c r="G499" s="22"/>
      <x:c r="J499" s="25"/>
      <x:c r="K499" s="25"/>
      <x:c r="L499" s="26"/>
      <x:c r="M499" s="26"/>
    </x:row>
    <x:row r="500">
      <x:c r="G500" s="22"/>
      <x:c r="J500" s="25"/>
      <x:c r="K500" s="25"/>
      <x:c r="L500" s="26"/>
      <x:c r="M500" s="26"/>
    </x:row>
    <x:row r="501">
      <x:c r="G501" s="22"/>
      <x:c r="J501" s="25"/>
      <x:c r="K501" s="25"/>
      <x:c r="L501" s="26"/>
      <x:c r="M501" s="26"/>
    </x:row>
    <x:row r="502">
      <x:c r="G502" s="22"/>
      <x:c r="J502" s="25"/>
      <x:c r="K502" s="25"/>
      <x:c r="L502" s="26"/>
      <x:c r="M502" s="26"/>
    </x:row>
    <x:row r="503">
      <x:c r="G503" s="22"/>
      <x:c r="J503" s="25"/>
      <x:c r="K503" s="25"/>
      <x:c r="L503" s="26"/>
      <x:c r="M503" s="26"/>
    </x:row>
    <x:row r="504">
      <x:c r="G504" s="22"/>
      <x:c r="J504" s="25"/>
      <x:c r="K504" s="25"/>
      <x:c r="L504" s="26"/>
      <x:c r="M504" s="26"/>
    </x:row>
    <x:row r="505">
      <x:c r="G505" s="22"/>
      <x:c r="J505" s="25"/>
      <x:c r="K505" s="25"/>
      <x:c r="L505" s="26"/>
      <x:c r="M505" s="26"/>
    </x:row>
    <x:row r="506">
      <x:c r="G506" s="22"/>
      <x:c r="J506" s="25"/>
      <x:c r="K506" s="25"/>
      <x:c r="L506" s="26"/>
      <x:c r="M506" s="26"/>
    </x:row>
    <x:row r="507">
      <x:c r="G507" s="22"/>
      <x:c r="J507" s="25"/>
      <x:c r="K507" s="25"/>
      <x:c r="L507" s="26"/>
      <x:c r="M507" s="26"/>
    </x:row>
    <x:row r="508">
      <x:c r="G508" s="22"/>
      <x:c r="J508" s="25"/>
      <x:c r="K508" s="25"/>
      <x:c r="L508" s="26"/>
      <x:c r="M508" s="26"/>
    </x:row>
    <x:row r="509">
      <x:c r="G509" s="22"/>
      <x:c r="J509" s="25"/>
      <x:c r="K509" s="25"/>
      <x:c r="L509" s="26"/>
      <x:c r="M509" s="26"/>
    </x:row>
    <x:row r="510">
      <x:c r="G510" s="22"/>
      <x:c r="J510" s="25"/>
      <x:c r="K510" s="25"/>
      <x:c r="L510" s="26"/>
      <x:c r="M510" s="26"/>
    </x:row>
    <x:row r="511">
      <x:c r="G511" s="22"/>
      <x:c r="J511" s="25"/>
      <x:c r="K511" s="25"/>
      <x:c r="L511" s="26"/>
      <x:c r="M511" s="26"/>
    </x:row>
    <x:row r="512">
      <x:c r="G512" s="22"/>
      <x:c r="J512" s="25"/>
      <x:c r="K512" s="25"/>
      <x:c r="L512" s="26"/>
      <x:c r="M512" s="26"/>
    </x:row>
    <x:row r="513">
      <x:c r="G513" s="22"/>
      <x:c r="J513" s="25"/>
      <x:c r="K513" s="25"/>
      <x:c r="L513" s="26"/>
      <x:c r="M513" s="26"/>
    </x:row>
    <x:row r="514">
      <x:c r="G514" s="22"/>
      <x:c r="J514" s="25"/>
      <x:c r="K514" s="25"/>
      <x:c r="L514" s="26"/>
      <x:c r="M514" s="26"/>
    </x:row>
    <x:row r="515">
      <x:c r="G515" s="22"/>
      <x:c r="J515" s="25"/>
      <x:c r="K515" s="25"/>
      <x:c r="L515" s="26"/>
      <x:c r="M515" s="26"/>
    </x:row>
    <x:row r="516">
      <x:c r="G516" s="22"/>
      <x:c r="J516" s="25"/>
      <x:c r="K516" s="25"/>
      <x:c r="L516" s="26"/>
      <x:c r="M516" s="26"/>
    </x:row>
    <x:row r="517">
      <x:c r="G517" s="22"/>
      <x:c r="J517" s="25"/>
      <x:c r="K517" s="25"/>
      <x:c r="L517" s="26"/>
      <x:c r="M517" s="26"/>
    </x:row>
    <x:row r="518">
      <x:c r="G518" s="22"/>
      <x:c r="J518" s="25"/>
      <x:c r="K518" s="25"/>
      <x:c r="L518" s="26"/>
      <x:c r="M518" s="26"/>
    </x:row>
    <x:row r="519">
      <x:c r="G519" s="22"/>
      <x:c r="J519" s="25"/>
      <x:c r="K519" s="25"/>
      <x:c r="L519" s="26"/>
      <x:c r="M519" s="26"/>
    </x:row>
    <x:row r="520">
      <x:c r="G520" s="22"/>
      <x:c r="J520" s="25"/>
      <x:c r="K520" s="25"/>
      <x:c r="L520" s="26"/>
      <x:c r="M520" s="26"/>
    </x:row>
    <x:row r="521">
      <x:c r="G521" s="22"/>
      <x:c r="J521" s="25"/>
      <x:c r="K521" s="25"/>
      <x:c r="L521" s="26"/>
      <x:c r="M521" s="26"/>
    </x:row>
    <x:row r="522">
      <x:c r="G522" s="22"/>
      <x:c r="J522" s="25"/>
      <x:c r="K522" s="25"/>
      <x:c r="L522" s="26"/>
      <x:c r="M522" s="26"/>
    </x:row>
    <x:row r="523">
      <x:c r="G523" s="22"/>
      <x:c r="J523" s="25"/>
      <x:c r="K523" s="25"/>
      <x:c r="L523" s="26"/>
      <x:c r="M523" s="26"/>
    </x:row>
    <x:row r="524">
      <x:c r="G524" s="22"/>
      <x:c r="J524" s="25"/>
      <x:c r="K524" s="25"/>
      <x:c r="L524" s="26"/>
      <x:c r="M524" s="26"/>
    </x:row>
    <x:row r="525">
      <x:c r="G525" s="22"/>
      <x:c r="J525" s="25"/>
      <x:c r="K525" s="25"/>
      <x:c r="L525" s="26"/>
      <x:c r="M525" s="26"/>
    </x:row>
    <x:row r="526">
      <x:c r="G526" s="22"/>
      <x:c r="J526" s="25"/>
      <x:c r="K526" s="25"/>
      <x:c r="L526" s="26"/>
      <x:c r="M526" s="26"/>
    </x:row>
    <x:row r="527">
      <x:c r="G527" s="22"/>
      <x:c r="J527" s="25"/>
      <x:c r="K527" s="25"/>
      <x:c r="L527" s="26"/>
      <x:c r="M527" s="26"/>
    </x:row>
    <x:row r="528">
      <x:c r="G528" s="22"/>
      <x:c r="J528" s="25"/>
      <x:c r="K528" s="25"/>
      <x:c r="L528" s="26"/>
      <x:c r="M528" s="26"/>
    </x:row>
    <x:row r="529">
      <x:c r="G529" s="22"/>
      <x:c r="J529" s="25"/>
      <x:c r="K529" s="25"/>
      <x:c r="L529" s="26"/>
      <x:c r="M529" s="26"/>
    </x:row>
    <x:row r="530">
      <x:c r="G530" s="22"/>
      <x:c r="J530" s="25"/>
      <x:c r="K530" s="25"/>
      <x:c r="L530" s="26"/>
      <x:c r="M530" s="26"/>
    </x:row>
    <x:row r="531">
      <x:c r="G531" s="22"/>
      <x:c r="J531" s="25"/>
      <x:c r="K531" s="25"/>
      <x:c r="L531" s="26"/>
      <x:c r="M531" s="26"/>
    </x:row>
    <x:row r="532">
      <x:c r="G532" s="22"/>
      <x:c r="J532" s="25"/>
      <x:c r="K532" s="25"/>
      <x:c r="L532" s="26"/>
      <x:c r="M532" s="26"/>
    </x:row>
    <x:row r="533">
      <x:c r="G533" s="22"/>
      <x:c r="J533" s="25"/>
      <x:c r="K533" s="25"/>
      <x:c r="L533" s="26"/>
      <x:c r="M533" s="26"/>
    </x:row>
    <x:row r="534">
      <x:c r="G534" s="22"/>
      <x:c r="J534" s="25"/>
      <x:c r="K534" s="25"/>
      <x:c r="L534" s="26"/>
      <x:c r="M534" s="26"/>
    </x:row>
    <x:row r="535">
      <x:c r="G535" s="22"/>
      <x:c r="J535" s="25"/>
      <x:c r="K535" s="25"/>
      <x:c r="L535" s="26"/>
      <x:c r="M535" s="26"/>
    </x:row>
    <x:row r="536">
      <x:c r="G536" s="22"/>
      <x:c r="J536" s="25"/>
      <x:c r="K536" s="25"/>
      <x:c r="L536" s="26"/>
      <x:c r="M536" s="26"/>
    </x:row>
    <x:row r="537">
      <x:c r="G537" s="22"/>
      <x:c r="J537" s="25"/>
      <x:c r="K537" s="25"/>
      <x:c r="L537" s="26"/>
      <x:c r="M537" s="26"/>
    </x:row>
    <x:row r="538">
      <x:c r="G538" s="22"/>
      <x:c r="J538" s="25"/>
      <x:c r="K538" s="25"/>
      <x:c r="L538" s="26"/>
      <x:c r="M538" s="26"/>
    </x:row>
    <x:row r="539">
      <x:c r="G539" s="22"/>
      <x:c r="J539" s="25"/>
      <x:c r="K539" s="25"/>
      <x:c r="L539" s="26"/>
      <x:c r="M539" s="26"/>
    </x:row>
    <x:row r="540">
      <x:c r="G540" s="22"/>
      <x:c r="J540" s="25"/>
      <x:c r="K540" s="25"/>
      <x:c r="L540" s="26"/>
      <x:c r="M540" s="26"/>
    </x:row>
    <x:row r="541">
      <x:c r="G541" s="22"/>
      <x:c r="J541" s="25"/>
      <x:c r="K541" s="25"/>
      <x:c r="L541" s="26"/>
      <x:c r="M541" s="26"/>
    </x:row>
    <x:row r="542">
      <x:c r="G542" s="22"/>
      <x:c r="J542" s="25"/>
      <x:c r="K542" s="25"/>
      <x:c r="L542" s="26"/>
      <x:c r="M542" s="26"/>
    </x:row>
    <x:row r="543">
      <x:c r="G543" s="22"/>
      <x:c r="J543" s="25"/>
      <x:c r="K543" s="25"/>
      <x:c r="L543" s="26"/>
      <x:c r="M543" s="26"/>
    </x:row>
    <x:row r="544">
      <x:c r="G544" s="22"/>
      <x:c r="J544" s="25"/>
      <x:c r="K544" s="25"/>
      <x:c r="L544" s="26"/>
      <x:c r="M544" s="26"/>
    </x:row>
    <x:row r="545">
      <x:c r="G545" s="22"/>
      <x:c r="J545" s="25"/>
      <x:c r="K545" s="25"/>
      <x:c r="L545" s="26"/>
      <x:c r="M545" s="26"/>
    </x:row>
    <x:row r="546">
      <x:c r="G546" s="22"/>
      <x:c r="J546" s="25"/>
      <x:c r="K546" s="25"/>
      <x:c r="L546" s="26"/>
      <x:c r="M546" s="26"/>
    </x:row>
    <x:row r="547">
      <x:c r="G547" s="22"/>
      <x:c r="J547" s="25"/>
      <x:c r="K547" s="25"/>
      <x:c r="L547" s="26"/>
      <x:c r="M547" s="26"/>
    </x:row>
    <x:row r="548">
      <x:c r="G548" s="22"/>
      <x:c r="J548" s="25"/>
      <x:c r="K548" s="25"/>
      <x:c r="L548" s="26"/>
      <x:c r="M548" s="26"/>
    </x:row>
    <x:row r="549">
      <x:c r="G549" s="22"/>
      <x:c r="J549" s="25"/>
      <x:c r="K549" s="25"/>
      <x:c r="L549" s="26"/>
      <x:c r="M549" s="26"/>
    </x:row>
    <x:row r="550">
      <x:c r="G550" s="22"/>
      <x:c r="J550" s="25"/>
      <x:c r="K550" s="25"/>
      <x:c r="L550" s="26"/>
      <x:c r="M550" s="26"/>
    </x:row>
    <x:row r="551">
      <x:c r="G551" s="22"/>
      <x:c r="J551" s="25"/>
      <x:c r="K551" s="25"/>
      <x:c r="L551" s="26"/>
      <x:c r="M551" s="26"/>
    </x:row>
    <x:row r="552">
      <x:c r="G552" s="22"/>
      <x:c r="J552" s="25"/>
      <x:c r="K552" s="25"/>
      <x:c r="L552" s="26"/>
      <x:c r="M552" s="26"/>
    </x:row>
    <x:row r="553">
      <x:c r="G553" s="22"/>
      <x:c r="J553" s="25"/>
      <x:c r="K553" s="25"/>
      <x:c r="L553" s="26"/>
      <x:c r="M553" s="26"/>
    </x:row>
    <x:row r="554">
      <x:c r="G554" s="22"/>
      <x:c r="J554" s="25"/>
      <x:c r="K554" s="25"/>
      <x:c r="L554" s="26"/>
      <x:c r="M554" s="26"/>
    </x:row>
    <x:row r="555">
      <x:c r="G555" s="22"/>
      <x:c r="J555" s="25"/>
      <x:c r="K555" s="25"/>
      <x:c r="L555" s="26"/>
      <x:c r="M555" s="26"/>
    </x:row>
    <x:row r="556">
      <x:c r="G556" s="22"/>
      <x:c r="J556" s="25"/>
      <x:c r="K556" s="25"/>
      <x:c r="L556" s="26"/>
      <x:c r="M556" s="26"/>
    </x:row>
    <x:row r="557">
      <x:c r="G557" s="22"/>
      <x:c r="J557" s="25"/>
      <x:c r="K557" s="25"/>
      <x:c r="L557" s="26"/>
      <x:c r="M557" s="26"/>
    </x:row>
    <x:row r="558">
      <x:c r="G558" s="22"/>
      <x:c r="J558" s="25"/>
      <x:c r="K558" s="25"/>
      <x:c r="L558" s="26"/>
      <x:c r="M558" s="26"/>
    </x:row>
    <x:row r="559">
      <x:c r="G559" s="22"/>
      <x:c r="J559" s="25"/>
      <x:c r="K559" s="25"/>
      <x:c r="L559" s="26"/>
      <x:c r="M559" s="26"/>
    </x:row>
    <x:row r="560">
      <x:c r="G560" s="22"/>
      <x:c r="J560" s="25"/>
      <x:c r="K560" s="25"/>
      <x:c r="L560" s="26"/>
      <x:c r="M560" s="26"/>
    </x:row>
    <x:row r="561">
      <x:c r="G561" s="22"/>
      <x:c r="J561" s="25"/>
      <x:c r="K561" s="25"/>
      <x:c r="L561" s="26"/>
      <x:c r="M561" s="26"/>
    </x:row>
    <x:row r="562">
      <x:c r="G562" s="22"/>
      <x:c r="J562" s="25"/>
      <x:c r="K562" s="25"/>
      <x:c r="L562" s="26"/>
      <x:c r="M562" s="26"/>
    </x:row>
    <x:row r="563">
      <x:c r="G563" s="22"/>
      <x:c r="J563" s="25"/>
      <x:c r="K563" s="25"/>
      <x:c r="L563" s="26"/>
      <x:c r="M563" s="26"/>
    </x:row>
    <x:row r="564">
      <x:c r="G564" s="22"/>
      <x:c r="J564" s="25"/>
      <x:c r="K564" s="25"/>
      <x:c r="L564" s="26"/>
      <x:c r="M564" s="26"/>
    </x:row>
    <x:row r="565">
      <x:c r="G565" s="22"/>
      <x:c r="J565" s="25"/>
      <x:c r="K565" s="25"/>
      <x:c r="L565" s="26"/>
      <x:c r="M565" s="26"/>
    </x:row>
    <x:row r="566">
      <x:c r="G566" s="22"/>
      <x:c r="J566" s="25"/>
      <x:c r="K566" s="25"/>
      <x:c r="L566" s="26"/>
      <x:c r="M566" s="26"/>
    </x:row>
    <x:row r="567">
      <x:c r="G567" s="22"/>
      <x:c r="J567" s="25"/>
      <x:c r="K567" s="25"/>
      <x:c r="L567" s="26"/>
      <x:c r="M567" s="26"/>
    </x:row>
    <x:row r="568">
      <x:c r="G568" s="22"/>
      <x:c r="J568" s="25"/>
      <x:c r="K568" s="25"/>
      <x:c r="L568" s="26"/>
      <x:c r="M568" s="26"/>
    </x:row>
    <x:row r="569">
      <x:c r="G569" s="22"/>
      <x:c r="J569" s="25"/>
      <x:c r="K569" s="25"/>
      <x:c r="L569" s="26"/>
      <x:c r="M569" s="26"/>
    </x:row>
    <x:row r="570">
      <x:c r="G570" s="22"/>
      <x:c r="J570" s="25"/>
      <x:c r="K570" s="25"/>
      <x:c r="L570" s="26"/>
      <x:c r="M570" s="26"/>
    </x:row>
    <x:row r="571">
      <x:c r="G571" s="22"/>
      <x:c r="J571" s="25"/>
      <x:c r="K571" s="25"/>
      <x:c r="L571" s="26"/>
      <x:c r="M571" s="26"/>
    </x:row>
    <x:row r="572">
      <x:c r="G572" s="22"/>
      <x:c r="J572" s="25"/>
      <x:c r="K572" s="25"/>
      <x:c r="L572" s="26"/>
      <x:c r="M572" s="26"/>
    </x:row>
    <x:row r="573">
      <x:c r="G573" s="22"/>
      <x:c r="J573" s="25"/>
      <x:c r="K573" s="25"/>
      <x:c r="L573" s="26"/>
      <x:c r="M573" s="26"/>
    </x:row>
    <x:row r="574">
      <x:c r="G574" s="22"/>
      <x:c r="J574" s="25"/>
      <x:c r="K574" s="25"/>
      <x:c r="L574" s="26"/>
      <x:c r="M574" s="26"/>
    </x:row>
    <x:row r="575">
      <x:c r="G575" s="22"/>
      <x:c r="J575" s="25"/>
      <x:c r="K575" s="25"/>
      <x:c r="L575" s="26"/>
      <x:c r="M575" s="26"/>
    </x:row>
    <x:row r="576">
      <x:c r="G576" s="22"/>
      <x:c r="J576" s="25"/>
      <x:c r="K576" s="25"/>
      <x:c r="L576" s="26"/>
      <x:c r="M576" s="26"/>
    </x:row>
    <x:row r="577">
      <x:c r="G577" s="22"/>
      <x:c r="J577" s="25"/>
      <x:c r="K577" s="25"/>
      <x:c r="L577" s="26"/>
      <x:c r="M577" s="26"/>
    </x:row>
    <x:row r="578">
      <x:c r="G578" s="22"/>
      <x:c r="J578" s="25"/>
      <x:c r="K578" s="25"/>
      <x:c r="L578" s="26"/>
      <x:c r="M578" s="26"/>
    </x:row>
    <x:row r="579">
      <x:c r="G579" s="22"/>
      <x:c r="J579" s="25"/>
      <x:c r="K579" s="25"/>
      <x:c r="L579" s="26"/>
      <x:c r="M579" s="26"/>
    </x:row>
    <x:row r="580">
      <x:c r="G580" s="22"/>
      <x:c r="J580" s="25"/>
      <x:c r="K580" s="25"/>
      <x:c r="L580" s="26"/>
      <x:c r="M580" s="26"/>
    </x:row>
    <x:row r="581">
      <x:c r="G581" s="22"/>
      <x:c r="J581" s="25"/>
      <x:c r="K581" s="25"/>
      <x:c r="L581" s="26"/>
      <x:c r="M581" s="26"/>
    </x:row>
    <x:row r="582">
      <x:c r="G582" s="22"/>
      <x:c r="J582" s="25"/>
      <x:c r="K582" s="25"/>
      <x:c r="L582" s="26"/>
      <x:c r="M582" s="26"/>
    </x:row>
    <x:row r="583">
      <x:c r="G583" s="22"/>
      <x:c r="J583" s="25"/>
      <x:c r="K583" s="25"/>
      <x:c r="L583" s="26"/>
      <x:c r="M583" s="26"/>
    </x:row>
    <x:row r="584">
      <x:c r="G584" s="22"/>
      <x:c r="J584" s="25"/>
      <x:c r="K584" s="25"/>
      <x:c r="L584" s="26"/>
      <x:c r="M584" s="26"/>
    </x:row>
    <x:row r="585">
      <x:c r="G585" s="22"/>
      <x:c r="J585" s="25"/>
      <x:c r="K585" s="25"/>
      <x:c r="L585" s="26"/>
      <x:c r="M585" s="26"/>
    </x:row>
    <x:row r="586">
      <x:c r="G586" s="22"/>
      <x:c r="J586" s="25"/>
      <x:c r="K586" s="25"/>
      <x:c r="L586" s="26"/>
      <x:c r="M586" s="26"/>
    </x:row>
    <x:row r="587">
      <x:c r="G587" s="22"/>
      <x:c r="J587" s="25"/>
      <x:c r="K587" s="25"/>
      <x:c r="L587" s="26"/>
      <x:c r="M587" s="26"/>
    </x:row>
    <x:row r="588">
      <x:c r="G588" s="22"/>
      <x:c r="J588" s="25"/>
      <x:c r="K588" s="25"/>
      <x:c r="L588" s="26"/>
      <x:c r="M588" s="26"/>
    </x:row>
    <x:row r="589">
      <x:c r="G589" s="22"/>
      <x:c r="J589" s="25"/>
      <x:c r="K589" s="25"/>
      <x:c r="L589" s="26"/>
      <x:c r="M589" s="26"/>
    </x:row>
    <x:row r="590">
      <x:c r="G590" s="22"/>
      <x:c r="J590" s="25"/>
      <x:c r="K590" s="25"/>
      <x:c r="L590" s="26"/>
      <x:c r="M590" s="26"/>
    </x:row>
    <x:row r="591">
      <x:c r="G591" s="22"/>
      <x:c r="J591" s="25"/>
      <x:c r="K591" s="25"/>
      <x:c r="L591" s="26"/>
      <x:c r="M591" s="26"/>
    </x:row>
    <x:row r="592">
      <x:c r="G592" s="22"/>
      <x:c r="J592" s="25"/>
      <x:c r="K592" s="25"/>
      <x:c r="L592" s="26"/>
      <x:c r="M592" s="26"/>
    </x:row>
    <x:row r="593">
      <x:c r="G593" s="22"/>
      <x:c r="J593" s="25"/>
      <x:c r="K593" s="25"/>
      <x:c r="L593" s="26"/>
      <x:c r="M593" s="26"/>
    </x:row>
    <x:row r="594">
      <x:c r="G594" s="22"/>
      <x:c r="J594" s="25"/>
      <x:c r="K594" s="25"/>
      <x:c r="L594" s="26"/>
      <x:c r="M594" s="26"/>
    </x:row>
    <x:row r="595">
      <x:c r="G595" s="22"/>
      <x:c r="J595" s="25"/>
      <x:c r="K595" s="25"/>
      <x:c r="L595" s="26"/>
      <x:c r="M595" s="26"/>
    </x:row>
    <x:row r="596">
      <x:c r="G596" s="22"/>
      <x:c r="J596" s="25"/>
      <x:c r="K596" s="25"/>
      <x:c r="L596" s="26"/>
      <x:c r="M596" s="26"/>
    </x:row>
    <x:row r="597">
      <x:c r="G597" s="22"/>
      <x:c r="J597" s="25"/>
      <x:c r="K597" s="25"/>
      <x:c r="L597" s="26"/>
      <x:c r="M597" s="26"/>
    </x:row>
    <x:row r="598">
      <x:c r="G598" s="22"/>
      <x:c r="J598" s="25"/>
      <x:c r="K598" s="25"/>
      <x:c r="L598" s="26"/>
      <x:c r="M598" s="26"/>
    </x:row>
    <x:row r="599">
      <x:c r="G599" s="22"/>
      <x:c r="J599" s="25"/>
      <x:c r="K599" s="25"/>
      <x:c r="L599" s="26"/>
      <x:c r="M599" s="26"/>
    </x:row>
    <x:row r="600">
      <x:c r="G600" s="22"/>
      <x:c r="J600" s="25"/>
      <x:c r="K600" s="25"/>
      <x:c r="L600" s="26"/>
      <x:c r="M600" s="26"/>
    </x:row>
    <x:row r="601">
      <x:c r="G601" s="22"/>
      <x:c r="J601" s="25"/>
      <x:c r="K601" s="25"/>
      <x:c r="L601" s="26"/>
      <x:c r="M601" s="26"/>
    </x:row>
    <x:row r="602">
      <x:c r="G602" s="22"/>
      <x:c r="J602" s="25"/>
      <x:c r="K602" s="25"/>
      <x:c r="L602" s="26"/>
      <x:c r="M602" s="26"/>
    </x:row>
    <x:row r="603">
      <x:c r="G603" s="22"/>
      <x:c r="J603" s="25"/>
      <x:c r="K603" s="25"/>
      <x:c r="L603" s="26"/>
      <x:c r="M603" s="26"/>
    </x:row>
    <x:row r="604">
      <x:c r="G604" s="22"/>
      <x:c r="J604" s="25"/>
      <x:c r="K604" s="25"/>
      <x:c r="L604" s="26"/>
      <x:c r="M604" s="26"/>
    </x:row>
    <x:row r="605">
      <x:c r="G605" s="22"/>
      <x:c r="J605" s="25"/>
      <x:c r="K605" s="25"/>
      <x:c r="L605" s="26"/>
      <x:c r="M605" s="26"/>
    </x:row>
    <x:row r="606">
      <x:c r="G606" s="22"/>
      <x:c r="J606" s="25"/>
      <x:c r="K606" s="25"/>
      <x:c r="L606" s="26"/>
      <x:c r="M606" s="26"/>
    </x:row>
    <x:row r="607">
      <x:c r="G607" s="22"/>
      <x:c r="J607" s="25"/>
      <x:c r="K607" s="25"/>
      <x:c r="L607" s="26"/>
      <x:c r="M607" s="26"/>
    </x:row>
    <x:row r="608">
      <x:c r="G608" s="22"/>
      <x:c r="J608" s="25"/>
      <x:c r="K608" s="25"/>
      <x:c r="L608" s="26"/>
      <x:c r="M608" s="26"/>
    </x:row>
    <x:row r="609">
      <x:c r="G609" s="22"/>
      <x:c r="J609" s="25"/>
      <x:c r="K609" s="25"/>
      <x:c r="L609" s="26"/>
      <x:c r="M609" s="26"/>
    </x:row>
    <x:row r="610">
      <x:c r="G610" s="22"/>
      <x:c r="J610" s="25"/>
      <x:c r="K610" s="25"/>
      <x:c r="L610" s="26"/>
      <x:c r="M610" s="26"/>
    </x:row>
    <x:row r="611">
      <x:c r="G611" s="22"/>
      <x:c r="J611" s="25"/>
      <x:c r="K611" s="25"/>
      <x:c r="L611" s="26"/>
      <x:c r="M611" s="26"/>
    </x:row>
    <x:row r="612">
      <x:c r="G612" s="22"/>
      <x:c r="J612" s="25"/>
      <x:c r="K612" s="25"/>
      <x:c r="L612" s="26"/>
      <x:c r="M612" s="26"/>
    </x:row>
    <x:row r="613">
      <x:c r="G613" s="22"/>
      <x:c r="J613" s="25"/>
      <x:c r="K613" s="25"/>
      <x:c r="L613" s="26"/>
      <x:c r="M613" s="26"/>
    </x:row>
    <x:row r="614">
      <x:c r="G614" s="22"/>
      <x:c r="J614" s="25"/>
      <x:c r="K614" s="25"/>
      <x:c r="L614" s="26"/>
      <x:c r="M614" s="26"/>
    </x:row>
    <x:row r="615">
      <x:c r="G615" s="22"/>
      <x:c r="J615" s="25"/>
      <x:c r="K615" s="25"/>
      <x:c r="L615" s="26"/>
      <x:c r="M615" s="26"/>
    </x:row>
    <x:row r="616">
      <x:c r="G616" s="22"/>
      <x:c r="J616" s="25"/>
      <x:c r="K616" s="25"/>
      <x:c r="L616" s="26"/>
      <x:c r="M616" s="26"/>
    </x:row>
    <x:row r="617">
      <x:c r="G617" s="22"/>
      <x:c r="J617" s="25"/>
      <x:c r="K617" s="25"/>
      <x:c r="L617" s="26"/>
      <x:c r="M617" s="26"/>
    </x:row>
    <x:row r="618">
      <x:c r="G618" s="22"/>
      <x:c r="J618" s="25"/>
      <x:c r="K618" s="25"/>
      <x:c r="L618" s="26"/>
      <x:c r="M618" s="26"/>
    </x:row>
    <x:row r="619">
      <x:c r="G619" s="22"/>
      <x:c r="J619" s="25"/>
      <x:c r="K619" s="25"/>
      <x:c r="L619" s="26"/>
      <x:c r="M619" s="26"/>
    </x:row>
    <x:row r="620">
      <x:c r="G620" s="22"/>
      <x:c r="J620" s="25"/>
      <x:c r="K620" s="25"/>
      <x:c r="L620" s="26"/>
      <x:c r="M620" s="26"/>
    </x:row>
    <x:row r="621">
      <x:c r="G621" s="22"/>
      <x:c r="J621" s="25"/>
      <x:c r="K621" s="25"/>
      <x:c r="L621" s="26"/>
      <x:c r="M621" s="26"/>
    </x:row>
    <x:row r="622">
      <x:c r="G622" s="22"/>
      <x:c r="J622" s="25"/>
      <x:c r="K622" s="25"/>
      <x:c r="L622" s="26"/>
      <x:c r="M622" s="26"/>
    </x:row>
    <x:row r="623">
      <x:c r="G623" s="22"/>
      <x:c r="J623" s="25"/>
      <x:c r="K623" s="25"/>
      <x:c r="L623" s="26"/>
      <x:c r="M623" s="26"/>
    </x:row>
    <x:row r="624">
      <x:c r="G624" s="22"/>
      <x:c r="J624" s="25"/>
      <x:c r="K624" s="25"/>
      <x:c r="L624" s="26"/>
      <x:c r="M624" s="26"/>
    </x:row>
    <x:row r="625">
      <x:c r="G625" s="22"/>
      <x:c r="J625" s="25"/>
      <x:c r="K625" s="25"/>
      <x:c r="L625" s="26"/>
      <x:c r="M625" s="26"/>
    </x:row>
    <x:row r="626">
      <x:c r="G626" s="22"/>
      <x:c r="J626" s="25"/>
      <x:c r="K626" s="25"/>
      <x:c r="L626" s="26"/>
      <x:c r="M626" s="26"/>
    </x:row>
    <x:row r="627">
      <x:c r="G627" s="22"/>
      <x:c r="J627" s="25"/>
      <x:c r="K627" s="25"/>
      <x:c r="L627" s="26"/>
      <x:c r="M627" s="26"/>
    </x:row>
    <x:row r="628">
      <x:c r="G628" s="22"/>
      <x:c r="J628" s="25"/>
      <x:c r="K628" s="25"/>
      <x:c r="L628" s="26"/>
      <x:c r="M628" s="26"/>
    </x:row>
    <x:row r="629">
      <x:c r="G629" s="22"/>
      <x:c r="J629" s="25"/>
      <x:c r="K629" s="25"/>
      <x:c r="L629" s="26"/>
      <x:c r="M629" s="26"/>
    </x:row>
    <x:row r="630">
      <x:c r="G630" s="22"/>
      <x:c r="J630" s="25"/>
      <x:c r="K630" s="25"/>
      <x:c r="L630" s="26"/>
      <x:c r="M630" s="26"/>
    </x:row>
    <x:row r="631">
      <x:c r="G631" s="22"/>
      <x:c r="J631" s="25"/>
      <x:c r="K631" s="25"/>
      <x:c r="L631" s="26"/>
      <x:c r="M631" s="26"/>
    </x:row>
    <x:row r="632">
      <x:c r="G632" s="22"/>
      <x:c r="J632" s="25"/>
      <x:c r="K632" s="25"/>
      <x:c r="L632" s="26"/>
      <x:c r="M632" s="26"/>
    </x:row>
    <x:row r="633">
      <x:c r="G633" s="22"/>
      <x:c r="J633" s="25"/>
      <x:c r="K633" s="25"/>
      <x:c r="L633" s="26"/>
      <x:c r="M633" s="26"/>
    </x:row>
    <x:row r="634">
      <x:c r="G634" s="22"/>
      <x:c r="J634" s="25"/>
      <x:c r="K634" s="25"/>
      <x:c r="L634" s="26"/>
      <x:c r="M634" s="26"/>
    </x:row>
    <x:row r="635">
      <x:c r="G635" s="22"/>
      <x:c r="J635" s="25"/>
      <x:c r="K635" s="25"/>
      <x:c r="L635" s="26"/>
      <x:c r="M635" s="26"/>
    </x:row>
    <x:row r="636">
      <x:c r="G636" s="22"/>
      <x:c r="J636" s="25"/>
      <x:c r="K636" s="25"/>
      <x:c r="L636" s="26"/>
      <x:c r="M636" s="26"/>
    </x:row>
    <x:row r="637">
      <x:c r="G637" s="22"/>
      <x:c r="J637" s="25"/>
      <x:c r="K637" s="25"/>
      <x:c r="L637" s="26"/>
      <x:c r="M637" s="26"/>
    </x:row>
    <x:row r="638">
      <x:c r="G638" s="22"/>
      <x:c r="J638" s="25"/>
      <x:c r="K638" s="25"/>
      <x:c r="L638" s="26"/>
      <x:c r="M638" s="26"/>
    </x:row>
    <x:row r="639">
      <x:c r="G639" s="22"/>
      <x:c r="J639" s="25"/>
      <x:c r="K639" s="25"/>
      <x:c r="L639" s="26"/>
      <x:c r="M639" s="26"/>
    </x:row>
    <x:row r="640">
      <x:c r="G640" s="22"/>
      <x:c r="J640" s="25"/>
      <x:c r="K640" s="25"/>
      <x:c r="L640" s="26"/>
      <x:c r="M640" s="26"/>
    </x:row>
    <x:row r="641">
      <x:c r="G641" s="22"/>
      <x:c r="J641" s="25"/>
      <x:c r="K641" s="25"/>
      <x:c r="L641" s="26"/>
      <x:c r="M641" s="26"/>
    </x:row>
    <x:row r="642">
      <x:c r="G642" s="22"/>
      <x:c r="J642" s="25"/>
      <x:c r="K642" s="25"/>
      <x:c r="L642" s="26"/>
      <x:c r="M642" s="26"/>
    </x:row>
    <x:row r="643">
      <x:c r="G643" s="22"/>
      <x:c r="J643" s="25"/>
      <x:c r="K643" s="25"/>
      <x:c r="L643" s="26"/>
      <x:c r="M643" s="26"/>
    </x:row>
    <x:row r="644">
      <x:c r="G644" s="22"/>
      <x:c r="J644" s="25"/>
      <x:c r="K644" s="25"/>
      <x:c r="L644" s="26"/>
      <x:c r="M644" s="26"/>
    </x:row>
    <x:row r="645">
      <x:c r="G645" s="22"/>
      <x:c r="J645" s="25"/>
      <x:c r="K645" s="25"/>
      <x:c r="L645" s="26"/>
      <x:c r="M645" s="26"/>
    </x:row>
    <x:row r="646">
      <x:c r="G646" s="22"/>
      <x:c r="J646" s="25"/>
      <x:c r="K646" s="25"/>
      <x:c r="L646" s="26"/>
      <x:c r="M646" s="26"/>
    </x:row>
    <x:row r="647">
      <x:c r="G647" s="22"/>
      <x:c r="J647" s="25"/>
      <x:c r="K647" s="25"/>
      <x:c r="L647" s="26"/>
      <x:c r="M647" s="26"/>
    </x:row>
    <x:row r="648">
      <x:c r="G648" s="22"/>
      <x:c r="J648" s="25"/>
      <x:c r="K648" s="25"/>
      <x:c r="L648" s="26"/>
      <x:c r="M648" s="26"/>
    </x:row>
    <x:row r="649">
      <x:c r="G649" s="22"/>
      <x:c r="J649" s="25"/>
      <x:c r="K649" s="25"/>
      <x:c r="L649" s="26"/>
      <x:c r="M649" s="26"/>
    </x:row>
    <x:row r="650">
      <x:c r="G650" s="22"/>
      <x:c r="J650" s="25"/>
      <x:c r="K650" s="25"/>
      <x:c r="L650" s="26"/>
      <x:c r="M650" s="26"/>
    </x:row>
    <x:row r="651">
      <x:c r="G651" s="22"/>
      <x:c r="J651" s="25"/>
      <x:c r="K651" s="25"/>
      <x:c r="L651" s="26"/>
      <x:c r="M651" s="26"/>
    </x:row>
    <x:row r="652">
      <x:c r="G652" s="22"/>
      <x:c r="J652" s="25"/>
      <x:c r="K652" s="25"/>
      <x:c r="L652" s="26"/>
      <x:c r="M652" s="26"/>
    </x:row>
    <x:row r="653">
      <x:c r="G653" s="22"/>
      <x:c r="J653" s="25"/>
      <x:c r="K653" s="25"/>
      <x:c r="L653" s="26"/>
      <x:c r="M653" s="26"/>
    </x:row>
    <x:row r="654">
      <x:c r="G654" s="22"/>
      <x:c r="J654" s="25"/>
      <x:c r="K654" s="25"/>
      <x:c r="L654" s="26"/>
      <x:c r="M654" s="26"/>
    </x:row>
    <x:row r="655">
      <x:c r="G655" s="22"/>
      <x:c r="J655" s="25"/>
      <x:c r="K655" s="25"/>
      <x:c r="L655" s="26"/>
      <x:c r="M655" s="26"/>
    </x:row>
    <x:row r="656">
      <x:c r="G656" s="22"/>
      <x:c r="J656" s="25"/>
      <x:c r="K656" s="25"/>
      <x:c r="L656" s="26"/>
      <x:c r="M656" s="26"/>
    </x:row>
    <x:row r="657">
      <x:c r="G657" s="22"/>
      <x:c r="J657" s="25"/>
      <x:c r="K657" s="25"/>
      <x:c r="L657" s="26"/>
      <x:c r="M657" s="26"/>
    </x:row>
    <x:row r="658">
      <x:c r="G658" s="22"/>
      <x:c r="J658" s="25"/>
      <x:c r="K658" s="25"/>
      <x:c r="L658" s="26"/>
      <x:c r="M658" s="26"/>
    </x:row>
    <x:row r="659">
      <x:c r="G659" s="22"/>
      <x:c r="J659" s="25"/>
      <x:c r="K659" s="25"/>
      <x:c r="L659" s="26"/>
      <x:c r="M659" s="26"/>
    </x:row>
    <x:row r="660">
      <x:c r="G660" s="22"/>
      <x:c r="J660" s="25"/>
      <x:c r="K660" s="25"/>
      <x:c r="L660" s="26"/>
      <x:c r="M660" s="26"/>
    </x:row>
    <x:row r="661">
      <x:c r="G661" s="22"/>
      <x:c r="J661" s="25"/>
      <x:c r="K661" s="25"/>
      <x:c r="L661" s="26"/>
      <x:c r="M661" s="26"/>
    </x:row>
    <x:row r="662">
      <x:c r="G662" s="22"/>
      <x:c r="J662" s="25"/>
      <x:c r="K662" s="25"/>
      <x:c r="L662" s="26"/>
      <x:c r="M662" s="26"/>
    </x:row>
    <x:row r="663">
      <x:c r="G663" s="22"/>
      <x:c r="J663" s="25"/>
      <x:c r="K663" s="25"/>
      <x:c r="L663" s="26"/>
      <x:c r="M663" s="26"/>
    </x:row>
    <x:row r="664">
      <x:c r="G664" s="22"/>
      <x:c r="J664" s="25"/>
      <x:c r="K664" s="25"/>
      <x:c r="L664" s="26"/>
      <x:c r="M664" s="26"/>
    </x:row>
    <x:row r="665">
      <x:c r="G665" s="22"/>
      <x:c r="J665" s="25"/>
      <x:c r="K665" s="25"/>
      <x:c r="L665" s="26"/>
      <x:c r="M665" s="26"/>
    </x:row>
    <x:row r="666">
      <x:c r="G666" s="22"/>
      <x:c r="J666" s="25"/>
      <x:c r="K666" s="25"/>
      <x:c r="L666" s="26"/>
      <x:c r="M666" s="26"/>
    </x:row>
    <x:row r="667">
      <x:c r="G667" s="22"/>
      <x:c r="J667" s="25"/>
      <x:c r="K667" s="25"/>
      <x:c r="L667" s="26"/>
      <x:c r="M667" s="26"/>
    </x:row>
    <x:row r="668">
      <x:c r="G668" s="22"/>
      <x:c r="J668" s="25"/>
      <x:c r="K668" s="25"/>
      <x:c r="L668" s="26"/>
      <x:c r="M668" s="26"/>
    </x:row>
    <x:row r="669">
      <x:c r="G669" s="22"/>
      <x:c r="J669" s="25"/>
      <x:c r="K669" s="25"/>
      <x:c r="L669" s="26"/>
      <x:c r="M669" s="26"/>
    </x:row>
    <x:row r="670">
      <x:c r="G670" s="22"/>
      <x:c r="J670" s="25"/>
      <x:c r="K670" s="25"/>
      <x:c r="L670" s="26"/>
      <x:c r="M670" s="26"/>
    </x:row>
    <x:row r="671">
      <x:c r="G671" s="22"/>
      <x:c r="J671" s="25"/>
      <x:c r="K671" s="25"/>
      <x:c r="L671" s="26"/>
      <x:c r="M671" s="26"/>
    </x:row>
    <x:row r="672">
      <x:c r="G672" s="22"/>
      <x:c r="J672" s="25"/>
      <x:c r="K672" s="25"/>
      <x:c r="L672" s="26"/>
      <x:c r="M672" s="26"/>
    </x:row>
    <x:row r="673">
      <x:c r="G673" s="22"/>
      <x:c r="J673" s="25"/>
      <x:c r="K673" s="25"/>
      <x:c r="L673" s="26"/>
      <x:c r="M673" s="26"/>
    </x:row>
    <x:row r="674">
      <x:c r="G674" s="22"/>
      <x:c r="J674" s="25"/>
      <x:c r="K674" s="25"/>
      <x:c r="L674" s="26"/>
      <x:c r="M674" s="26"/>
    </x:row>
    <x:row r="675">
      <x:c r="G675" s="22"/>
      <x:c r="J675" s="25"/>
      <x:c r="K675" s="25"/>
      <x:c r="L675" s="26"/>
      <x:c r="M675" s="26"/>
    </x:row>
    <x:row r="676">
      <x:c r="G676" s="22"/>
      <x:c r="J676" s="25"/>
      <x:c r="K676" s="25"/>
      <x:c r="L676" s="26"/>
      <x:c r="M676" s="26"/>
    </x:row>
    <x:row r="677">
      <x:c r="G677" s="22"/>
      <x:c r="J677" s="25"/>
      <x:c r="K677" s="25"/>
      <x:c r="L677" s="26"/>
      <x:c r="M677" s="26"/>
    </x:row>
    <x:row r="678">
      <x:c r="G678" s="22"/>
      <x:c r="J678" s="25"/>
      <x:c r="K678" s="25"/>
      <x:c r="L678" s="26"/>
      <x:c r="M678" s="26"/>
    </x:row>
    <x:row r="679">
      <x:c r="G679" s="22"/>
      <x:c r="J679" s="25"/>
      <x:c r="K679" s="25"/>
      <x:c r="L679" s="26"/>
      <x:c r="M679" s="26"/>
    </x:row>
    <x:row r="680">
      <x:c r="G680" s="22"/>
      <x:c r="J680" s="25"/>
      <x:c r="K680" s="25"/>
      <x:c r="L680" s="26"/>
      <x:c r="M680" s="26"/>
    </x:row>
    <x:row r="681">
      <x:c r="G681" s="22"/>
      <x:c r="J681" s="25"/>
      <x:c r="K681" s="25"/>
      <x:c r="L681" s="26"/>
      <x:c r="M681" s="26"/>
    </x:row>
    <x:row r="682">
      <x:c r="G682" s="22"/>
      <x:c r="J682" s="25"/>
      <x:c r="K682" s="25"/>
      <x:c r="L682" s="26"/>
      <x:c r="M682" s="26"/>
    </x:row>
    <x:row r="683">
      <x:c r="G683" s="22"/>
      <x:c r="J683" s="25"/>
      <x:c r="K683" s="25"/>
      <x:c r="L683" s="26"/>
      <x:c r="M683" s="26"/>
    </x:row>
    <x:row r="684">
      <x:c r="G684" s="22"/>
      <x:c r="J684" s="25"/>
      <x:c r="K684" s="25"/>
      <x:c r="L684" s="26"/>
      <x:c r="M684" s="26"/>
    </x:row>
    <x:row r="685">
      <x:c r="G685" s="22"/>
      <x:c r="J685" s="25"/>
      <x:c r="K685" s="25"/>
      <x:c r="L685" s="26"/>
      <x:c r="M685" s="26"/>
    </x:row>
    <x:row r="686">
      <x:c r="G686" s="22"/>
      <x:c r="J686" s="25"/>
      <x:c r="K686" s="25"/>
      <x:c r="L686" s="26"/>
      <x:c r="M686" s="26"/>
    </x:row>
    <x:row r="687">
      <x:c r="G687" s="22"/>
      <x:c r="J687" s="25"/>
      <x:c r="K687" s="25"/>
      <x:c r="L687" s="26"/>
      <x:c r="M687" s="26"/>
    </x:row>
    <x:row r="688">
      <x:c r="G688" s="22"/>
      <x:c r="J688" s="25"/>
      <x:c r="K688" s="25"/>
      <x:c r="L688" s="26"/>
      <x:c r="M688" s="26"/>
    </x:row>
    <x:row r="689">
      <x:c r="G689" s="22"/>
      <x:c r="J689" s="25"/>
      <x:c r="K689" s="25"/>
      <x:c r="L689" s="26"/>
      <x:c r="M689" s="26"/>
    </x:row>
    <x:row r="690">
      <x:c r="G690" s="22"/>
      <x:c r="J690" s="25"/>
      <x:c r="K690" s="25"/>
      <x:c r="L690" s="26"/>
      <x:c r="M690" s="26"/>
    </x:row>
    <x:row r="691">
      <x:c r="G691" s="22"/>
      <x:c r="J691" s="25"/>
      <x:c r="K691" s="25"/>
      <x:c r="L691" s="26"/>
      <x:c r="M691" s="26"/>
    </x:row>
    <x:row r="692">
      <x:c r="G692" s="22"/>
      <x:c r="J692" s="25"/>
      <x:c r="K692" s="25"/>
      <x:c r="L692" s="26"/>
      <x:c r="M692" s="26"/>
    </x:row>
    <x:row r="693">
      <x:c r="G693" s="22"/>
      <x:c r="J693" s="25"/>
      <x:c r="K693" s="25"/>
      <x:c r="L693" s="26"/>
      <x:c r="M693" s="26"/>
    </x:row>
    <x:row r="694">
      <x:c r="G694" s="22"/>
      <x:c r="J694" s="25"/>
      <x:c r="K694" s="25"/>
      <x:c r="L694" s="26"/>
      <x:c r="M694" s="26"/>
    </x:row>
    <x:row r="695">
      <x:c r="G695" s="22"/>
      <x:c r="J695" s="25"/>
      <x:c r="K695" s="25"/>
      <x:c r="L695" s="26"/>
      <x:c r="M695" s="26"/>
    </x:row>
    <x:row r="696">
      <x:c r="G696" s="22"/>
      <x:c r="J696" s="25"/>
      <x:c r="K696" s="25"/>
      <x:c r="L696" s="26"/>
      <x:c r="M696" s="26"/>
    </x:row>
    <x:row r="697">
      <x:c r="G697" s="22"/>
      <x:c r="J697" s="25"/>
      <x:c r="K697" s="25"/>
      <x:c r="L697" s="26"/>
      <x:c r="M697" s="26"/>
    </x:row>
    <x:row r="698">
      <x:c r="G698" s="22"/>
      <x:c r="J698" s="25"/>
      <x:c r="K698" s="25"/>
      <x:c r="L698" s="26"/>
      <x:c r="M698" s="26"/>
    </x:row>
    <x:row r="699">
      <x:c r="G699" s="22"/>
      <x:c r="J699" s="25"/>
      <x:c r="K699" s="25"/>
      <x:c r="L699" s="26"/>
      <x:c r="M699" s="26"/>
    </x:row>
    <x:row r="700">
      <x:c r="G700" s="22"/>
      <x:c r="J700" s="25"/>
      <x:c r="K700" s="25"/>
      <x:c r="L700" s="26"/>
      <x:c r="M700" s="26"/>
    </x:row>
    <x:row r="701">
      <x:c r="G701" s="22"/>
      <x:c r="J701" s="25"/>
      <x:c r="K701" s="25"/>
      <x:c r="L701" s="26"/>
      <x:c r="M701" s="26"/>
    </x:row>
    <x:row r="702">
      <x:c r="G702" s="22"/>
      <x:c r="J702" s="25"/>
      <x:c r="K702" s="25"/>
      <x:c r="L702" s="26"/>
      <x:c r="M702" s="26"/>
    </x:row>
    <x:row r="703">
      <x:c r="G703" s="22"/>
      <x:c r="J703" s="25"/>
      <x:c r="K703" s="25"/>
      <x:c r="L703" s="26"/>
      <x:c r="M703" s="26"/>
    </x:row>
    <x:row r="704">
      <x:c r="G704" s="22"/>
      <x:c r="J704" s="25"/>
      <x:c r="K704" s="25"/>
      <x:c r="L704" s="26"/>
      <x:c r="M704" s="26"/>
    </x:row>
    <x:row r="705">
      <x:c r="G705" s="22"/>
      <x:c r="J705" s="25"/>
      <x:c r="K705" s="25"/>
      <x:c r="L705" s="26"/>
      <x:c r="M705" s="26"/>
    </x:row>
    <x:row r="706">
      <x:c r="G706" s="22"/>
      <x:c r="J706" s="25"/>
      <x:c r="K706" s="25"/>
      <x:c r="L706" s="26"/>
      <x:c r="M706" s="26"/>
    </x:row>
    <x:row r="707">
      <x:c r="G707" s="22"/>
      <x:c r="J707" s="25"/>
      <x:c r="K707" s="25"/>
      <x:c r="L707" s="26"/>
      <x:c r="M707" s="26"/>
    </x:row>
    <x:row r="708">
      <x:c r="G708" s="22"/>
      <x:c r="J708" s="25"/>
      <x:c r="K708" s="25"/>
      <x:c r="L708" s="26"/>
      <x:c r="M708" s="26"/>
    </x:row>
    <x:row r="709">
      <x:c r="G709" s="22"/>
      <x:c r="J709" s="25"/>
      <x:c r="K709" s="25"/>
      <x:c r="L709" s="26"/>
      <x:c r="M709" s="26"/>
    </x:row>
    <x:row r="710">
      <x:c r="G710" s="22"/>
      <x:c r="J710" s="25"/>
      <x:c r="K710" s="25"/>
      <x:c r="L710" s="26"/>
      <x:c r="M710" s="26"/>
    </x:row>
    <x:row r="711">
      <x:c r="G711" s="22"/>
      <x:c r="J711" s="25"/>
      <x:c r="K711" s="25"/>
      <x:c r="L711" s="26"/>
      <x:c r="M711" s="26"/>
    </x:row>
    <x:row r="712">
      <x:c r="G712" s="22"/>
      <x:c r="J712" s="25"/>
      <x:c r="K712" s="25"/>
      <x:c r="L712" s="26"/>
      <x:c r="M712" s="26"/>
    </x:row>
    <x:row r="713">
      <x:c r="G713" s="22"/>
      <x:c r="J713" s="25"/>
      <x:c r="K713" s="25"/>
      <x:c r="L713" s="26"/>
      <x:c r="M713" s="26"/>
    </x:row>
    <x:row r="714">
      <x:c r="G714" s="22"/>
      <x:c r="J714" s="25"/>
      <x:c r="K714" s="25"/>
      <x:c r="L714" s="26"/>
      <x:c r="M714" s="26"/>
    </x:row>
    <x:row r="715">
      <x:c r="G715" s="22"/>
      <x:c r="J715" s="25"/>
      <x:c r="K715" s="25"/>
      <x:c r="L715" s="26"/>
      <x:c r="M715" s="26"/>
    </x:row>
    <x:row r="716">
      <x:c r="G716" s="22"/>
      <x:c r="J716" s="25"/>
      <x:c r="K716" s="25"/>
      <x:c r="L716" s="26"/>
      <x:c r="M716" s="26"/>
    </x:row>
    <x:row r="717">
      <x:c r="G717" s="22"/>
      <x:c r="J717" s="25"/>
      <x:c r="K717" s="25"/>
      <x:c r="L717" s="26"/>
      <x:c r="M717" s="26"/>
    </x:row>
    <x:row r="718">
      <x:c r="G718" s="22"/>
      <x:c r="J718" s="25"/>
      <x:c r="K718" s="25"/>
      <x:c r="L718" s="26"/>
      <x:c r="M718" s="26"/>
    </x:row>
    <x:row r="719">
      <x:c r="G719" s="22"/>
      <x:c r="J719" s="25"/>
      <x:c r="K719" s="25"/>
      <x:c r="L719" s="26"/>
      <x:c r="M719" s="26"/>
    </x:row>
    <x:row r="720">
      <x:c r="G720" s="22"/>
      <x:c r="J720" s="25"/>
      <x:c r="K720" s="25"/>
      <x:c r="L720" s="26"/>
      <x:c r="M720" s="26"/>
    </x:row>
    <x:row r="721">
      <x:c r="G721" s="22"/>
      <x:c r="J721" s="25"/>
      <x:c r="K721" s="25"/>
      <x:c r="L721" s="26"/>
      <x:c r="M721" s="26"/>
    </x:row>
    <x:row r="722">
      <x:c r="G722" s="22"/>
      <x:c r="J722" s="25"/>
      <x:c r="K722" s="25"/>
      <x:c r="L722" s="26"/>
      <x:c r="M722" s="26"/>
    </x:row>
    <x:row r="723">
      <x:c r="G723" s="22"/>
      <x:c r="J723" s="25"/>
      <x:c r="K723" s="25"/>
      <x:c r="L723" s="26"/>
      <x:c r="M723" s="26"/>
    </x:row>
    <x:row r="724">
      <x:c r="G724" s="22"/>
      <x:c r="J724" s="25"/>
      <x:c r="K724" s="25"/>
      <x:c r="L724" s="26"/>
      <x:c r="M724" s="26"/>
    </x:row>
    <x:row r="725">
      <x:c r="G725" s="22"/>
      <x:c r="J725" s="25"/>
      <x:c r="K725" s="25"/>
      <x:c r="L725" s="26"/>
      <x:c r="M725" s="26"/>
    </x:row>
    <x:row r="726">
      <x:c r="G726" s="22"/>
      <x:c r="J726" s="25"/>
      <x:c r="K726" s="25"/>
      <x:c r="L726" s="26"/>
      <x:c r="M726" s="26"/>
    </x:row>
    <x:row r="727">
      <x:c r="G727" s="22"/>
      <x:c r="J727" s="25"/>
      <x:c r="K727" s="25"/>
      <x:c r="L727" s="26"/>
      <x:c r="M727" s="26"/>
    </x:row>
    <x:row r="728">
      <x:c r="G728" s="22"/>
      <x:c r="J728" s="25"/>
      <x:c r="K728" s="25"/>
      <x:c r="L728" s="26"/>
      <x:c r="M728" s="26"/>
    </x:row>
    <x:row r="729">
      <x:c r="G729" s="22"/>
      <x:c r="J729" s="25"/>
      <x:c r="K729" s="25"/>
      <x:c r="L729" s="26"/>
      <x:c r="M729" s="26"/>
    </x:row>
    <x:row r="730">
      <x:c r="G730" s="22"/>
      <x:c r="J730" s="25"/>
      <x:c r="K730" s="25"/>
      <x:c r="L730" s="26"/>
      <x:c r="M730" s="26"/>
    </x:row>
    <x:row r="731">
      <x:c r="G731" s="22"/>
      <x:c r="J731" s="25"/>
      <x:c r="K731" s="25"/>
      <x:c r="L731" s="26"/>
      <x:c r="M731" s="26"/>
    </x:row>
    <x:row r="732">
      <x:c r="G732" s="22"/>
      <x:c r="J732" s="25"/>
      <x:c r="K732" s="25"/>
      <x:c r="L732" s="26"/>
      <x:c r="M732" s="26"/>
    </x:row>
    <x:row r="733">
      <x:c r="G733" s="22"/>
      <x:c r="J733" s="25"/>
      <x:c r="K733" s="25"/>
      <x:c r="L733" s="26"/>
      <x:c r="M733" s="26"/>
    </x:row>
    <x:row r="734">
      <x:c r="G734" s="22"/>
      <x:c r="J734" s="25"/>
      <x:c r="K734" s="25"/>
      <x:c r="L734" s="26"/>
      <x:c r="M734" s="26"/>
    </x:row>
    <x:row r="735">
      <x:c r="G735" s="22"/>
      <x:c r="J735" s="25"/>
      <x:c r="K735" s="25"/>
      <x:c r="L735" s="26"/>
      <x:c r="M735" s="26"/>
    </x:row>
    <x:row r="736">
      <x:c r="G736" s="22"/>
      <x:c r="J736" s="25"/>
      <x:c r="K736" s="25"/>
      <x:c r="L736" s="26"/>
      <x:c r="M736" s="26"/>
    </x:row>
    <x:row r="737">
      <x:c r="G737" s="22"/>
      <x:c r="J737" s="25"/>
      <x:c r="K737" s="25"/>
      <x:c r="L737" s="26"/>
      <x:c r="M737" s="26"/>
    </x:row>
    <x:row r="738">
      <x:c r="G738" s="22"/>
      <x:c r="J738" s="25"/>
      <x:c r="K738" s="25"/>
      <x:c r="L738" s="26"/>
      <x:c r="M738" s="26"/>
    </x:row>
    <x:row r="739">
      <x:c r="G739" s="22"/>
      <x:c r="J739" s="25"/>
      <x:c r="K739" s="25"/>
      <x:c r="L739" s="26"/>
      <x:c r="M739" s="26"/>
    </x:row>
    <x:row r="740">
      <x:c r="G740" s="22"/>
      <x:c r="J740" s="25"/>
      <x:c r="K740" s="25"/>
      <x:c r="L740" s="26"/>
      <x:c r="M740" s="26"/>
    </x:row>
    <x:row r="741">
      <x:c r="G741" s="22"/>
      <x:c r="J741" s="25"/>
      <x:c r="K741" s="25"/>
      <x:c r="L741" s="26"/>
      <x:c r="M741" s="26"/>
    </x:row>
    <x:row r="742">
      <x:c r="G742" s="22"/>
      <x:c r="J742" s="25"/>
      <x:c r="K742" s="25"/>
      <x:c r="L742" s="26"/>
      <x:c r="M742" s="26"/>
    </x:row>
    <x:row r="743">
      <x:c r="G743" s="22"/>
      <x:c r="J743" s="25"/>
      <x:c r="K743" s="25"/>
      <x:c r="L743" s="26"/>
      <x:c r="M743" s="26"/>
    </x:row>
    <x:row r="744">
      <x:c r="G744" s="22"/>
      <x:c r="J744" s="25"/>
      <x:c r="K744" s="25"/>
      <x:c r="L744" s="26"/>
      <x:c r="M744" s="26"/>
    </x:row>
    <x:row r="745">
      <x:c r="G745" s="22"/>
      <x:c r="J745" s="25"/>
      <x:c r="K745" s="25"/>
      <x:c r="L745" s="26"/>
      <x:c r="M745" s="26"/>
    </x:row>
    <x:row r="746">
      <x:c r="G746" s="22"/>
      <x:c r="J746" s="25"/>
      <x:c r="K746" s="25"/>
      <x:c r="L746" s="26"/>
      <x:c r="M746" s="26"/>
    </x:row>
    <x:row r="747">
      <x:c r="G747" s="22"/>
      <x:c r="J747" s="25"/>
      <x:c r="K747" s="25"/>
      <x:c r="L747" s="26"/>
      <x:c r="M747" s="26"/>
    </x:row>
    <x:row r="748">
      <x:c r="G748" s="22"/>
      <x:c r="J748" s="25"/>
      <x:c r="K748" s="25"/>
      <x:c r="L748" s="26"/>
      <x:c r="M748" s="26"/>
    </x:row>
    <x:row r="749">
      <x:c r="G749" s="22"/>
      <x:c r="J749" s="25"/>
      <x:c r="K749" s="25"/>
      <x:c r="L749" s="26"/>
      <x:c r="M749" s="26"/>
    </x:row>
    <x:row r="750">
      <x:c r="G750" s="22"/>
      <x:c r="J750" s="25"/>
      <x:c r="K750" s="25"/>
      <x:c r="L750" s="26"/>
      <x:c r="M750" s="26"/>
    </x:row>
    <x:row r="751">
      <x:c r="G751" s="22"/>
      <x:c r="J751" s="25"/>
      <x:c r="K751" s="25"/>
      <x:c r="L751" s="26"/>
      <x:c r="M751" s="26"/>
    </x:row>
    <x:row r="752">
      <x:c r="G752" s="22"/>
      <x:c r="J752" s="25"/>
      <x:c r="K752" s="25"/>
      <x:c r="L752" s="26"/>
      <x:c r="M752" s="26"/>
    </x:row>
    <x:row r="753">
      <x:c r="G753" s="22"/>
      <x:c r="J753" s="25"/>
      <x:c r="K753" s="25"/>
      <x:c r="L753" s="26"/>
      <x:c r="M753" s="26"/>
    </x:row>
    <x:row r="754">
      <x:c r="G754" s="22"/>
      <x:c r="J754" s="25"/>
      <x:c r="K754" s="25"/>
      <x:c r="L754" s="26"/>
      <x:c r="M754" s="26"/>
    </x:row>
    <x:row r="755">
      <x:c r="G755" s="22"/>
      <x:c r="J755" s="25"/>
      <x:c r="K755" s="25"/>
      <x:c r="L755" s="26"/>
      <x:c r="M755" s="26"/>
    </x:row>
    <x:row r="756">
      <x:c r="G756" s="22"/>
      <x:c r="J756" s="25"/>
      <x:c r="K756" s="25"/>
      <x:c r="L756" s="26"/>
      <x:c r="M756" s="26"/>
    </x:row>
    <x:row r="757">
      <x:c r="G757" s="22"/>
      <x:c r="J757" s="25"/>
      <x:c r="K757" s="25"/>
      <x:c r="L757" s="26"/>
      <x:c r="M757" s="26"/>
    </x:row>
    <x:row r="758">
      <x:c r="G758" s="22"/>
      <x:c r="J758" s="25"/>
      <x:c r="K758" s="25"/>
      <x:c r="L758" s="26"/>
      <x:c r="M758" s="26"/>
    </x:row>
    <x:row r="759">
      <x:c r="G759" s="22"/>
      <x:c r="J759" s="25"/>
      <x:c r="K759" s="25"/>
      <x:c r="L759" s="26"/>
      <x:c r="M759" s="26"/>
    </x:row>
    <x:row r="760">
      <x:c r="G760" s="22"/>
      <x:c r="J760" s="25"/>
      <x:c r="K760" s="25"/>
      <x:c r="L760" s="26"/>
      <x:c r="M760" s="26"/>
    </x:row>
    <x:row r="761">
      <x:c r="G761" s="22"/>
      <x:c r="J761" s="25"/>
      <x:c r="K761" s="25"/>
      <x:c r="L761" s="26"/>
      <x:c r="M761" s="26"/>
    </x:row>
    <x:row r="762">
      <x:c r="G762" s="22"/>
      <x:c r="J762" s="25"/>
      <x:c r="K762" s="25"/>
      <x:c r="L762" s="26"/>
      <x:c r="M762" s="26"/>
    </x:row>
    <x:row r="763">
      <x:c r="G763" s="22"/>
      <x:c r="J763" s="25"/>
      <x:c r="K763" s="25"/>
      <x:c r="L763" s="26"/>
      <x:c r="M763" s="26"/>
    </x:row>
    <x:row r="764">
      <x:c r="G764" s="22"/>
      <x:c r="J764" s="25"/>
      <x:c r="K764" s="25"/>
      <x:c r="L764" s="26"/>
      <x:c r="M764" s="26"/>
    </x:row>
    <x:row r="765">
      <x:c r="G765" s="22"/>
      <x:c r="J765" s="25"/>
      <x:c r="K765" s="25"/>
      <x:c r="L765" s="26"/>
      <x:c r="M765" s="26"/>
    </x:row>
    <x:row r="766">
      <x:c r="G766" s="22"/>
      <x:c r="J766" s="25"/>
      <x:c r="K766" s="25"/>
      <x:c r="L766" s="26"/>
      <x:c r="M766" s="26"/>
    </x:row>
    <x:row r="767">
      <x:c r="G767" s="22"/>
      <x:c r="J767" s="25"/>
      <x:c r="K767" s="25"/>
      <x:c r="L767" s="26"/>
      <x:c r="M767" s="26"/>
    </x:row>
    <x:row r="768">
      <x:c r="G768" s="22"/>
      <x:c r="J768" s="25"/>
      <x:c r="K768" s="25"/>
      <x:c r="L768" s="26"/>
      <x:c r="M768" s="26"/>
    </x:row>
    <x:row r="769">
      <x:c r="G769" s="22"/>
      <x:c r="J769" s="25"/>
      <x:c r="K769" s="25"/>
      <x:c r="L769" s="26"/>
      <x:c r="M769" s="26"/>
    </x:row>
    <x:row r="770">
      <x:c r="G770" s="22"/>
      <x:c r="J770" s="25"/>
      <x:c r="K770" s="25"/>
      <x:c r="L770" s="26"/>
      <x:c r="M770" s="26"/>
    </x:row>
    <x:row r="771">
      <x:c r="G771" s="22"/>
      <x:c r="J771" s="25"/>
      <x:c r="K771" s="25"/>
      <x:c r="L771" s="26"/>
      <x:c r="M771" s="26"/>
    </x:row>
    <x:row r="772">
      <x:c r="G772" s="22"/>
      <x:c r="J772" s="25"/>
      <x:c r="K772" s="25"/>
      <x:c r="L772" s="26"/>
      <x:c r="M772" s="26"/>
    </x:row>
    <x:row r="773">
      <x:c r="G773" s="22"/>
      <x:c r="J773" s="25"/>
      <x:c r="K773" s="25"/>
      <x:c r="L773" s="26"/>
      <x:c r="M773" s="26"/>
    </x:row>
    <x:row r="774">
      <x:c r="G774" s="22"/>
      <x:c r="J774" s="25"/>
      <x:c r="K774" s="25"/>
      <x:c r="L774" s="26"/>
      <x:c r="M774" s="26"/>
    </x:row>
    <x:row r="775">
      <x:c r="G775" s="22"/>
      <x:c r="J775" s="25"/>
      <x:c r="K775" s="25"/>
      <x:c r="L775" s="26"/>
      <x:c r="M775" s="26"/>
    </x:row>
    <x:row r="776">
      <x:c r="G776" s="22"/>
      <x:c r="J776" s="25"/>
      <x:c r="K776" s="25"/>
      <x:c r="L776" s="26"/>
      <x:c r="M776" s="26"/>
    </x:row>
    <x:row r="777">
      <x:c r="G777" s="22"/>
      <x:c r="J777" s="25"/>
      <x:c r="K777" s="25"/>
      <x:c r="L777" s="26"/>
      <x:c r="M777" s="26"/>
    </x:row>
    <x:row r="778">
      <x:c r="G778" s="22"/>
      <x:c r="J778" s="25"/>
      <x:c r="K778" s="25"/>
      <x:c r="L778" s="26"/>
      <x:c r="M778" s="26"/>
    </x:row>
    <x:row r="779">
      <x:c r="G779" s="22"/>
      <x:c r="J779" s="25"/>
      <x:c r="K779" s="25"/>
      <x:c r="L779" s="26"/>
      <x:c r="M779" s="26"/>
    </x:row>
    <x:row r="780">
      <x:c r="G780" s="22"/>
      <x:c r="J780" s="25"/>
      <x:c r="K780" s="25"/>
      <x:c r="L780" s="26"/>
      <x:c r="M780" s="26"/>
    </x:row>
    <x:row r="781">
      <x:c r="G781" s="22"/>
      <x:c r="J781" s="25"/>
      <x:c r="K781" s="25"/>
      <x:c r="L781" s="26"/>
      <x:c r="M781" s="26"/>
    </x:row>
    <x:row r="782">
      <x:c r="G782" s="22"/>
      <x:c r="J782" s="25"/>
      <x:c r="K782" s="25"/>
      <x:c r="L782" s="26"/>
      <x:c r="M782" s="26"/>
    </x:row>
    <x:row r="783">
      <x:c r="G783" s="22"/>
      <x:c r="J783" s="25"/>
      <x:c r="K783" s="25"/>
      <x:c r="L783" s="26"/>
      <x:c r="M783" s="26"/>
    </x:row>
    <x:row r="784">
      <x:c r="G784" s="22"/>
      <x:c r="J784" s="25"/>
      <x:c r="K784" s="25"/>
      <x:c r="L784" s="26"/>
      <x:c r="M784" s="26"/>
    </x:row>
    <x:row r="785">
      <x:c r="G785" s="22"/>
      <x:c r="J785" s="25"/>
      <x:c r="K785" s="25"/>
      <x:c r="L785" s="26"/>
      <x:c r="M785" s="26"/>
    </x:row>
    <x:row r="786">
      <x:c r="G786" s="22"/>
      <x:c r="J786" s="25"/>
      <x:c r="K786" s="25"/>
      <x:c r="L786" s="26"/>
      <x:c r="M786" s="26"/>
    </x:row>
    <x:row r="787">
      <x:c r="G787" s="22"/>
      <x:c r="J787" s="25"/>
      <x:c r="K787" s="25"/>
      <x:c r="L787" s="26"/>
      <x:c r="M787" s="26"/>
    </x:row>
    <x:row r="788">
      <x:c r="G788" s="22"/>
      <x:c r="J788" s="25"/>
      <x:c r="K788" s="25"/>
      <x:c r="L788" s="26"/>
      <x:c r="M788" s="26"/>
    </x:row>
    <x:row r="789">
      <x:c r="G789" s="22"/>
      <x:c r="J789" s="25"/>
      <x:c r="K789" s="25"/>
      <x:c r="L789" s="26"/>
      <x:c r="M789" s="26"/>
    </x:row>
    <x:row r="790">
      <x:c r="G790" s="22"/>
      <x:c r="J790" s="25"/>
      <x:c r="K790" s="25"/>
      <x:c r="L790" s="26"/>
      <x:c r="M790" s="26"/>
    </x:row>
    <x:row r="791">
      <x:c r="G791" s="22"/>
      <x:c r="J791" s="25"/>
      <x:c r="K791" s="25"/>
      <x:c r="L791" s="26"/>
      <x:c r="M791" s="26"/>
    </x:row>
    <x:row r="792">
      <x:c r="G792" s="22"/>
      <x:c r="J792" s="25"/>
      <x:c r="K792" s="25"/>
      <x:c r="L792" s="26"/>
      <x:c r="M792" s="26"/>
    </x:row>
    <x:row r="793">
      <x:c r="G793" s="22"/>
      <x:c r="J793" s="25"/>
      <x:c r="K793" s="25"/>
      <x:c r="L793" s="26"/>
      <x:c r="M793" s="26"/>
    </x:row>
    <x:row r="794">
      <x:c r="G794" s="22"/>
      <x:c r="J794" s="25"/>
      <x:c r="K794" s="25"/>
      <x:c r="L794" s="26"/>
      <x:c r="M794" s="26"/>
    </x:row>
    <x:row r="795">
      <x:c r="G795" s="22"/>
      <x:c r="J795" s="25"/>
      <x:c r="K795" s="25"/>
      <x:c r="L795" s="26"/>
      <x:c r="M795" s="26"/>
    </x:row>
    <x:row r="796">
      <x:c r="G796" s="22"/>
      <x:c r="J796" s="25"/>
      <x:c r="K796" s="25"/>
      <x:c r="L796" s="26"/>
      <x:c r="M796" s="26"/>
    </x:row>
    <x:row r="797">
      <x:c r="G797" s="22"/>
      <x:c r="J797" s="25"/>
      <x:c r="K797" s="25"/>
      <x:c r="L797" s="26"/>
      <x:c r="M797" s="26"/>
    </x:row>
    <x:row r="798">
      <x:c r="G798" s="22"/>
      <x:c r="J798" s="25"/>
      <x:c r="K798" s="25"/>
      <x:c r="L798" s="26"/>
      <x:c r="M798" s="26"/>
    </x:row>
    <x:row r="799">
      <x:c r="G799" s="22"/>
      <x:c r="J799" s="25"/>
      <x:c r="K799" s="25"/>
      <x:c r="L799" s="26"/>
      <x:c r="M799" s="26"/>
    </x:row>
    <x:row r="800">
      <x:c r="G800" s="22"/>
      <x:c r="J800" s="25"/>
      <x:c r="K800" s="25"/>
      <x:c r="L800" s="26"/>
      <x:c r="M800" s="26"/>
    </x:row>
    <x:row r="801">
      <x:c r="G801" s="22"/>
      <x:c r="J801" s="25"/>
      <x:c r="K801" s="25"/>
      <x:c r="L801" s="26"/>
      <x:c r="M801" s="26"/>
    </x:row>
    <x:row r="802">
      <x:c r="G802" s="22"/>
      <x:c r="J802" s="25"/>
      <x:c r="K802" s="25"/>
      <x:c r="L802" s="26"/>
      <x:c r="M802" s="26"/>
    </x:row>
    <x:row r="803">
      <x:c r="G803" s="22"/>
      <x:c r="J803" s="25"/>
      <x:c r="K803" s="25"/>
      <x:c r="L803" s="26"/>
      <x:c r="M803" s="26"/>
    </x:row>
    <x:row r="804">
      <x:c r="G804" s="22"/>
      <x:c r="J804" s="25"/>
      <x:c r="K804" s="25"/>
      <x:c r="L804" s="26"/>
      <x:c r="M804" s="26"/>
    </x:row>
    <x:row r="805">
      <x:c r="G805" s="22"/>
      <x:c r="J805" s="25"/>
      <x:c r="K805" s="25"/>
      <x:c r="L805" s="26"/>
      <x:c r="M805" s="26"/>
    </x:row>
    <x:row r="806">
      <x:c r="G806" s="22"/>
      <x:c r="J806" s="25"/>
      <x:c r="K806" s="25"/>
      <x:c r="L806" s="26"/>
      <x:c r="M806" s="26"/>
    </x:row>
    <x:row r="807">
      <x:c r="G807" s="22"/>
      <x:c r="J807" s="25"/>
      <x:c r="K807" s="25"/>
      <x:c r="L807" s="26"/>
      <x:c r="M807" s="26"/>
    </x:row>
    <x:row r="808">
      <x:c r="G808" s="22"/>
      <x:c r="J808" s="25"/>
      <x:c r="K808" s="25"/>
      <x:c r="L808" s="26"/>
      <x:c r="M808" s="26"/>
    </x:row>
    <x:row r="809">
      <x:c r="G809" s="22"/>
      <x:c r="J809" s="25"/>
      <x:c r="K809" s="25"/>
      <x:c r="L809" s="26"/>
      <x:c r="M809" s="26"/>
    </x:row>
    <x:row r="810">
      <x:c r="G810" s="22"/>
      <x:c r="J810" s="25"/>
      <x:c r="K810" s="25"/>
      <x:c r="L810" s="26"/>
      <x:c r="M810" s="26"/>
    </x:row>
    <x:row r="811">
      <x:c r="G811" s="22"/>
      <x:c r="J811" s="25"/>
      <x:c r="K811" s="25"/>
      <x:c r="L811" s="26"/>
      <x:c r="M811" s="26"/>
    </x:row>
    <x:row r="812">
      <x:c r="G812" s="22"/>
      <x:c r="J812" s="25"/>
      <x:c r="K812" s="25"/>
      <x:c r="L812" s="26"/>
      <x:c r="M812" s="26"/>
    </x:row>
    <x:row r="813">
      <x:c r="G813" s="22"/>
      <x:c r="J813" s="25"/>
      <x:c r="K813" s="25"/>
      <x:c r="L813" s="26"/>
      <x:c r="M813" s="26"/>
    </x:row>
    <x:row r="814">
      <x:c r="G814" s="22"/>
      <x:c r="J814" s="25"/>
      <x:c r="K814" s="25"/>
      <x:c r="L814" s="26"/>
      <x:c r="M814" s="26"/>
    </x:row>
    <x:row r="815">
      <x:c r="G815" s="22"/>
      <x:c r="J815" s="25"/>
      <x:c r="K815" s="25"/>
      <x:c r="L815" s="26"/>
      <x:c r="M815" s="26"/>
    </x:row>
    <x:row r="816">
      <x:c r="G816" s="22"/>
      <x:c r="J816" s="25"/>
      <x:c r="K816" s="25"/>
      <x:c r="L816" s="26"/>
      <x:c r="M816" s="26"/>
    </x:row>
    <x:row r="817">
      <x:c r="G817" s="22"/>
      <x:c r="J817" s="25"/>
      <x:c r="K817" s="25"/>
      <x:c r="L817" s="26"/>
      <x:c r="M817" s="26"/>
    </x:row>
    <x:row r="818">
      <x:c r="G818" s="22"/>
      <x:c r="J818" s="25"/>
      <x:c r="K818" s="25"/>
      <x:c r="L818" s="26"/>
      <x:c r="M818" s="26"/>
    </x:row>
    <x:row r="819">
      <x:c r="G819" s="22"/>
      <x:c r="J819" s="25"/>
      <x:c r="K819" s="25"/>
      <x:c r="L819" s="26"/>
      <x:c r="M819" s="26"/>
    </x:row>
    <x:row r="820">
      <x:c r="G820" s="22"/>
      <x:c r="J820" s="25"/>
      <x:c r="K820" s="25"/>
      <x:c r="L820" s="26"/>
      <x:c r="M820" s="26"/>
    </x:row>
    <x:row r="821">
      <x:c r="G821" s="22"/>
      <x:c r="J821" s="25"/>
      <x:c r="K821" s="25"/>
      <x:c r="L821" s="26"/>
      <x:c r="M821" s="26"/>
    </x:row>
    <x:row r="822">
      <x:c r="G822" s="22"/>
      <x:c r="J822" s="25"/>
      <x:c r="K822" s="25"/>
      <x:c r="L822" s="26"/>
      <x:c r="M822" s="26"/>
    </x:row>
    <x:row r="823">
      <x:c r="G823" s="22"/>
      <x:c r="J823" s="25"/>
      <x:c r="K823" s="25"/>
      <x:c r="L823" s="26"/>
      <x:c r="M823" s="26"/>
    </x:row>
    <x:row r="824">
      <x:c r="G824" s="22"/>
      <x:c r="J824" s="25"/>
      <x:c r="K824" s="25"/>
      <x:c r="L824" s="26"/>
      <x:c r="M824" s="26"/>
    </x:row>
    <x:row r="825">
      <x:c r="G825" s="22"/>
      <x:c r="J825" s="25"/>
      <x:c r="K825" s="25"/>
      <x:c r="L825" s="26"/>
      <x:c r="M825" s="26"/>
    </x:row>
    <x:row r="826">
      <x:c r="G826" s="22"/>
      <x:c r="J826" s="25"/>
      <x:c r="K826" s="25"/>
      <x:c r="L826" s="26"/>
      <x:c r="M826" s="26"/>
    </x:row>
    <x:row r="827">
      <x:c r="G827" s="22"/>
      <x:c r="J827" s="25"/>
      <x:c r="K827" s="25"/>
      <x:c r="L827" s="26"/>
      <x:c r="M827" s="26"/>
    </x:row>
    <x:row r="828">
      <x:c r="G828" s="22"/>
      <x:c r="J828" s="25"/>
      <x:c r="K828" s="25"/>
      <x:c r="L828" s="26"/>
      <x:c r="M828" s="26"/>
    </x:row>
    <x:row r="829">
      <x:c r="G829" s="22"/>
      <x:c r="J829" s="25"/>
      <x:c r="K829" s="25"/>
      <x:c r="L829" s="26"/>
      <x:c r="M829" s="26"/>
    </x:row>
    <x:row r="830">
      <x:c r="G830" s="22"/>
      <x:c r="J830" s="25"/>
      <x:c r="K830" s="25"/>
      <x:c r="L830" s="26"/>
      <x:c r="M830" s="26"/>
    </x:row>
    <x:row r="831">
      <x:c r="G831" s="22"/>
      <x:c r="J831" s="25"/>
      <x:c r="K831" s="25"/>
      <x:c r="L831" s="26"/>
      <x:c r="M831" s="26"/>
    </x:row>
    <x:row r="832">
      <x:c r="G832" s="22"/>
      <x:c r="J832" s="25"/>
      <x:c r="K832" s="25"/>
      <x:c r="L832" s="26"/>
      <x:c r="M832" s="26"/>
    </x:row>
    <x:row r="833">
      <x:c r="G833" s="22"/>
      <x:c r="J833" s="25"/>
      <x:c r="K833" s="25"/>
      <x:c r="L833" s="26"/>
      <x:c r="M833" s="26"/>
    </x:row>
    <x:row r="834">
      <x:c r="G834" s="22"/>
      <x:c r="J834" s="25"/>
      <x:c r="K834" s="25"/>
      <x:c r="L834" s="26"/>
      <x:c r="M834" s="26"/>
    </x:row>
    <x:row r="835">
      <x:c r="G835" s="22"/>
      <x:c r="J835" s="25"/>
      <x:c r="K835" s="25"/>
      <x:c r="L835" s="26"/>
      <x:c r="M835" s="26"/>
    </x:row>
    <x:row r="836">
      <x:c r="G836" s="22"/>
      <x:c r="J836" s="25"/>
      <x:c r="K836" s="25"/>
      <x:c r="L836" s="26"/>
      <x:c r="M836" s="26"/>
    </x:row>
    <x:row r="837">
      <x:c r="G837" s="22"/>
      <x:c r="J837" s="25"/>
      <x:c r="K837" s="25"/>
      <x:c r="L837" s="26"/>
      <x:c r="M837" s="26"/>
    </x:row>
    <x:row r="838">
      <x:c r="G838" s="22"/>
      <x:c r="J838" s="25"/>
      <x:c r="K838" s="25"/>
      <x:c r="L838" s="26"/>
      <x:c r="M838" s="26"/>
    </x:row>
    <x:row r="839">
      <x:c r="G839" s="22"/>
      <x:c r="J839" s="25"/>
      <x:c r="K839" s="25"/>
      <x:c r="L839" s="26"/>
      <x:c r="M839" s="26"/>
    </x:row>
    <x:row r="840">
      <x:c r="G840" s="22"/>
      <x:c r="J840" s="25"/>
      <x:c r="K840" s="25"/>
      <x:c r="L840" s="26"/>
      <x:c r="M840" s="26"/>
    </x:row>
    <x:row r="841">
      <x:c r="G841" s="22"/>
      <x:c r="J841" s="25"/>
      <x:c r="K841" s="25"/>
      <x:c r="L841" s="26"/>
      <x:c r="M841" s="26"/>
    </x:row>
    <x:row r="842">
      <x:c r="G842" s="22"/>
      <x:c r="J842" s="25"/>
      <x:c r="K842" s="25"/>
      <x:c r="L842" s="26"/>
      <x:c r="M842" s="26"/>
    </x:row>
    <x:row r="843">
      <x:c r="G843" s="22"/>
      <x:c r="J843" s="25"/>
      <x:c r="K843" s="25"/>
      <x:c r="L843" s="26"/>
      <x:c r="M843" s="26"/>
    </x:row>
    <x:row r="844">
      <x:c r="G844" s="22"/>
      <x:c r="J844" s="25"/>
      <x:c r="K844" s="25"/>
      <x:c r="L844" s="26"/>
      <x:c r="M844" s="26"/>
    </x:row>
    <x:row r="845">
      <x:c r="G845" s="22"/>
      <x:c r="J845" s="25"/>
      <x:c r="K845" s="25"/>
      <x:c r="L845" s="26"/>
      <x:c r="M845" s="26"/>
    </x:row>
    <x:row r="846">
      <x:c r="G846" s="22"/>
      <x:c r="J846" s="25"/>
      <x:c r="K846" s="25"/>
      <x:c r="L846" s="26"/>
      <x:c r="M846" s="26"/>
    </x:row>
    <x:row r="847">
      <x:c r="G847" s="22"/>
      <x:c r="J847" s="25"/>
      <x:c r="K847" s="25"/>
      <x:c r="L847" s="26"/>
      <x:c r="M847" s="26"/>
    </x:row>
    <x:row r="848">
      <x:c r="G848" s="22"/>
      <x:c r="J848" s="25"/>
      <x:c r="K848" s="25"/>
      <x:c r="L848" s="26"/>
      <x:c r="M848" s="26"/>
    </x:row>
    <x:row r="849">
      <x:c r="G849" s="22"/>
      <x:c r="J849" s="25"/>
      <x:c r="K849" s="25"/>
      <x:c r="L849" s="26"/>
      <x:c r="M849" s="26"/>
    </x:row>
    <x:row r="850">
      <x:c r="G850" s="22"/>
      <x:c r="J850" s="25"/>
      <x:c r="K850" s="25"/>
      <x:c r="L850" s="26"/>
      <x:c r="M850" s="26"/>
    </x:row>
    <x:row r="851">
      <x:c r="G851" s="22"/>
      <x:c r="J851" s="25"/>
      <x:c r="K851" s="25"/>
      <x:c r="L851" s="26"/>
      <x:c r="M851" s="26"/>
    </x:row>
    <x:row r="852">
      <x:c r="G852" s="22"/>
      <x:c r="J852" s="25"/>
      <x:c r="K852" s="25"/>
      <x:c r="L852" s="26"/>
      <x:c r="M852" s="26"/>
    </x:row>
    <x:row r="853">
      <x:c r="G853" s="22"/>
      <x:c r="J853" s="25"/>
      <x:c r="K853" s="25"/>
      <x:c r="L853" s="26"/>
      <x:c r="M853" s="26"/>
    </x:row>
    <x:row r="854">
      <x:c r="G854" s="22"/>
      <x:c r="J854" s="25"/>
      <x:c r="K854" s="25"/>
      <x:c r="L854" s="26"/>
      <x:c r="M854" s="26"/>
    </x:row>
    <x:row r="855">
      <x:c r="G855" s="22"/>
      <x:c r="J855" s="25"/>
      <x:c r="K855" s="25"/>
      <x:c r="L855" s="26"/>
      <x:c r="M855" s="26"/>
    </x:row>
    <x:row r="856">
      <x:c r="G856" s="22"/>
      <x:c r="J856" s="25"/>
      <x:c r="K856" s="25"/>
      <x:c r="L856" s="26"/>
      <x:c r="M856" s="26"/>
    </x:row>
    <x:row r="857">
      <x:c r="G857" s="22"/>
      <x:c r="J857" s="25"/>
      <x:c r="K857" s="25"/>
      <x:c r="L857" s="26"/>
      <x:c r="M857" s="26"/>
    </x:row>
    <x:row r="858">
      <x:c r="G858" s="22"/>
      <x:c r="J858" s="25"/>
      <x:c r="K858" s="25"/>
      <x:c r="L858" s="26"/>
      <x:c r="M858" s="26"/>
    </x:row>
    <x:row r="859">
      <x:c r="G859" s="22"/>
      <x:c r="J859" s="25"/>
      <x:c r="K859" s="25"/>
      <x:c r="L859" s="26"/>
      <x:c r="M859" s="26"/>
    </x:row>
    <x:row r="860">
      <x:c r="G860" s="22"/>
      <x:c r="J860" s="25"/>
      <x:c r="K860" s="25"/>
      <x:c r="L860" s="26"/>
      <x:c r="M860" s="26"/>
    </x:row>
    <x:row r="861">
      <x:c r="G861" s="22"/>
      <x:c r="J861" s="25"/>
      <x:c r="K861" s="25"/>
      <x:c r="L861" s="26"/>
      <x:c r="M861" s="26"/>
    </x:row>
    <x:row r="862">
      <x:c r="G862" s="22"/>
      <x:c r="J862" s="25"/>
      <x:c r="K862" s="25"/>
      <x:c r="L862" s="26"/>
      <x:c r="M862" s="26"/>
    </x:row>
    <x:row r="863">
      <x:c r="G863" s="22"/>
      <x:c r="J863" s="25"/>
      <x:c r="K863" s="25"/>
      <x:c r="L863" s="26"/>
      <x:c r="M863" s="26"/>
    </x:row>
    <x:row r="864">
      <x:c r="G864" s="22"/>
      <x:c r="J864" s="25"/>
      <x:c r="K864" s="25"/>
      <x:c r="L864" s="26"/>
      <x:c r="M864" s="26"/>
    </x:row>
    <x:row r="865">
      <x:c r="G865" s="22"/>
      <x:c r="J865" s="25"/>
      <x:c r="K865" s="25"/>
      <x:c r="L865" s="26"/>
      <x:c r="M865" s="26"/>
    </x:row>
    <x:row r="866">
      <x:c r="G866" s="22"/>
      <x:c r="J866" s="25"/>
      <x:c r="K866" s="25"/>
      <x:c r="L866" s="26"/>
      <x:c r="M866" s="26"/>
    </x:row>
    <x:row r="867">
      <x:c r="G867" s="22"/>
      <x:c r="J867" s="25"/>
      <x:c r="K867" s="25"/>
      <x:c r="L867" s="26"/>
      <x:c r="M867" s="26"/>
    </x:row>
    <x:row r="868">
      <x:c r="G868" s="22"/>
      <x:c r="J868" s="25"/>
      <x:c r="K868" s="25"/>
      <x:c r="L868" s="26"/>
      <x:c r="M868" s="26"/>
    </x:row>
    <x:row r="869">
      <x:c r="G869" s="22"/>
      <x:c r="J869" s="25"/>
      <x:c r="K869" s="25"/>
      <x:c r="L869" s="26"/>
      <x:c r="M869" s="26"/>
    </x:row>
    <x:row r="870">
      <x:c r="G870" s="22"/>
      <x:c r="J870" s="25"/>
      <x:c r="K870" s="25"/>
      <x:c r="L870" s="26"/>
      <x:c r="M870" s="26"/>
    </x:row>
    <x:row r="871">
      <x:c r="G871" s="22"/>
      <x:c r="J871" s="25"/>
      <x:c r="K871" s="25"/>
      <x:c r="L871" s="26"/>
      <x:c r="M871" s="26"/>
    </x:row>
    <x:row r="872">
      <x:c r="G872" s="22"/>
      <x:c r="J872" s="25"/>
      <x:c r="K872" s="25"/>
      <x:c r="L872" s="26"/>
      <x:c r="M872" s="26"/>
    </x:row>
    <x:row r="873">
      <x:c r="G873" s="22"/>
      <x:c r="J873" s="25"/>
      <x:c r="K873" s="25"/>
      <x:c r="L873" s="26"/>
      <x:c r="M873" s="26"/>
    </x:row>
    <x:row r="874">
      <x:c r="G874" s="22"/>
      <x:c r="J874" s="25"/>
      <x:c r="K874" s="25"/>
      <x:c r="L874" s="26"/>
      <x:c r="M874" s="26"/>
    </x:row>
    <x:row r="875">
      <x:c r="G875" s="22"/>
      <x:c r="J875" s="25"/>
      <x:c r="K875" s="25"/>
      <x:c r="L875" s="26"/>
      <x:c r="M875" s="26"/>
    </x:row>
    <x:row r="876">
      <x:c r="G876" s="22"/>
      <x:c r="J876" s="25"/>
      <x:c r="K876" s="25"/>
      <x:c r="L876" s="26"/>
      <x:c r="M876" s="26"/>
    </x:row>
    <x:row r="877">
      <x:c r="G877" s="22"/>
      <x:c r="J877" s="25"/>
      <x:c r="K877" s="25"/>
      <x:c r="L877" s="26"/>
      <x:c r="M877" s="26"/>
    </x:row>
    <x:row r="878">
      <x:c r="G878" s="22"/>
      <x:c r="J878" s="25"/>
      <x:c r="K878" s="25"/>
      <x:c r="L878" s="26"/>
      <x:c r="M878" s="26"/>
    </x:row>
    <x:row r="879">
      <x:c r="G879" s="22"/>
      <x:c r="J879" s="25"/>
      <x:c r="K879" s="25"/>
      <x:c r="L879" s="26"/>
      <x:c r="M879" s="26"/>
    </x:row>
    <x:row r="880">
      <x:c r="G880" s="22"/>
      <x:c r="J880" s="25"/>
      <x:c r="K880" s="25"/>
      <x:c r="L880" s="26"/>
      <x:c r="M880" s="26"/>
    </x:row>
    <x:row r="881">
      <x:c r="G881" s="22"/>
      <x:c r="J881" s="25"/>
      <x:c r="K881" s="25"/>
      <x:c r="L881" s="26"/>
      <x:c r="M881" s="26"/>
    </x:row>
    <x:row r="882">
      <x:c r="G882" s="22"/>
      <x:c r="J882" s="25"/>
      <x:c r="K882" s="25"/>
      <x:c r="L882" s="26"/>
      <x:c r="M882" s="26"/>
    </x:row>
    <x:row r="883">
      <x:c r="G883" s="22"/>
      <x:c r="J883" s="25"/>
      <x:c r="K883" s="25"/>
      <x:c r="L883" s="26"/>
      <x:c r="M883" s="26"/>
    </x:row>
    <x:row r="884">
      <x:c r="G884" s="22"/>
      <x:c r="J884" s="25"/>
      <x:c r="K884" s="25"/>
      <x:c r="L884" s="26"/>
      <x:c r="M884" s="26"/>
    </x:row>
    <x:row r="885">
      <x:c r="G885" s="22"/>
      <x:c r="J885" s="25"/>
      <x:c r="K885" s="25"/>
      <x:c r="L885" s="26"/>
      <x:c r="M885" s="26"/>
    </x:row>
    <x:row r="886">
      <x:c r="G886" s="22"/>
      <x:c r="J886" s="25"/>
      <x:c r="K886" s="25"/>
      <x:c r="L886" s="26"/>
      <x:c r="M886" s="26"/>
    </x:row>
    <x:row r="887">
      <x:c r="G887" s="22"/>
      <x:c r="J887" s="25"/>
      <x:c r="K887" s="25"/>
      <x:c r="L887" s="26"/>
      <x:c r="M887" s="26"/>
    </x:row>
    <x:row r="888">
      <x:c r="G888" s="22"/>
      <x:c r="J888" s="25"/>
      <x:c r="K888" s="25"/>
      <x:c r="L888" s="26"/>
      <x:c r="M888" s="26"/>
    </x:row>
    <x:row r="889">
      <x:c r="G889" s="22"/>
      <x:c r="J889" s="25"/>
      <x:c r="K889" s="25"/>
      <x:c r="L889" s="26"/>
      <x:c r="M889" s="26"/>
    </x:row>
    <x:row r="890">
      <x:c r="G890" s="22"/>
      <x:c r="J890" s="25"/>
      <x:c r="K890" s="25"/>
      <x:c r="L890" s="26"/>
      <x:c r="M890" s="26"/>
    </x:row>
    <x:row r="891">
      <x:c r="G891" s="22"/>
      <x:c r="J891" s="25"/>
      <x:c r="K891" s="25"/>
      <x:c r="L891" s="26"/>
      <x:c r="M891" s="26"/>
    </x:row>
    <x:row r="892">
      <x:c r="G892" s="22"/>
      <x:c r="J892" s="25"/>
      <x:c r="K892" s="25"/>
      <x:c r="L892" s="26"/>
      <x:c r="M892" s="26"/>
    </x:row>
    <x:row r="893">
      <x:c r="G893" s="22"/>
      <x:c r="J893" s="25"/>
      <x:c r="K893" s="25"/>
      <x:c r="L893" s="26"/>
      <x:c r="M893" s="26"/>
    </x:row>
    <x:row r="894">
      <x:c r="G894" s="22"/>
      <x:c r="J894" s="25"/>
      <x:c r="K894" s="25"/>
      <x:c r="L894" s="26"/>
      <x:c r="M894" s="26"/>
    </x:row>
    <x:row r="895">
      <x:c r="G895" s="22"/>
      <x:c r="J895" s="25"/>
      <x:c r="K895" s="25"/>
      <x:c r="L895" s="26"/>
      <x:c r="M895" s="26"/>
    </x:row>
    <x:row r="896">
      <x:c r="G896" s="22"/>
      <x:c r="J896" s="25"/>
      <x:c r="K896" s="25"/>
      <x:c r="L896" s="26"/>
      <x:c r="M896" s="26"/>
    </x:row>
    <x:row r="897">
      <x:c r="G897" s="22"/>
      <x:c r="J897" s="25"/>
      <x:c r="K897" s="25"/>
      <x:c r="L897" s="26"/>
      <x:c r="M897" s="26"/>
    </x:row>
    <x:row r="898">
      <x:c r="G898" s="22"/>
      <x:c r="J898" s="25"/>
      <x:c r="K898" s="25"/>
      <x:c r="L898" s="26"/>
      <x:c r="M898" s="26"/>
    </x:row>
    <x:row r="899">
      <x:c r="G899" s="22"/>
      <x:c r="J899" s="25"/>
      <x:c r="K899" s="25"/>
      <x:c r="L899" s="26"/>
      <x:c r="M899" s="26"/>
    </x:row>
    <x:row r="900">
      <x:c r="G900" s="22"/>
      <x:c r="J900" s="25"/>
      <x:c r="K900" s="25"/>
      <x:c r="L900" s="26"/>
      <x:c r="M900" s="26"/>
    </x:row>
    <x:row r="901">
      <x:c r="G901" s="22"/>
      <x:c r="J901" s="25"/>
      <x:c r="K901" s="25"/>
      <x:c r="L901" s="26"/>
      <x:c r="M901" s="26"/>
    </x:row>
    <x:row r="902">
      <x:c r="G902" s="22"/>
      <x:c r="J902" s="25"/>
      <x:c r="K902" s="25"/>
      <x:c r="L902" s="26"/>
      <x:c r="M902" s="26"/>
    </x:row>
    <x:row r="903">
      <x:c r="G903" s="22"/>
      <x:c r="J903" s="25"/>
      <x:c r="K903" s="25"/>
      <x:c r="L903" s="26"/>
      <x:c r="M903" s="26"/>
    </x:row>
    <x:row r="904">
      <x:c r="G904" s="22"/>
      <x:c r="J904" s="25"/>
      <x:c r="K904" s="25"/>
      <x:c r="L904" s="26"/>
      <x:c r="M904" s="26"/>
    </x:row>
    <x:row r="905">
      <x:c r="G905" s="22"/>
      <x:c r="J905" s="25"/>
      <x:c r="K905" s="25"/>
      <x:c r="L905" s="26"/>
      <x:c r="M905" s="26"/>
    </x:row>
    <x:row r="906">
      <x:c r="G906" s="22"/>
      <x:c r="J906" s="25"/>
      <x:c r="K906" s="25"/>
      <x:c r="L906" s="26"/>
      <x:c r="M906" s="26"/>
    </x:row>
    <x:row r="907">
      <x:c r="G907" s="22"/>
      <x:c r="J907" s="25"/>
      <x:c r="K907" s="25"/>
      <x:c r="L907" s="26"/>
      <x:c r="M907" s="26"/>
    </x:row>
    <x:row r="908">
      <x:c r="G908" s="22"/>
      <x:c r="J908" s="25"/>
      <x:c r="K908" s="25"/>
      <x:c r="L908" s="26"/>
      <x:c r="M908" s="26"/>
    </x:row>
    <x:row r="909">
      <x:c r="G909" s="22"/>
      <x:c r="J909" s="25"/>
      <x:c r="K909" s="25"/>
      <x:c r="L909" s="26"/>
      <x:c r="M909" s="26"/>
    </x:row>
    <x:row r="910">
      <x:c r="G910" s="22"/>
      <x:c r="J910" s="25"/>
      <x:c r="K910" s="25"/>
      <x:c r="L910" s="26"/>
      <x:c r="M910" s="26"/>
    </x:row>
    <x:row r="911">
      <x:c r="G911" s="22"/>
      <x:c r="J911" s="25"/>
      <x:c r="K911" s="25"/>
      <x:c r="L911" s="26"/>
      <x:c r="M911" s="26"/>
    </x:row>
    <x:row r="912">
      <x:c r="G912" s="22"/>
      <x:c r="J912" s="25"/>
      <x:c r="K912" s="25"/>
      <x:c r="L912" s="26"/>
      <x:c r="M912" s="26"/>
    </x:row>
    <x:row r="913">
      <x:c r="G913" s="22"/>
      <x:c r="J913" s="25"/>
      <x:c r="K913" s="25"/>
      <x:c r="L913" s="26"/>
      <x:c r="M913" s="26"/>
    </x:row>
    <x:row r="914">
      <x:c r="G914" s="22"/>
      <x:c r="J914" s="25"/>
      <x:c r="K914" s="25"/>
      <x:c r="L914" s="26"/>
      <x:c r="M914" s="26"/>
    </x:row>
    <x:row r="915">
      <x:c r="G915" s="22"/>
      <x:c r="J915" s="25"/>
      <x:c r="K915" s="25"/>
      <x:c r="L915" s="26"/>
      <x:c r="M915" s="26"/>
    </x:row>
    <x:row r="916">
      <x:c r="G916" s="22"/>
      <x:c r="J916" s="25"/>
      <x:c r="K916" s="25"/>
      <x:c r="L916" s="26"/>
      <x:c r="M916" s="26"/>
    </x:row>
    <x:row r="917">
      <x:c r="G917" s="22"/>
      <x:c r="J917" s="25"/>
      <x:c r="K917" s="25"/>
      <x:c r="L917" s="26"/>
      <x:c r="M917" s="26"/>
    </x:row>
    <x:row r="918">
      <x:c r="G918" s="22"/>
      <x:c r="J918" s="25"/>
      <x:c r="K918" s="25"/>
      <x:c r="L918" s="26"/>
      <x:c r="M918" s="26"/>
    </x:row>
    <x:row r="919">
      <x:c r="G919" s="22"/>
      <x:c r="J919" s="25"/>
      <x:c r="K919" s="25"/>
      <x:c r="L919" s="26"/>
      <x:c r="M919" s="26"/>
    </x:row>
    <x:row r="920">
      <x:c r="G920" s="22"/>
      <x:c r="J920" s="25"/>
      <x:c r="K920" s="25"/>
      <x:c r="L920" s="26"/>
      <x:c r="M920" s="26"/>
    </x:row>
    <x:row r="921">
      <x:c r="G921" s="22"/>
      <x:c r="J921" s="25"/>
      <x:c r="K921" s="25"/>
      <x:c r="L921" s="26"/>
      <x:c r="M921" s="26"/>
    </x:row>
    <x:row r="922">
      <x:c r="G922" s="22"/>
      <x:c r="J922" s="25"/>
      <x:c r="K922" s="25"/>
      <x:c r="L922" s="26"/>
      <x:c r="M922" s="26"/>
    </x:row>
    <x:row r="923">
      <x:c r="G923" s="22"/>
      <x:c r="J923" s="25"/>
      <x:c r="K923" s="25"/>
      <x:c r="L923" s="26"/>
      <x:c r="M923" s="26"/>
    </x:row>
    <x:row r="924">
      <x:c r="G924" s="22"/>
      <x:c r="J924" s="25"/>
      <x:c r="K924" s="25"/>
      <x:c r="L924" s="26"/>
      <x:c r="M924" s="26"/>
    </x:row>
    <x:row r="925">
      <x:c r="G925" s="22"/>
      <x:c r="J925" s="25"/>
      <x:c r="K925" s="25"/>
      <x:c r="L925" s="26"/>
      <x:c r="M925" s="26"/>
    </x:row>
    <x:row r="926">
      <x:c r="G926" s="22"/>
      <x:c r="J926" s="25"/>
      <x:c r="K926" s="25"/>
      <x:c r="L926" s="26"/>
      <x:c r="M926" s="26"/>
    </x:row>
    <x:row r="927">
      <x:c r="G927" s="22"/>
      <x:c r="J927" s="25"/>
      <x:c r="K927" s="25"/>
      <x:c r="L927" s="26"/>
      <x:c r="M927" s="26"/>
    </x:row>
    <x:row r="928">
      <x:c r="G928" s="22"/>
      <x:c r="J928" s="25"/>
      <x:c r="K928" s="25"/>
      <x:c r="L928" s="26"/>
      <x:c r="M928" s="26"/>
    </x:row>
    <x:row r="929">
      <x:c r="G929" s="22"/>
      <x:c r="J929" s="25"/>
      <x:c r="K929" s="25"/>
      <x:c r="L929" s="26"/>
      <x:c r="M929" s="26"/>
    </x:row>
    <x:row r="930">
      <x:c r="G930" s="22"/>
      <x:c r="J930" s="25"/>
      <x:c r="K930" s="25"/>
      <x:c r="L930" s="26"/>
      <x:c r="M930" s="26"/>
    </x:row>
    <x:row r="931">
      <x:c r="G931" s="22"/>
      <x:c r="J931" s="25"/>
      <x:c r="K931" s="25"/>
      <x:c r="L931" s="26"/>
      <x:c r="M931" s="26"/>
    </x:row>
    <x:row r="932">
      <x:c r="G932" s="22"/>
      <x:c r="J932" s="25"/>
      <x:c r="K932" s="25"/>
      <x:c r="L932" s="26"/>
      <x:c r="M932" s="26"/>
    </x:row>
    <x:row r="933">
      <x:c r="G933" s="22"/>
      <x:c r="J933" s="25"/>
      <x:c r="K933" s="25"/>
      <x:c r="L933" s="26"/>
      <x:c r="M933" s="26"/>
    </x:row>
    <x:row r="934">
      <x:c r="G934" s="22"/>
      <x:c r="J934" s="25"/>
      <x:c r="K934" s="25"/>
      <x:c r="L934" s="26"/>
      <x:c r="M934" s="26"/>
    </x:row>
    <x:row r="935">
      <x:c r="G935" s="22"/>
      <x:c r="J935" s="25"/>
      <x:c r="K935" s="25"/>
      <x:c r="L935" s="26"/>
      <x:c r="M935" s="26"/>
    </x:row>
    <x:row r="936">
      <x:c r="G936" s="22"/>
      <x:c r="J936" s="25"/>
      <x:c r="K936" s="25"/>
      <x:c r="L936" s="26"/>
      <x:c r="M936" s="26"/>
    </x:row>
    <x:row r="937">
      <x:c r="G937" s="22"/>
      <x:c r="J937" s="25"/>
      <x:c r="K937" s="25"/>
      <x:c r="L937" s="26"/>
      <x:c r="M937" s="26"/>
    </x:row>
    <x:row r="938">
      <x:c r="G938" s="22"/>
      <x:c r="J938" s="25"/>
      <x:c r="K938" s="25"/>
      <x:c r="L938" s="26"/>
      <x:c r="M938" s="26"/>
    </x:row>
    <x:row r="939">
      <x:c r="G939" s="22"/>
      <x:c r="J939" s="25"/>
      <x:c r="K939" s="25"/>
      <x:c r="L939" s="26"/>
      <x:c r="M939" s="26"/>
    </x:row>
    <x:row r="940">
      <x:c r="G940" s="22"/>
      <x:c r="J940" s="25"/>
      <x:c r="K940" s="25"/>
      <x:c r="L940" s="26"/>
      <x:c r="M940" s="26"/>
    </x:row>
    <x:row r="941">
      <x:c r="G941" s="22"/>
      <x:c r="J941" s="25"/>
      <x:c r="K941" s="25"/>
      <x:c r="L941" s="26"/>
      <x:c r="M941" s="26"/>
    </x:row>
    <x:row r="942">
      <x:c r="G942" s="22"/>
      <x:c r="J942" s="25"/>
      <x:c r="K942" s="25"/>
      <x:c r="L942" s="26"/>
      <x:c r="M942" s="26"/>
    </x:row>
    <x:row r="943">
      <x:c r="G943" s="22"/>
      <x:c r="J943" s="25"/>
      <x:c r="K943" s="25"/>
      <x:c r="L943" s="26"/>
      <x:c r="M943" s="26"/>
    </x:row>
    <x:row r="944">
      <x:c r="G944" s="22"/>
      <x:c r="J944" s="25"/>
      <x:c r="K944" s="25"/>
      <x:c r="L944" s="26"/>
      <x:c r="M944" s="26"/>
    </x:row>
    <x:row r="945">
      <x:c r="G945" s="22"/>
      <x:c r="J945" s="25"/>
      <x:c r="K945" s="25"/>
      <x:c r="L945" s="26"/>
      <x:c r="M945" s="26"/>
    </x:row>
    <x:row r="946">
      <x:c r="G946" s="22"/>
      <x:c r="J946" s="25"/>
      <x:c r="K946" s="25"/>
      <x:c r="L946" s="26"/>
      <x:c r="M946" s="26"/>
    </x:row>
    <x:row r="947">
      <x:c r="G947" s="22"/>
      <x:c r="J947" s="25"/>
      <x:c r="K947" s="25"/>
      <x:c r="L947" s="26"/>
      <x:c r="M947" s="26"/>
    </x:row>
    <x:row r="948">
      <x:c r="G948" s="22"/>
      <x:c r="J948" s="25"/>
      <x:c r="K948" s="25"/>
      <x:c r="L948" s="26"/>
      <x:c r="M948" s="26"/>
    </x:row>
    <x:row r="949">
      <x:c r="G949" s="22"/>
      <x:c r="J949" s="25"/>
      <x:c r="K949" s="25"/>
      <x:c r="L949" s="26"/>
      <x:c r="M949" s="26"/>
    </x:row>
    <x:row r="950">
      <x:c r="G950" s="22"/>
      <x:c r="J950" s="25"/>
      <x:c r="K950" s="25"/>
      <x:c r="L950" s="26"/>
      <x:c r="M950" s="26"/>
    </x:row>
    <x:row r="951">
      <x:c r="G951" s="22"/>
      <x:c r="J951" s="25"/>
      <x:c r="K951" s="25"/>
      <x:c r="L951" s="26"/>
      <x:c r="M951" s="26"/>
    </x:row>
    <x:row r="952">
      <x:c r="G952" s="22"/>
      <x:c r="J952" s="25"/>
      <x:c r="K952" s="25"/>
      <x:c r="L952" s="26"/>
      <x:c r="M952" s="26"/>
    </x:row>
    <x:row r="953">
      <x:c r="G953" s="22"/>
      <x:c r="J953" s="25"/>
      <x:c r="K953" s="25"/>
      <x:c r="L953" s="26"/>
      <x:c r="M953" s="26"/>
    </x:row>
    <x:row r="954">
      <x:c r="G954" s="22"/>
      <x:c r="J954" s="25"/>
      <x:c r="K954" s="25"/>
      <x:c r="L954" s="26"/>
      <x:c r="M954" s="26"/>
    </x:row>
    <x:row r="955">
      <x:c r="G955" s="22"/>
      <x:c r="J955" s="25"/>
      <x:c r="K955" s="25"/>
      <x:c r="L955" s="26"/>
      <x:c r="M955" s="26"/>
    </x:row>
    <x:row r="956">
      <x:c r="G956" s="22"/>
      <x:c r="J956" s="25"/>
      <x:c r="K956" s="25"/>
      <x:c r="L956" s="26"/>
      <x:c r="M956" s="26"/>
    </x:row>
    <x:row r="957">
      <x:c r="G957" s="22"/>
      <x:c r="J957" s="25"/>
      <x:c r="K957" s="25"/>
      <x:c r="L957" s="26"/>
      <x:c r="M957" s="26"/>
    </x:row>
    <x:row r="958">
      <x:c r="G958" s="22"/>
      <x:c r="J958" s="25"/>
      <x:c r="K958" s="25"/>
      <x:c r="L958" s="26"/>
      <x:c r="M958" s="26"/>
    </x:row>
    <x:row r="959">
      <x:c r="G959" s="22"/>
      <x:c r="J959" s="25"/>
      <x:c r="K959" s="25"/>
      <x:c r="L959" s="26"/>
      <x:c r="M959" s="26"/>
    </x:row>
    <x:row r="960">
      <x:c r="G960" s="22"/>
      <x:c r="J960" s="25"/>
      <x:c r="K960" s="25"/>
      <x:c r="L960" s="26"/>
      <x:c r="M960" s="26"/>
    </x:row>
    <x:row r="961">
      <x:c r="G961" s="22"/>
      <x:c r="J961" s="25"/>
      <x:c r="K961" s="25"/>
      <x:c r="L961" s="26"/>
      <x:c r="M961" s="26"/>
    </x:row>
    <x:row r="962">
      <x:c r="G962" s="22"/>
      <x:c r="J962" s="25"/>
      <x:c r="K962" s="25"/>
      <x:c r="L962" s="26"/>
      <x:c r="M962" s="26"/>
    </x:row>
    <x:row r="963">
      <x:c r="G963" s="22"/>
      <x:c r="J963" s="25"/>
      <x:c r="K963" s="25"/>
      <x:c r="L963" s="26"/>
      <x:c r="M963" s="26"/>
    </x:row>
    <x:row r="964">
      <x:c r="G964" s="22"/>
      <x:c r="J964" s="25"/>
      <x:c r="K964" s="25"/>
      <x:c r="L964" s="26"/>
      <x:c r="M964" s="26"/>
    </x:row>
    <x:row r="965">
      <x:c r="G965" s="22"/>
      <x:c r="J965" s="25"/>
      <x:c r="K965" s="25"/>
      <x:c r="L965" s="26"/>
      <x:c r="M965" s="26"/>
    </x:row>
    <x:row r="966">
      <x:c r="G966" s="22"/>
      <x:c r="J966" s="25"/>
      <x:c r="K966" s="25"/>
      <x:c r="L966" s="26"/>
      <x:c r="M966" s="26"/>
    </x:row>
    <x:row r="967">
      <x:c r="G967" s="22"/>
      <x:c r="J967" s="25"/>
      <x:c r="K967" s="25"/>
      <x:c r="L967" s="26"/>
      <x:c r="M967" s="26"/>
    </x:row>
    <x:row r="968">
      <x:c r="G968" s="22"/>
      <x:c r="J968" s="25"/>
      <x:c r="K968" s="25"/>
      <x:c r="L968" s="26"/>
      <x:c r="M968" s="26"/>
    </x:row>
    <x:row r="969">
      <x:c r="G969" s="22"/>
      <x:c r="J969" s="25"/>
      <x:c r="K969" s="25"/>
      <x:c r="L969" s="26"/>
      <x:c r="M969" s="26"/>
    </x:row>
    <x:row r="970">
      <x:c r="G970" s="22"/>
      <x:c r="J970" s="25"/>
      <x:c r="K970" s="25"/>
      <x:c r="L970" s="26"/>
      <x:c r="M970" s="26"/>
    </x:row>
    <x:row r="971">
      <x:c r="G971" s="22"/>
      <x:c r="J971" s="25"/>
      <x:c r="K971" s="25"/>
      <x:c r="L971" s="26"/>
      <x:c r="M971" s="26"/>
    </x:row>
    <x:row r="972">
      <x:c r="G972" s="22"/>
      <x:c r="J972" s="25"/>
      <x:c r="K972" s="25"/>
      <x:c r="L972" s="26"/>
      <x:c r="M972" s="26"/>
    </x:row>
    <x:row r="973">
      <x:c r="G973" s="22"/>
      <x:c r="J973" s="25"/>
      <x:c r="K973" s="25"/>
      <x:c r="L973" s="26"/>
      <x:c r="M973" s="26"/>
    </x:row>
    <x:row r="974">
      <x:c r="G974" s="22"/>
      <x:c r="J974" s="25"/>
      <x:c r="K974" s="25"/>
      <x:c r="L974" s="26"/>
      <x:c r="M974" s="26"/>
    </x:row>
    <x:row r="975">
      <x:c r="G975" s="22"/>
      <x:c r="J975" s="25"/>
      <x:c r="K975" s="25"/>
      <x:c r="L975" s="26"/>
      <x:c r="M975" s="26"/>
    </x:row>
    <x:row r="976">
      <x:c r="G976" s="22"/>
      <x:c r="J976" s="25"/>
      <x:c r="K976" s="25"/>
      <x:c r="L976" s="26"/>
      <x:c r="M976" s="26"/>
    </x:row>
    <x:row r="977">
      <x:c r="G977" s="22"/>
      <x:c r="J977" s="25"/>
      <x:c r="K977" s="25"/>
      <x:c r="L977" s="26"/>
      <x:c r="M977" s="26"/>
    </x:row>
    <x:row r="978">
      <x:c r="G978" s="22"/>
      <x:c r="J978" s="25"/>
      <x:c r="K978" s="25"/>
      <x:c r="L978" s="26"/>
      <x:c r="M978" s="26"/>
    </x:row>
    <x:row r="979">
      <x:c r="G979" s="22"/>
      <x:c r="J979" s="25"/>
      <x:c r="K979" s="25"/>
      <x:c r="L979" s="26"/>
      <x:c r="M979" s="26"/>
    </x:row>
    <x:row r="980">
      <x:c r="G980" s="22"/>
      <x:c r="J980" s="25"/>
      <x:c r="K980" s="25"/>
      <x:c r="L980" s="26"/>
      <x:c r="M980" s="26"/>
    </x:row>
    <x:row r="981">
      <x:c r="G981" s="22"/>
      <x:c r="J981" s="25"/>
      <x:c r="K981" s="25"/>
      <x:c r="L981" s="26"/>
      <x:c r="M981" s="26"/>
    </x:row>
    <x:row r="982">
      <x:c r="G982" s="22"/>
      <x:c r="J982" s="25"/>
      <x:c r="K982" s="25"/>
      <x:c r="L982" s="26"/>
      <x:c r="M982" s="26"/>
    </x:row>
    <x:row r="983">
      <x:c r="G983" s="22"/>
      <x:c r="J983" s="25"/>
      <x:c r="K983" s="25"/>
      <x:c r="L983" s="26"/>
      <x:c r="M983" s="26"/>
    </x:row>
    <x:row r="984">
      <x:c r="G984" s="22"/>
      <x:c r="J984" s="25"/>
      <x:c r="K984" s="25"/>
      <x:c r="L984" s="26"/>
      <x:c r="M984" s="26"/>
    </x:row>
    <x:row r="985">
      <x:c r="G985" s="22"/>
      <x:c r="J985" s="25"/>
      <x:c r="K985" s="25"/>
      <x:c r="L985" s="26"/>
      <x:c r="M985" s="26"/>
    </x:row>
    <x:row r="986">
      <x:c r="G986" s="22"/>
      <x:c r="J986" s="25"/>
      <x:c r="K986" s="25"/>
      <x:c r="L986" s="26"/>
      <x:c r="M986" s="26"/>
    </x:row>
    <x:row r="987">
      <x:c r="G987" s="22"/>
      <x:c r="J987" s="25"/>
      <x:c r="K987" s="25"/>
      <x:c r="L987" s="26"/>
      <x:c r="M987" s="26"/>
    </x:row>
    <x:row r="988">
      <x:c r="G988" s="22"/>
      <x:c r="J988" s="25"/>
      <x:c r="K988" s="25"/>
      <x:c r="L988" s="26"/>
      <x:c r="M988" s="26"/>
    </x:row>
    <x:row r="989">
      <x:c r="G989" s="22"/>
      <x:c r="J989" s="25"/>
      <x:c r="K989" s="25"/>
      <x:c r="L989" s="26"/>
      <x:c r="M989" s="26"/>
    </x:row>
    <x:row r="990">
      <x:c r="G990" s="22"/>
      <x:c r="J990" s="25"/>
      <x:c r="K990" s="25"/>
      <x:c r="L990" s="26"/>
      <x:c r="M990" s="26"/>
    </x:row>
    <x:row r="991">
      <x:c r="G991" s="22"/>
      <x:c r="J991" s="25"/>
      <x:c r="K991" s="25"/>
      <x:c r="L991" s="26"/>
      <x:c r="M991" s="26"/>
    </x:row>
    <x:row r="992">
      <x:c r="G992" s="22"/>
      <x:c r="J992" s="25"/>
      <x:c r="K992" s="25"/>
      <x:c r="L992" s="26"/>
      <x:c r="M992" s="26"/>
    </x:row>
    <x:row r="993">
      <x:c r="G993" s="22"/>
      <x:c r="J993" s="25"/>
      <x:c r="K993" s="25"/>
      <x:c r="L993" s="26"/>
      <x:c r="M993" s="26"/>
    </x:row>
    <x:row r="994">
      <x:c r="G994" s="22"/>
      <x:c r="J994" s="25"/>
      <x:c r="K994" s="25"/>
      <x:c r="L994" s="26"/>
      <x:c r="M994" s="26"/>
    </x:row>
    <x:row r="995">
      <x:c r="G995" s="22"/>
      <x:c r="J995" s="25"/>
      <x:c r="K995" s="25"/>
      <x:c r="L995" s="26"/>
      <x:c r="M995" s="26"/>
    </x:row>
    <x:row r="996">
      <x:c r="G996" s="22"/>
      <x:c r="J996" s="25"/>
      <x:c r="K996" s="25"/>
      <x:c r="L996" s="26"/>
      <x:c r="M996" s="26"/>
    </x:row>
    <x:row r="997">
      <x:c r="G997" s="22"/>
      <x:c r="J997" s="25"/>
      <x:c r="K997" s="25"/>
      <x:c r="L997" s="26"/>
      <x:c r="M997" s="26"/>
    </x:row>
    <x:row r="998">
      <x:c r="G998" s="22"/>
      <x:c r="J998" s="25"/>
      <x:c r="K998" s="25"/>
      <x:c r="L998" s="26"/>
      <x:c r="M998" s="26"/>
    </x:row>
    <x:row r="999">
      <x:c r="G999" s="22"/>
      <x:c r="J999" s="25"/>
      <x:c r="K999" s="25"/>
      <x:c r="L999" s="26"/>
      <x:c r="M999" s="26"/>
    </x:row>
    <x:row r="1000">
      <x:c r="G1000" s="22"/>
      <x:c r="J1000" s="25"/>
      <x:c r="K1000" s="25"/>
      <x:c r="L1000" s="26"/>
      <x:c r="M1000" s="26"/>
    </x:row>
    <x:row r="1001">
      <x:c r="G1001" s="22"/>
      <x:c r="J1001" s="25"/>
      <x:c r="K1001" s="25"/>
      <x:c r="L1001" s="26"/>
      <x:c r="M1001" s="26"/>
    </x:row>
    <x:row r="1002">
      <x:c r="G1002" s="22"/>
      <x:c r="J1002" s="25"/>
      <x:c r="K1002" s="25"/>
      <x:c r="L1002" s="26"/>
      <x:c r="M1002" s="26"/>
    </x:row>
    <x:row r="1003">
      <x:c r="G1003" s="22"/>
      <x:c r="J1003" s="25"/>
      <x:c r="K1003" s="25"/>
      <x:c r="L1003" s="26"/>
      <x:c r="M1003" s="26"/>
    </x:row>
    <x:row r="1004">
      <x:c r="G1004" s="22"/>
      <x:c r="J1004" s="25"/>
      <x:c r="K1004" s="25"/>
      <x:c r="L1004" s="26"/>
      <x:c r="M1004" s="26"/>
    </x:row>
  </x:sheetData>
  <x:dataValidations count="2">
    <x:dataValidation type="list" sqref="D5:D1004">
      <x:formula1>"MPS,PPS,Exact"</x:formula1>
    </x:dataValidation>
    <x:dataValidation type="list" sqref="I5:I1004">
      <x:formula1>"planned,running,succeeded,failed,canceled"</x:formula1>
    </x:dataValidation>
  </x:dataValidations>
  <x:pageMargins left="0.7" right="0.7" top="0.75" bottom="0.75" header="0.3" footer="0.3"/>
</x:worksheet>
</file>