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6b83d31bb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3b34c167b75c4e5e"/>
    <x:sheet xmlns:r="http://schemas.openxmlformats.org/officeDocument/2006/relationships" name="Qubits" sheetId="2" r:id="R8f670f07f5fc48b4"/>
    <x:sheet xmlns:r="http://schemas.openxmlformats.org/officeDocument/2006/relationships" name="Estimates" sheetId="3" r:id="R0faf2c404c914555"/>
    <x:sheet xmlns:r="http://schemas.openxmlformats.org/officeDocument/2006/relationships" name="Jobs" sheetId="4" r:id="Rd167124aea5f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.00"/>
    <x:numFmt numFmtId="202" formatCode="#,##0.0"/>
    <x:numFmt numFmtId="203" formatCode="0.00000"/>
    <x:numFmt numFmtId="204" formatCode="0.000000"/>
    <x:numFmt numFmtId="205" formatCode="yyyy-mm-dd hh:mm"/>
  </x:numFmts>
  <x:fonts count="7">
    <x:font>
      <x:sz val="11"/>
      <x:name val="Carlito"/>
    </x:font>
    <x:font>
      <x:sz val="10"/>
      <x:color rgb="FF16283E"/>
      <x:name val="Arial"/>
    </x:font>
    <x:font>
      <x:b/>
      <x:sz val="14"/>
      <x:color rgb="FF16283E"/>
      <x:name val="Arial"/>
    </x:font>
    <x:font>
      <x:sz val="10"/>
      <x:color rgb="FF315D87"/>
      <x:name val="Arial"/>
    </x:font>
    <x:font>
      <x:b/>
      <x:sz val="10"/>
      <x:color rgb="FF16283E"/>
      <x:name val="Arial"/>
    </x:font>
    <x:font>
      <x:i/>
      <x:sz val="9"/>
      <x:color rgb="FF6A7888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6"/>
      </x:patternFill>
    </x:fill>
    <x:fill>
      <x:patternFill patternType="solid">
        <x:fgColor rgb="FFEAF1F7"/>
      </x:patternFill>
    </x:fill>
    <x:fill>
      <x:patternFill patternType="solid">
        <x:fgColor rgb="FF243C5A"/>
      </x:patternFill>
    </x:fill>
    <x:fill>
      <x:patternFill patternType="solid">
        <x:fgColor rgb="FFF4F7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204" fontId="3" fillId="5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3" fillId="2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3" fillId="2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276749"/>
      </x:font>
      <x:fill>
        <x:patternFill patternType="solid">
          <x:bgColor rgb="FFE5F3E8"/>
        </x:patternFill>
      </x:fill>
    </x:dxf>
    <x:dxf>
      <x:font>
        <x:color rgb="FF276749"/>
      </x:font>
      <x:fill>
        <x:patternFill patternType="solid">
          <x:bgColor rgb="FFE5F3E8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f14c6397c4eaf" /><Relationship Type="http://schemas.openxmlformats.org/officeDocument/2006/relationships/theme" Target="/xl/theme/theme1.xml" Id="Rfd6ae5019747401e" /><Relationship Type="http://schemas.openxmlformats.org/officeDocument/2006/relationships/sharedStrings" Target="/xl/sharedStrings.xml" Id="Rf4e2bbf8f99a4078" /><Relationship Type="http://schemas.openxmlformats.org/officeDocument/2006/relationships/worksheet" Target="/xl/worksheets/sheet1.xml" Id="R3b34c167b75c4e5e" /><Relationship Type="http://schemas.openxmlformats.org/officeDocument/2006/relationships/worksheet" Target="/xl/worksheets/sheet2.xml" Id="R8f670f07f5fc48b4" /><Relationship Type="http://schemas.openxmlformats.org/officeDocument/2006/relationships/worksheet" Target="/xl/worksheets/sheet3.xml" Id="R0faf2c404c914555" /><Relationship Type="http://schemas.openxmlformats.org/officeDocument/2006/relationships/worksheet" Target="/xl/worksheets/sheet4.xml" Id="Rd167124aea5f45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3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Hidden 4 estimation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2" t="str">
        <x:v>Official circuit ID</x:v>
      </x:c>
      <x:c r="B4" s="6"/>
      <x:c r="C4" s="2"/>
      <x:c r="D4" s="11" t="str">
        <x:v>Precision window</x:v>
      </x:c>
      <x:c r="E4" s="11" t="str">
        <x:v>Slot 1</x:v>
      </x:c>
      <x:c r="F4" s="11" t="str">
        <x:v>Slot 2</x:v>
      </x:c>
      <x:c r="G4" s="11" t="str">
        <x:v>Slot 3</x:v>
      </x:c>
    </x:row>
    <x:row r="5">
      <x:c r="A5" s="2" t="str">
        <x:v>Required qubits</x:v>
      </x:c>
      <x:c r="B5" s="6"/>
      <x:c r="C5" s="2"/>
      <x:c r="D5" s="2" t="str">
        <x:v>MPS bond dimension χ</x:v>
      </x:c>
      <x:c r="E5" s="6" t="n">
        <x:v>32</x:v>
      </x:c>
      <x:c r="F5" s="6" t="n">
        <x:v>64</x:v>
      </x:c>
      <x:c r="G5" s="6" t="n">
        <x:v>128</x:v>
      </x:c>
    </x:row>
    <x:row r="6">
      <x:c r="A6" s="2" t="str">
        <x:v>Convergence tolerance (%)</x:v>
      </x:c>
      <x:c r="B6" s="7"/>
      <x:c r="C6" s="2"/>
      <x:c r="D6" s="2" t="str">
        <x:v>PPS threshold ε</x:v>
      </x:c>
      <x:c r="E6" s="12" t="n">
        <x:v>0.01</x:v>
      </x:c>
      <x:c r="F6" s="12" t="n">
        <x:v>0.003</x:v>
      </x:c>
      <x:c r="G6" s="12" t="n">
        <x:v>0.001</x:v>
      </x:c>
    </x:row>
    <x:row r="7">
      <x:c r="A7" s="2" t="str">
        <x:v>Run decision</x:v>
      </x:c>
      <x:c r="B7" s="6"/>
      <x:c r="C7" s="2"/>
      <x:c r="D7" s="2" t="str">
        <x:v>PPS transpilation level</x:v>
      </x:c>
      <x:c r="E7" s="6" t="n">
        <x:v>2</x:v>
      </x:c>
      <x:c r="F7" s="2"/>
      <x:c r="G7" s="2"/>
    </x:row>
    <x:row r="8">
      <x:c r="A8" s="2" t="str">
        <x:v>Decision note</x:v>
      </x:c>
      <x:c r="B8" s="6"/>
      <x:c r="C8" s="2"/>
      <x:c r="D8" s="2"/>
      <x:c r="E8" s="2"/>
      <x:c r="F8" s="2"/>
      <x:c r="G8" s="2"/>
    </x:row>
    <x:row r="9">
      <x:c r="A9" s="2" t="str">
        <x:v>Remaining credits</x:v>
      </x:c>
      <x:c r="B9" s="8"/>
      <x:c r="C9" s="2"/>
      <x:c r="D9" s="10" t="str">
        <x:v>Current action</x:v>
      </x:c>
      <x:c r="E9" s="11" t="str">
        <x:f>IF($B$5="","Enter official targets",IF(E10&lt;&gt;$B$5,"Check target list",IF(E17&gt;0,"Resolve duplicate targets",IF(E16&gt;0,"Resolve duplicate estimates",IF(E11&lt;$B$5,"Complete baseline",IF($B$7="Move on","Move on",IF(AND(ISNUMBER($B$9),ISNUMBER($B$10),$B$10&gt;$B$9),"Review and move on",IF(AND(ISNUMBER($B$11),ISNUMBER($B$12),$B$12&gt;$B$11),"Review and move on",IF($B$6="","Set tolerance or review",IF(OR(E14=$B$5,E15=$B$5),"Review and decide","Continue refinement"))))))))))</x:f>
        <x:v>Enter official targets</x:v>
      </x:c>
      <x:c r="F9" s="11"/>
      <x:c r="G9" s="11"/>
    </x:row>
    <x:row r="10">
      <x:c r="A10" s="2" t="str">
        <x:v>Next job est. credits</x:v>
      </x:c>
      <x:c r="B10" s="8"/>
      <x:c r="C10" s="2"/>
      <x:c r="D10" s="2" t="str">
        <x:v>Target qubits entered</x:v>
      </x:c>
      <x:c r="E10" s="2" t="n">
        <x:f>COUNTA('Qubits'!$A$6:$A$69)</x:f>
        <x:v>0</x:v>
      </x:c>
      <x:c r="F10" s="2"/>
      <x:c r="G10" s="2"/>
    </x:row>
    <x:row r="11">
      <x:c r="A11" s="2" t="str">
        <x:v>Minutes to cutoff</x:v>
      </x:c>
      <x:c r="B11" s="9"/>
      <x:c r="C11" s="2"/>
      <x:c r="D11" s="2" t="str">
        <x:v>Baseline covered</x:v>
      </x:c>
      <x:c r="E11" s="2" t="n">
        <x:f>SUM('Qubits'!$R$6:$R$69)</x:f>
        <x:v>0</x:v>
      </x:c>
      <x:c r="F11" s="2"/>
      <x:c r="G11" s="2"/>
    </x:row>
    <x:row r="12">
      <x:c r="A12" s="2" t="str">
        <x:v>Next job est. minutes</x:v>
      </x:c>
      <x:c r="B12" s="9"/>
      <x:c r="C12" s="2"/>
      <x:c r="D12" s="2" t="str">
        <x:v>MPS latest rows</x:v>
      </x:c>
      <x:c r="E12" s="2" t="n">
        <x:f>COUNT('Qubits'!$E$6:$E$69)</x:f>
        <x:v>0</x:v>
      </x:c>
      <x:c r="F12" s="2"/>
      <x:c r="G12" s="2"/>
    </x:row>
    <x:row r="13">
      <x:c r="A13" s="2"/>
      <x:c r="B13" s="2"/>
      <x:c r="C13" s="2"/>
      <x:c r="D13" s="2" t="str">
        <x:v>PPS latest rows</x:v>
      </x:c>
      <x:c r="E13" s="2" t="n">
        <x:f>COUNT('Qubits'!$L$6:$L$69)</x:f>
        <x:v>0</x:v>
      </x:c>
      <x:c r="F13" s="2"/>
      <x:c r="G13" s="2"/>
    </x:row>
    <x:row r="14">
      <x:c r="A14" s="2"/>
      <x:c r="B14" s="2"/>
      <x:c r="C14" s="2"/>
      <x:c r="D14" s="2" t="str">
        <x:v>MPS converging qubits</x:v>
      </x:c>
      <x:c r="E14" s="2" t="n">
        <x:f>COUNTIFS('Qubits'!$I$6:$I$69,"Yes")</x:f>
        <x:v>0</x:v>
      </x:c>
      <x:c r="F14" s="2"/>
      <x:c r="G14" s="2"/>
    </x:row>
    <x:row r="15">
      <x:c r="A15" s="2"/>
      <x:c r="B15" s="2"/>
      <x:c r="C15" s="2"/>
      <x:c r="D15" s="2" t="str">
        <x:v>PPS converging qubits</x:v>
      </x:c>
      <x:c r="E15" s="2" t="n">
        <x:f>COUNTIFS('Qubits'!$P$6:$P$69,"Yes")</x:f>
        <x:v>0</x:v>
      </x:c>
      <x:c r="F15" s="2"/>
      <x:c r="G15" s="2"/>
    </x:row>
    <x:row r="16">
      <x:c r="A16" s="2"/>
      <x:c r="B16" s="2"/>
      <x:c r="C16" s="2"/>
      <x:c r="D16" s="2" t="str">
        <x:v>Duplicate estimate keys</x:v>
      </x:c>
      <x:c r="E16" s="2" t="n">
        <x:f>COUNTIFS('Qubits'!$C$6:$E$69,"DUP")+COUNTIFS('Qubits'!$J$6:$L$69,"DUP")</x:f>
        <x:v>0</x:v>
      </x:c>
      <x:c r="F16" s="2"/>
      <x:c r="G16" s="2"/>
    </x:row>
    <x:row r="17">
      <x:c r="A17" s="2"/>
      <x:c r="B17" s="2"/>
      <x:c r="C17" s="2"/>
      <x:c r="D17" s="2" t="str">
        <x:v>Duplicate target keys</x:v>
      </x:c>
      <x:c r="E17" s="2" t="n">
        <x:f>COUNTIFS('Qubits'!$S$6:$S$69,"Duplicate target")</x:f>
        <x:v>0</x:v>
      </x:c>
      <x:c r="F17" s="2"/>
      <x:c r="G17" s="2"/>
    </x:row>
    <x:row r="18">
      <x:c r="A18" s="2"/>
      <x:c r="B18" s="2"/>
      <x:c r="C18" s="2"/>
      <x:c r="D18" s="2" t="str">
        <x:v>Running jobs</x:v>
      </x:c>
      <x:c r="E18" s="2" t="n">
        <x:f>COUNTIFS('Jobs'!$I$5:$I$304,"running")</x:f>
        <x:v>0</x:v>
      </x:c>
      <x:c r="F18" s="2"/>
      <x:c r="G18" s="2"/>
    </x:row>
    <x:row r="19">
      <x:c r="A19" s="2"/>
      <x:c r="B19" s="2"/>
      <x:c r="C19" s="2"/>
      <x:c r="D19" s="2" t="str">
        <x:v>Failed jobs</x:v>
      </x:c>
      <x:c r="E19" s="2" t="n">
        <x:f>COUNTIFS('Jobs'!$I$5:$I$304,"failed")</x:f>
        <x:v>0</x:v>
      </x:c>
      <x:c r="F19" s="2"/>
      <x:c r="G19" s="2"/>
    </x:row>
    <x:row r="20">
      <x:c r="A20" s="2"/>
      <x:c r="B20" s="2"/>
      <x:c r="C20" s="2"/>
      <x:c r="D20" s="2" t="str">
        <x:v>Credits consumed</x:v>
      </x:c>
      <x:c r="E20" s="13" t="n">
        <x:f>SUM('Jobs'!$M$5:$M$304)</x:f>
        <x:v>0</x:v>
      </x:c>
      <x:c r="F20" s="2"/>
      <x:c r="G20" s="2"/>
    </x:row>
    <x:row r="21">
      <x:c r="A21" s="2"/>
      <x:c r="B21" s="2"/>
      <x:c r="C21" s="2"/>
      <x:c r="D21" s="2"/>
      <x:c r="E21" s="13"/>
      <x:c r="F21" s="2"/>
      <x:c r="G21" s="2"/>
    </x:row>
    <x:row r="22">
      <x:c r="A22" s="2"/>
      <x:c r="B22" s="2"/>
      <x:c r="C22" s="2"/>
      <x:c r="D22" s="2" t="str">
        <x:v>Mean MPS SD (3 settings)</x:v>
      </x:c>
      <x:c r="E22" s="13" t="str">
        <x:f>IF(COUNT('Qubits'!$F$6:$F$69)=0,"",AVERAGE('Qubits'!$F$6:$F$69))</x:f>
      </x:c>
      <x:c r="F22" s="2"/>
      <x:c r="G22" s="2"/>
    </x:row>
    <x:row r="23">
      <x:c r="A23" s="2"/>
      <x:c r="B23" s="2"/>
      <x:c r="C23" s="2"/>
      <x:c r="D23" s="2" t="str">
        <x:v>Mean PPS SD (3 settings)</x:v>
      </x:c>
      <x:c r="E23" s="13" t="str">
        <x:f>IF(COUNT('Qubits'!$M$6:$M$69)=0,"",AVERAGE('Qubits'!$M$6:$M$69))</x:f>
      </x:c>
      <x:c r="F23" s="2"/>
      <x:c r="G23" s="2"/>
    </x:row>
    <x:row r="24">
      <x:c r="A24" s="2"/>
      <x:c r="B24" s="2"/>
      <x:c r="C24" s="2"/>
      <x:c r="D24" s="2" t="str">
        <x:v>Max MPS last % change</x:v>
      </x:c>
      <x:c r="E24" s="14" t="str">
        <x:f>IF(COUNT('Qubits'!$H$6:$H$69)=0,"",MAX('Qubits'!$H$6:$H$69))</x:f>
      </x:c>
      <x:c r="F24" s="2"/>
      <x:c r="G24" s="2"/>
    </x:row>
    <x:row r="25">
      <x:c r="A25" s="2"/>
      <x:c r="B25" s="2"/>
      <x:c r="C25" s="2"/>
      <x:c r="D25" s="2" t="str">
        <x:v>Max PPS last % change</x:v>
      </x:c>
      <x:c r="E25" s="14" t="str">
        <x:f>IF(COUNT('Qubits'!$O$6:$O$69)=0,"",MAX('Qubits'!$O$6:$O$69))</x:f>
      </x:c>
      <x:c r="F25" s="2"/>
      <x:c r="G25" s="2"/>
    </x:row>
    <x:row r="26">
      <x:c r="A26" s="2"/>
      <x:c r="B26" s="2"/>
      <x:c r="C26" s="2"/>
      <x:c r="D26" s="2" t="str">
        <x:v>Mean MPS/PPS abs. gap</x:v>
      </x:c>
      <x:c r="E26" s="13" t="str">
        <x:f>IF(COUNT('Qubits'!$Q$6:$Q$69)=0,"",AVERAGE('Qubits'!$Q$6:$Q$69))</x:f>
      </x:c>
      <x:c r="F26" s="2"/>
      <x:c r="G26" s="2"/>
    </x:row>
    <x:row r="27">
      <x:c r="A27" s="2"/>
      <x:c r="B27" s="2"/>
      <x:c r="C27" s="2"/>
      <x:c r="D27" s="15" t="str">
        <x:v>SD is spread across settings, not a statistical error bar. If the previous estimate is zero, percent change is n.a.; use absolute change.</x:v>
      </x:c>
      <x:c r="E27" s="15"/>
      <x:c r="F27" s="15"/>
      <x:c r="G27" s="15"/>
    </x:row>
    <x:row r="28">
      <x:c r="A28" s="15" t="str">
        <x:v>Initial settings: estimation_workflow_v0.md §3.2. Replace IDs and settings with the released kit.</x:v>
      </x:c>
      <x:c r="B28" s="15"/>
      <x:c r="C28" s="15"/>
      <x:c r="D28" s="15"/>
      <x:c r="E28" s="15"/>
      <x:c r="F28" s="15"/>
      <x:c r="G28" s="15"/>
    </x:row>
  </x:sheetData>
  <x:dataValidations count="1">
    <x:dataValidation type="list" sqref="B7">
      <x:formula1>"Continue,Move 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D8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15" hidden="0" customWidth="1"/>
    <x:col min="18" max="18" width="15" hidden="0" customWidth="1"/>
    <x:col min="19" max="19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Hidden 4 qubits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18" t="str">
        <x:v>Qubit</x:v>
      </x:c>
      <x:c r="B5" s="18" t="str">
        <x:v>Exact sample</x:v>
      </x:c>
      <x:c r="C5" s="18" t="str">
        <x:v>MPS 1</x:v>
      </x:c>
      <x:c r="D5" s="18" t="str">
        <x:v>MPS 2</x:v>
      </x:c>
      <x:c r="E5" s="18" t="str">
        <x:v>MPS 3</x:v>
      </x:c>
      <x:c r="F5" s="18" t="str">
        <x:v>MPS SD</x:v>
      </x:c>
      <x:c r="G5" s="18" t="str">
        <x:v>MPS abs. Δ</x:v>
      </x:c>
      <x:c r="H5" s="18" t="str">
        <x:v>MPS % Δ</x:v>
      </x:c>
      <x:c r="I5" s="18" t="str">
        <x:v>MPS converging</x:v>
      </x:c>
      <x:c r="J5" s="18" t="str">
        <x:v>PPS 1</x:v>
      </x:c>
      <x:c r="K5" s="18" t="str">
        <x:v>PPS 2</x:v>
      </x:c>
      <x:c r="L5" s="18" t="str">
        <x:v>PPS 3</x:v>
      </x:c>
      <x:c r="M5" s="18" t="str">
        <x:v>PPS SD</x:v>
      </x:c>
      <x:c r="N5" s="18" t="str">
        <x:v>PPS abs. Δ</x:v>
      </x:c>
      <x:c r="O5" s="18" t="str">
        <x:v>PPS % Δ</x:v>
      </x:c>
      <x:c r="P5" s="18" t="str">
        <x:v>PPS converging</x:v>
      </x:c>
      <x:c r="Q5" s="18" t="str">
        <x:v>MPS/PPS abs. Δ</x:v>
      </x:c>
      <x:c r="R5" s="18" t="str">
        <x:v>Baseline</x:v>
      </x:c>
      <x:c r="S5" s="18" t="str">
        <x:v>Issue</x:v>
      </x:c>
    </x:row>
    <x:row r="6">
      <x:c r="A6" s="6"/>
      <x:c r="B6" s="20"/>
      <x:c r="C6" s="13" t="str">
        <x:f>IF(OR(COUNTA($A6)=0,'Status'!$E$5=""),"",IF(COUNTIFS('Estimates'!$A$5:$A$604,$A6,'Estimates'!$B$5:$B$604,"MPS",'Estimates'!$C$5:$C$604,'Status'!$E$5)=0,"",IF(COUNTIFS('Estimates'!$A$5:$A$604,$A6,'Estimates'!$B$5:$B$604,"MPS",'Estimates'!$C$5:$C$604,'Status'!$E$5)&gt;1,"DUP",SUMIFS('Estimates'!$F$5:$F$604,'Estimates'!$A$5:$A$604,$A6,'Estimates'!$B$5:$B$604,"MPS",'Estimates'!$C$5:$C$604,'Status'!$E$5))))</x:f>
      </x:c>
      <x:c r="D6" s="13" t="str">
        <x:f>IF(OR(COUNTA($A6)=0,'Status'!$F$5=""),"",IF(COUNTIFS('Estimates'!$A$5:$A$604,$A6,'Estimates'!$B$5:$B$604,"MPS",'Estimates'!$C$5:$C$604,'Status'!$F$5)=0,"",IF(COUNTIFS('Estimates'!$A$5:$A$604,$A6,'Estimates'!$B$5:$B$604,"MPS",'Estimates'!$C$5:$C$604,'Status'!$F$5)&gt;1,"DUP",SUMIFS('Estimates'!$F$5:$F$604,'Estimates'!$A$5:$A$604,$A6,'Estimates'!$B$5:$B$604,"MPS",'Estimates'!$C$5:$C$604,'Status'!$F$5))))</x:f>
      </x:c>
      <x:c r="E6" s="13" t="str">
        <x:f>IF(OR(COUNTA($A6)=0,'Status'!$G$5=""),"",IF(COUNTIFS('Estimates'!$A$5:$A$604,$A6,'Estimates'!$B$5:$B$604,"MPS",'Estimates'!$C$5:$C$604,'Status'!$G$5)=0,"",IF(COUNTIFS('Estimates'!$A$5:$A$604,$A6,'Estimates'!$B$5:$B$604,"MPS",'Estimates'!$C$5:$C$604,'Status'!$G$5)&gt;1,"DUP",SUMIFS('Estimates'!$F$5:$F$604,'Estimates'!$A$5:$A$604,$A6,'Estimates'!$B$5:$B$604,"MPS",'Estimates'!$C$5:$C$604,'Status'!$G$5))))</x:f>
      </x:c>
      <x:c r="F6" s="13" t="str">
        <x:f>IF(COUNT(C6:E6)&lt;2,"",_xlfn.STDEV.S(C6:E6))</x:f>
      </x:c>
      <x:c r="G6" s="13" t="str">
        <x:f>IF(AND(ISNUMBER(D6),ISNUMBER(E6)),ABS(E6-D6),"")</x:f>
      </x:c>
      <x:c r="H6" s="14" t="str">
        <x:f>IF(AND(ISNUMBER(D6),ISNUMBER(E6)),IF(D6=0,"n.a.",ABS(E6-D6)/ABS(D6)),"")</x:f>
      </x:c>
      <x:c r="I6" s="2" t="str">
        <x:f>IF(COUNTA(A6)=0,"",IF('Status'!$B$6="","Set tolerance",IF(COUNT(C6:E6)&lt;3,"Need 3 levels",IF(OR(C6=0,D6=0),"Use abs. Δ",IF(AND(ABS(D6-C6)/ABS(C6)&lt;='Status'!$B$6,H6&lt;='Status'!$B$6),"Yes","No")))))</x:f>
      </x:c>
      <x:c r="J6" s="13" t="str">
        <x:f>IF(OR(COUNTA($A6)=0,'Status'!$E$6=""),"",IF(COUNTIFS('Estimates'!$A$5:$A$604,$A6,'Estimates'!$B$5:$B$604,"PPS",'Estimates'!$D$5:$D$604,'Status'!$E$6,'Estimates'!$E$5:$E$604,'Status'!$E$7)=0,"",IF(COUNTIFS('Estimates'!$A$5:$A$604,$A6,'Estimates'!$B$5:$B$604,"PPS",'Estimates'!$D$5:$D$604,'Status'!$E$6,'Estimates'!$E$5:$E$604,'Status'!$E$7)&gt;1,"DUP",SUMIFS('Estimates'!$F$5:$F$604,'Estimates'!$A$5:$A$604,$A6,'Estimates'!$B$5:$B$604,"PPS",'Estimates'!$D$5:$D$604,'Status'!$E$6,'Estimates'!$E$5:$E$604,'Status'!$E$7))))</x:f>
      </x:c>
      <x:c r="K6" s="13" t="str">
        <x:f>IF(OR(COUNTA($A6)=0,'Status'!$F$6=""),"",IF(COUNTIFS('Estimates'!$A$5:$A$604,$A6,'Estimates'!$B$5:$B$604,"PPS",'Estimates'!$D$5:$D$604,'Status'!$F$6,'Estimates'!$E$5:$E$604,'Status'!$E$7)=0,"",IF(COUNTIFS('Estimates'!$A$5:$A$604,$A6,'Estimates'!$B$5:$B$604,"PPS",'Estimates'!$D$5:$D$604,'Status'!$F$6,'Estimates'!$E$5:$E$604,'Status'!$E$7)&gt;1,"DUP",SUMIFS('Estimates'!$F$5:$F$604,'Estimates'!$A$5:$A$604,$A6,'Estimates'!$B$5:$B$604,"PPS",'Estimates'!$D$5:$D$604,'Status'!$F$6,'Estimates'!$E$5:$E$604,'Status'!$E$7))))</x:f>
      </x:c>
      <x:c r="L6" s="13" t="str">
        <x:f>IF(OR(COUNTA($A6)=0,'Status'!$G$6=""),"",IF(COUNTIFS('Estimates'!$A$5:$A$604,$A6,'Estimates'!$B$5:$B$604,"PPS",'Estimates'!$D$5:$D$604,'Status'!$G$6,'Estimates'!$E$5:$E$604,'Status'!$E$7)=0,"",IF(COUNTIFS('Estimates'!$A$5:$A$604,$A6,'Estimates'!$B$5:$B$604,"PPS",'Estimates'!$D$5:$D$604,'Status'!$G$6,'Estimates'!$E$5:$E$604,'Status'!$E$7)&gt;1,"DUP",SUMIFS('Estimates'!$F$5:$F$604,'Estimates'!$A$5:$A$604,$A6,'Estimates'!$B$5:$B$604,"PPS",'Estimates'!$D$5:$D$604,'Status'!$G$6,'Estimates'!$E$5:$E$604,'Status'!$E$7))))</x:f>
      </x:c>
      <x:c r="M6" s="13" t="str">
        <x:f>IF(COUNT(J6:L6)&lt;2,"",_xlfn.STDEV.S(J6:L6))</x:f>
      </x:c>
      <x:c r="N6" s="13" t="str">
        <x:f>IF(AND(ISNUMBER(K6),ISNUMBER(L6)),ABS(L6-K6),"")</x:f>
      </x:c>
      <x:c r="O6" s="14" t="str">
        <x:f>IF(AND(ISNUMBER(K6),ISNUMBER(L6)),IF(K6=0,"n.a.",ABS(L6-K6)/ABS(K6)),"")</x:f>
      </x:c>
      <x:c r="P6" s="2" t="str">
        <x:f>IF(COUNTA(A6)=0,"",IF('Status'!$B$6="","Set tolerance",IF(COUNT(J6:L6)&lt;3,"Need 3 levels",IF(OR(J6=0,K6=0),"Use abs. Δ",IF(AND(ABS(K6-J6)/ABS(J6)&lt;='Status'!$B$6,O6&lt;='Status'!$B$6),"Yes","No")))))</x:f>
      </x:c>
      <x:c r="Q6" s="13" t="str">
        <x:f>IF(AND(ISNUMBER(E6),ISNUMBER(L6)),ABS(E6-L6),"")</x:f>
      </x:c>
      <x:c r="R6" s="2" t="str">
        <x:f>IF(COUNTA(A6)=0,"",IF(COUNT(C6:E6,J6:L6)&gt;0,1,0))</x:f>
      </x:c>
      <x:c r="S6" s="2" t="str">
        <x:f>IF(COUNTA(A6)=0,"",IF(COUNTIFS($A$6:$A$69,A6)&gt;1,"Duplicate target",""))</x:f>
      </x:c>
    </x:row>
    <x:row r="7">
      <x:c r="A7" s="6"/>
      <x:c r="B7" s="20"/>
      <x:c r="C7" s="13" t="str">
        <x:f>IF(OR(COUNTA($A7)=0,'Status'!$E$5=""),"",IF(COUNTIFS('Estimates'!$A$5:$A$604,$A7,'Estimates'!$B$5:$B$604,"MPS",'Estimates'!$C$5:$C$604,'Status'!$E$5)=0,"",IF(COUNTIFS('Estimates'!$A$5:$A$604,$A7,'Estimates'!$B$5:$B$604,"MPS",'Estimates'!$C$5:$C$604,'Status'!$E$5)&gt;1,"DUP",SUMIFS('Estimates'!$F$5:$F$604,'Estimates'!$A$5:$A$604,$A7,'Estimates'!$B$5:$B$604,"MPS",'Estimates'!$C$5:$C$604,'Status'!$E$5))))</x:f>
      </x:c>
      <x:c r="D7" s="13" t="str">
        <x:f>IF(OR(COUNTA($A7)=0,'Status'!$F$5=""),"",IF(COUNTIFS('Estimates'!$A$5:$A$604,$A7,'Estimates'!$B$5:$B$604,"MPS",'Estimates'!$C$5:$C$604,'Status'!$F$5)=0,"",IF(COUNTIFS('Estimates'!$A$5:$A$604,$A7,'Estimates'!$B$5:$B$604,"MPS",'Estimates'!$C$5:$C$604,'Status'!$F$5)&gt;1,"DUP",SUMIFS('Estimates'!$F$5:$F$604,'Estimates'!$A$5:$A$604,$A7,'Estimates'!$B$5:$B$604,"MPS",'Estimates'!$C$5:$C$604,'Status'!$F$5))))</x:f>
      </x:c>
      <x:c r="E7" s="13" t="str">
        <x:f>IF(OR(COUNTA($A7)=0,'Status'!$G$5=""),"",IF(COUNTIFS('Estimates'!$A$5:$A$604,$A7,'Estimates'!$B$5:$B$604,"MPS",'Estimates'!$C$5:$C$604,'Status'!$G$5)=0,"",IF(COUNTIFS('Estimates'!$A$5:$A$604,$A7,'Estimates'!$B$5:$B$604,"MPS",'Estimates'!$C$5:$C$604,'Status'!$G$5)&gt;1,"DUP",SUMIFS('Estimates'!$F$5:$F$604,'Estimates'!$A$5:$A$604,$A7,'Estimates'!$B$5:$B$604,"MPS",'Estimates'!$C$5:$C$604,'Status'!$G$5))))</x:f>
      </x:c>
      <x:c r="F7" s="13" t="str">
        <x:f>IF(COUNT(C7:E7)&lt;2,"",_xlfn.STDEV.S(C7:E7))</x:f>
      </x:c>
      <x:c r="G7" s="13" t="str">
        <x:f>IF(AND(ISNUMBER(D7),ISNUMBER(E7)),ABS(E7-D7),"")</x:f>
      </x:c>
      <x:c r="H7" s="14" t="str">
        <x:f>IF(AND(ISNUMBER(D7),ISNUMBER(E7)),IF(D7=0,"n.a.",ABS(E7-D7)/ABS(D7)),"")</x:f>
      </x:c>
      <x:c r="I7" s="2" t="str">
        <x:f>IF(COUNTA(A7)=0,"",IF('Status'!$B$6="","Set tolerance",IF(COUNT(C7:E7)&lt;3,"Need 3 levels",IF(OR(C7=0,D7=0),"Use abs. Δ",IF(AND(ABS(D7-C7)/ABS(C7)&lt;='Status'!$B$6,H7&lt;='Status'!$B$6),"Yes","No")))))</x:f>
      </x:c>
      <x:c r="J7" s="13" t="str">
        <x:f>IF(OR(COUNTA($A7)=0,'Status'!$E$6=""),"",IF(COUNTIFS('Estimates'!$A$5:$A$604,$A7,'Estimates'!$B$5:$B$604,"PPS",'Estimates'!$D$5:$D$604,'Status'!$E$6,'Estimates'!$E$5:$E$604,'Status'!$E$7)=0,"",IF(COUNTIFS('Estimates'!$A$5:$A$604,$A7,'Estimates'!$B$5:$B$604,"PPS",'Estimates'!$D$5:$D$604,'Status'!$E$6,'Estimates'!$E$5:$E$604,'Status'!$E$7)&gt;1,"DUP",SUMIFS('Estimates'!$F$5:$F$604,'Estimates'!$A$5:$A$604,$A7,'Estimates'!$B$5:$B$604,"PPS",'Estimates'!$D$5:$D$604,'Status'!$E$6,'Estimates'!$E$5:$E$604,'Status'!$E$7))))</x:f>
      </x:c>
      <x:c r="K7" s="13" t="str">
        <x:f>IF(OR(COUNTA($A7)=0,'Status'!$F$6=""),"",IF(COUNTIFS('Estimates'!$A$5:$A$604,$A7,'Estimates'!$B$5:$B$604,"PPS",'Estimates'!$D$5:$D$604,'Status'!$F$6,'Estimates'!$E$5:$E$604,'Status'!$E$7)=0,"",IF(COUNTIFS('Estimates'!$A$5:$A$604,$A7,'Estimates'!$B$5:$B$604,"PPS",'Estimates'!$D$5:$D$604,'Status'!$F$6,'Estimates'!$E$5:$E$604,'Status'!$E$7)&gt;1,"DUP",SUMIFS('Estimates'!$F$5:$F$604,'Estimates'!$A$5:$A$604,$A7,'Estimates'!$B$5:$B$604,"PPS",'Estimates'!$D$5:$D$604,'Status'!$F$6,'Estimates'!$E$5:$E$604,'Status'!$E$7))))</x:f>
      </x:c>
      <x:c r="L7" s="13" t="str">
        <x:f>IF(OR(COUNTA($A7)=0,'Status'!$G$6=""),"",IF(COUNTIFS('Estimates'!$A$5:$A$604,$A7,'Estimates'!$B$5:$B$604,"PPS",'Estimates'!$D$5:$D$604,'Status'!$G$6,'Estimates'!$E$5:$E$604,'Status'!$E$7)=0,"",IF(COUNTIFS('Estimates'!$A$5:$A$604,$A7,'Estimates'!$B$5:$B$604,"PPS",'Estimates'!$D$5:$D$604,'Status'!$G$6,'Estimates'!$E$5:$E$604,'Status'!$E$7)&gt;1,"DUP",SUMIFS('Estimates'!$F$5:$F$604,'Estimates'!$A$5:$A$604,$A7,'Estimates'!$B$5:$B$604,"PPS",'Estimates'!$D$5:$D$604,'Status'!$G$6,'Estimates'!$E$5:$E$604,'Status'!$E$7))))</x:f>
      </x:c>
      <x:c r="M7" s="13" t="str">
        <x:f>IF(COUNT(J7:L7)&lt;2,"",_xlfn.STDEV.S(J7:L7))</x:f>
      </x:c>
      <x:c r="N7" s="13" t="str">
        <x:f>IF(AND(ISNUMBER(K7),ISNUMBER(L7)),ABS(L7-K7),"")</x:f>
      </x:c>
      <x:c r="O7" s="14" t="str">
        <x:f>IF(AND(ISNUMBER(K7),ISNUMBER(L7)),IF(K7=0,"n.a.",ABS(L7-K7)/ABS(K7)),"")</x:f>
      </x:c>
      <x:c r="P7" s="2" t="str">
        <x:f>IF(COUNTA(A7)=0,"",IF('Status'!$B$6="","Set tolerance",IF(COUNT(J7:L7)&lt;3,"Need 3 levels",IF(OR(J7=0,K7=0),"Use abs. Δ",IF(AND(ABS(K7-J7)/ABS(J7)&lt;='Status'!$B$6,O7&lt;='Status'!$B$6),"Yes","No")))))</x:f>
      </x:c>
      <x:c r="Q7" s="13" t="str">
        <x:f>IF(AND(ISNUMBER(E7),ISNUMBER(L7)),ABS(E7-L7),"")</x:f>
      </x:c>
      <x:c r="R7" s="2" t="str">
        <x:f>IF(COUNTA(A7)=0,"",IF(COUNT(C7:E7,J7:L7)&gt;0,1,0))</x:f>
      </x:c>
      <x:c r="S7" s="2" t="str">
        <x:f>IF(COUNTA(A7)=0,"",IF(COUNTIFS($A$6:$A$69,A7)&gt;1,"Duplicate target",""))</x:f>
      </x:c>
    </x:row>
    <x:row r="8">
      <x:c r="A8" s="6"/>
      <x:c r="B8" s="20"/>
      <x:c r="C8" s="13" t="str">
        <x:f>IF(OR(COUNTA($A8)=0,'Status'!$E$5=""),"",IF(COUNTIFS('Estimates'!$A$5:$A$604,$A8,'Estimates'!$B$5:$B$604,"MPS",'Estimates'!$C$5:$C$604,'Status'!$E$5)=0,"",IF(COUNTIFS('Estimates'!$A$5:$A$604,$A8,'Estimates'!$B$5:$B$604,"MPS",'Estimates'!$C$5:$C$604,'Status'!$E$5)&gt;1,"DUP",SUMIFS('Estimates'!$F$5:$F$604,'Estimates'!$A$5:$A$604,$A8,'Estimates'!$B$5:$B$604,"MPS",'Estimates'!$C$5:$C$604,'Status'!$E$5))))</x:f>
      </x:c>
      <x:c r="D8" s="13" t="str">
        <x:f>IF(OR(COUNTA($A8)=0,'Status'!$F$5=""),"",IF(COUNTIFS('Estimates'!$A$5:$A$604,$A8,'Estimates'!$B$5:$B$604,"MPS",'Estimates'!$C$5:$C$604,'Status'!$F$5)=0,"",IF(COUNTIFS('Estimates'!$A$5:$A$604,$A8,'Estimates'!$B$5:$B$604,"MPS",'Estimates'!$C$5:$C$604,'Status'!$F$5)&gt;1,"DUP",SUMIFS('Estimates'!$F$5:$F$604,'Estimates'!$A$5:$A$604,$A8,'Estimates'!$B$5:$B$604,"MPS",'Estimates'!$C$5:$C$604,'Status'!$F$5))))</x:f>
      </x:c>
      <x:c r="E8" s="13" t="str">
        <x:f>IF(OR(COUNTA($A8)=0,'Status'!$G$5=""),"",IF(COUNTIFS('Estimates'!$A$5:$A$604,$A8,'Estimates'!$B$5:$B$604,"MPS",'Estimates'!$C$5:$C$604,'Status'!$G$5)=0,"",IF(COUNTIFS('Estimates'!$A$5:$A$604,$A8,'Estimates'!$B$5:$B$604,"MPS",'Estimates'!$C$5:$C$604,'Status'!$G$5)&gt;1,"DUP",SUMIFS('Estimates'!$F$5:$F$604,'Estimates'!$A$5:$A$604,$A8,'Estimates'!$B$5:$B$604,"MPS",'Estimates'!$C$5:$C$604,'Status'!$G$5))))</x:f>
      </x:c>
      <x:c r="F8" s="13" t="str">
        <x:f>IF(COUNT(C8:E8)&lt;2,"",_xlfn.STDEV.S(C8:E8))</x:f>
      </x:c>
      <x:c r="G8" s="13" t="str">
        <x:f>IF(AND(ISNUMBER(D8),ISNUMBER(E8)),ABS(E8-D8),"")</x:f>
      </x:c>
      <x:c r="H8" s="14" t="str">
        <x:f>IF(AND(ISNUMBER(D8),ISNUMBER(E8)),IF(D8=0,"n.a.",ABS(E8-D8)/ABS(D8)),"")</x:f>
      </x:c>
      <x:c r="I8" s="2" t="str">
        <x:f>IF(COUNTA(A8)=0,"",IF('Status'!$B$6="","Set tolerance",IF(COUNT(C8:E8)&lt;3,"Need 3 levels",IF(OR(C8=0,D8=0),"Use abs. Δ",IF(AND(ABS(D8-C8)/ABS(C8)&lt;='Status'!$B$6,H8&lt;='Status'!$B$6),"Yes","No")))))</x:f>
      </x:c>
      <x:c r="J8" s="13" t="str">
        <x:f>IF(OR(COUNTA($A8)=0,'Status'!$E$6=""),"",IF(COUNTIFS('Estimates'!$A$5:$A$604,$A8,'Estimates'!$B$5:$B$604,"PPS",'Estimates'!$D$5:$D$604,'Status'!$E$6,'Estimates'!$E$5:$E$604,'Status'!$E$7)=0,"",IF(COUNTIFS('Estimates'!$A$5:$A$604,$A8,'Estimates'!$B$5:$B$604,"PPS",'Estimates'!$D$5:$D$604,'Status'!$E$6,'Estimates'!$E$5:$E$604,'Status'!$E$7)&gt;1,"DUP",SUMIFS('Estimates'!$F$5:$F$604,'Estimates'!$A$5:$A$604,$A8,'Estimates'!$B$5:$B$604,"PPS",'Estimates'!$D$5:$D$604,'Status'!$E$6,'Estimates'!$E$5:$E$604,'Status'!$E$7))))</x:f>
      </x:c>
      <x:c r="K8" s="13" t="str">
        <x:f>IF(OR(COUNTA($A8)=0,'Status'!$F$6=""),"",IF(COUNTIFS('Estimates'!$A$5:$A$604,$A8,'Estimates'!$B$5:$B$604,"PPS",'Estimates'!$D$5:$D$604,'Status'!$F$6,'Estimates'!$E$5:$E$604,'Status'!$E$7)=0,"",IF(COUNTIFS('Estimates'!$A$5:$A$604,$A8,'Estimates'!$B$5:$B$604,"PPS",'Estimates'!$D$5:$D$604,'Status'!$F$6,'Estimates'!$E$5:$E$604,'Status'!$E$7)&gt;1,"DUP",SUMIFS('Estimates'!$F$5:$F$604,'Estimates'!$A$5:$A$604,$A8,'Estimates'!$B$5:$B$604,"PPS",'Estimates'!$D$5:$D$604,'Status'!$F$6,'Estimates'!$E$5:$E$604,'Status'!$E$7))))</x:f>
      </x:c>
      <x:c r="L8" s="13" t="str">
        <x:f>IF(OR(COUNTA($A8)=0,'Status'!$G$6=""),"",IF(COUNTIFS('Estimates'!$A$5:$A$604,$A8,'Estimates'!$B$5:$B$604,"PPS",'Estimates'!$D$5:$D$604,'Status'!$G$6,'Estimates'!$E$5:$E$604,'Status'!$E$7)=0,"",IF(COUNTIFS('Estimates'!$A$5:$A$604,$A8,'Estimates'!$B$5:$B$604,"PPS",'Estimates'!$D$5:$D$604,'Status'!$G$6,'Estimates'!$E$5:$E$604,'Status'!$E$7)&gt;1,"DUP",SUMIFS('Estimates'!$F$5:$F$604,'Estimates'!$A$5:$A$604,$A8,'Estimates'!$B$5:$B$604,"PPS",'Estimates'!$D$5:$D$604,'Status'!$G$6,'Estimates'!$E$5:$E$604,'Status'!$E$7))))</x:f>
      </x:c>
      <x:c r="M8" s="13" t="str">
        <x:f>IF(COUNT(J8:L8)&lt;2,"",_xlfn.STDEV.S(J8:L8))</x:f>
      </x:c>
      <x:c r="N8" s="13" t="str">
        <x:f>IF(AND(ISNUMBER(K8),ISNUMBER(L8)),ABS(L8-K8),"")</x:f>
      </x:c>
      <x:c r="O8" s="14" t="str">
        <x:f>IF(AND(ISNUMBER(K8),ISNUMBER(L8)),IF(K8=0,"n.a.",ABS(L8-K8)/ABS(K8)),"")</x:f>
      </x:c>
      <x:c r="P8" s="2" t="str">
        <x:f>IF(COUNTA(A8)=0,"",IF('Status'!$B$6="","Set tolerance",IF(COUNT(J8:L8)&lt;3,"Need 3 levels",IF(OR(J8=0,K8=0),"Use abs. Δ",IF(AND(ABS(K8-J8)/ABS(J8)&lt;='Status'!$B$6,O8&lt;='Status'!$B$6),"Yes","No")))))</x:f>
      </x:c>
      <x:c r="Q8" s="13" t="str">
        <x:f>IF(AND(ISNUMBER(E8),ISNUMBER(L8)),ABS(E8-L8),"")</x:f>
      </x:c>
      <x:c r="R8" s="2" t="str">
        <x:f>IF(COUNTA(A8)=0,"",IF(COUNT(C8:E8,J8:L8)&gt;0,1,0))</x:f>
      </x:c>
      <x:c r="S8" s="2" t="str">
        <x:f>IF(COUNTA(A8)=0,"",IF(COUNTIFS($A$6:$A$69,A8)&gt;1,"Duplicate target",""))</x:f>
      </x:c>
    </x:row>
    <x:row r="9">
      <x:c r="A9" s="6"/>
      <x:c r="B9" s="20"/>
      <x:c r="C9" s="13" t="str">
        <x:f>IF(OR(COUNTA($A9)=0,'Status'!$E$5=""),"",IF(COUNTIFS('Estimates'!$A$5:$A$604,$A9,'Estimates'!$B$5:$B$604,"MPS",'Estimates'!$C$5:$C$604,'Status'!$E$5)=0,"",IF(COUNTIFS('Estimates'!$A$5:$A$604,$A9,'Estimates'!$B$5:$B$604,"MPS",'Estimates'!$C$5:$C$604,'Status'!$E$5)&gt;1,"DUP",SUMIFS('Estimates'!$F$5:$F$604,'Estimates'!$A$5:$A$604,$A9,'Estimates'!$B$5:$B$604,"MPS",'Estimates'!$C$5:$C$604,'Status'!$E$5))))</x:f>
      </x:c>
      <x:c r="D9" s="13" t="str">
        <x:f>IF(OR(COUNTA($A9)=0,'Status'!$F$5=""),"",IF(COUNTIFS('Estimates'!$A$5:$A$604,$A9,'Estimates'!$B$5:$B$604,"MPS",'Estimates'!$C$5:$C$604,'Status'!$F$5)=0,"",IF(COUNTIFS('Estimates'!$A$5:$A$604,$A9,'Estimates'!$B$5:$B$604,"MPS",'Estimates'!$C$5:$C$604,'Status'!$F$5)&gt;1,"DUP",SUMIFS('Estimates'!$F$5:$F$604,'Estimates'!$A$5:$A$604,$A9,'Estimates'!$B$5:$B$604,"MPS",'Estimates'!$C$5:$C$604,'Status'!$F$5))))</x:f>
      </x:c>
      <x:c r="E9" s="13" t="str">
        <x:f>IF(OR(COUNTA($A9)=0,'Status'!$G$5=""),"",IF(COUNTIFS('Estimates'!$A$5:$A$604,$A9,'Estimates'!$B$5:$B$604,"MPS",'Estimates'!$C$5:$C$604,'Status'!$G$5)=0,"",IF(COUNTIFS('Estimates'!$A$5:$A$604,$A9,'Estimates'!$B$5:$B$604,"MPS",'Estimates'!$C$5:$C$604,'Status'!$G$5)&gt;1,"DUP",SUMIFS('Estimates'!$F$5:$F$604,'Estimates'!$A$5:$A$604,$A9,'Estimates'!$B$5:$B$604,"MPS",'Estimates'!$C$5:$C$604,'Status'!$G$5))))</x:f>
      </x:c>
      <x:c r="F9" s="13" t="str">
        <x:f>IF(COUNT(C9:E9)&lt;2,"",_xlfn.STDEV.S(C9:E9))</x:f>
      </x:c>
      <x:c r="G9" s="13" t="str">
        <x:f>IF(AND(ISNUMBER(D9),ISNUMBER(E9)),ABS(E9-D9),"")</x:f>
      </x:c>
      <x:c r="H9" s="14" t="str">
        <x:f>IF(AND(ISNUMBER(D9),ISNUMBER(E9)),IF(D9=0,"n.a.",ABS(E9-D9)/ABS(D9)),"")</x:f>
      </x:c>
      <x:c r="I9" s="2" t="str">
        <x:f>IF(COUNTA(A9)=0,"",IF('Status'!$B$6="","Set tolerance",IF(COUNT(C9:E9)&lt;3,"Need 3 levels",IF(OR(C9=0,D9=0),"Use abs. Δ",IF(AND(ABS(D9-C9)/ABS(C9)&lt;='Status'!$B$6,H9&lt;='Status'!$B$6),"Yes","No")))))</x:f>
      </x:c>
      <x:c r="J9" s="13" t="str">
        <x:f>IF(OR(COUNTA($A9)=0,'Status'!$E$6=""),"",IF(COUNTIFS('Estimates'!$A$5:$A$604,$A9,'Estimates'!$B$5:$B$604,"PPS",'Estimates'!$D$5:$D$604,'Status'!$E$6,'Estimates'!$E$5:$E$604,'Status'!$E$7)=0,"",IF(COUNTIFS('Estimates'!$A$5:$A$604,$A9,'Estimates'!$B$5:$B$604,"PPS",'Estimates'!$D$5:$D$604,'Status'!$E$6,'Estimates'!$E$5:$E$604,'Status'!$E$7)&gt;1,"DUP",SUMIFS('Estimates'!$F$5:$F$604,'Estimates'!$A$5:$A$604,$A9,'Estimates'!$B$5:$B$604,"PPS",'Estimates'!$D$5:$D$604,'Status'!$E$6,'Estimates'!$E$5:$E$604,'Status'!$E$7))))</x:f>
      </x:c>
      <x:c r="K9" s="13" t="str">
        <x:f>IF(OR(COUNTA($A9)=0,'Status'!$F$6=""),"",IF(COUNTIFS('Estimates'!$A$5:$A$604,$A9,'Estimates'!$B$5:$B$604,"PPS",'Estimates'!$D$5:$D$604,'Status'!$F$6,'Estimates'!$E$5:$E$604,'Status'!$E$7)=0,"",IF(COUNTIFS('Estimates'!$A$5:$A$604,$A9,'Estimates'!$B$5:$B$604,"PPS",'Estimates'!$D$5:$D$604,'Status'!$F$6,'Estimates'!$E$5:$E$604,'Status'!$E$7)&gt;1,"DUP",SUMIFS('Estimates'!$F$5:$F$604,'Estimates'!$A$5:$A$604,$A9,'Estimates'!$B$5:$B$604,"PPS",'Estimates'!$D$5:$D$604,'Status'!$F$6,'Estimates'!$E$5:$E$604,'Status'!$E$7))))</x:f>
      </x:c>
      <x:c r="L9" s="13" t="str">
        <x:f>IF(OR(COUNTA($A9)=0,'Status'!$G$6=""),"",IF(COUNTIFS('Estimates'!$A$5:$A$604,$A9,'Estimates'!$B$5:$B$604,"PPS",'Estimates'!$D$5:$D$604,'Status'!$G$6,'Estimates'!$E$5:$E$604,'Status'!$E$7)=0,"",IF(COUNTIFS('Estimates'!$A$5:$A$604,$A9,'Estimates'!$B$5:$B$604,"PPS",'Estimates'!$D$5:$D$604,'Status'!$G$6,'Estimates'!$E$5:$E$604,'Status'!$E$7)&gt;1,"DUP",SUMIFS('Estimates'!$F$5:$F$604,'Estimates'!$A$5:$A$604,$A9,'Estimates'!$B$5:$B$604,"PPS",'Estimates'!$D$5:$D$604,'Status'!$G$6,'Estimates'!$E$5:$E$604,'Status'!$E$7))))</x:f>
      </x:c>
      <x:c r="M9" s="13" t="str">
        <x:f>IF(COUNT(J9:L9)&lt;2,"",_xlfn.STDEV.S(J9:L9))</x:f>
      </x:c>
      <x:c r="N9" s="13" t="str">
        <x:f>IF(AND(ISNUMBER(K9),ISNUMBER(L9)),ABS(L9-K9),"")</x:f>
      </x:c>
      <x:c r="O9" s="14" t="str">
        <x:f>IF(AND(ISNUMBER(K9),ISNUMBER(L9)),IF(K9=0,"n.a.",ABS(L9-K9)/ABS(K9)),"")</x:f>
      </x:c>
      <x:c r="P9" s="2" t="str">
        <x:f>IF(COUNTA(A9)=0,"",IF('Status'!$B$6="","Set tolerance",IF(COUNT(J9:L9)&lt;3,"Need 3 levels",IF(OR(J9=0,K9=0),"Use abs. Δ",IF(AND(ABS(K9-J9)/ABS(J9)&lt;='Status'!$B$6,O9&lt;='Status'!$B$6),"Yes","No")))))</x:f>
      </x:c>
      <x:c r="Q9" s="13" t="str">
        <x:f>IF(AND(ISNUMBER(E9),ISNUMBER(L9)),ABS(E9-L9),"")</x:f>
      </x:c>
      <x:c r="R9" s="2" t="str">
        <x:f>IF(COUNTA(A9)=0,"",IF(COUNT(C9:E9,J9:L9)&gt;0,1,0))</x:f>
      </x:c>
      <x:c r="S9" s="2" t="str">
        <x:f>IF(COUNTA(A9)=0,"",IF(COUNTIFS($A$6:$A$69,A9)&gt;1,"Duplicate target",""))</x:f>
      </x:c>
    </x:row>
    <x:row r="10">
      <x:c r="A10" s="6"/>
      <x:c r="B10" s="20"/>
      <x:c r="C10" s="13" t="str">
        <x:f>IF(OR(COUNTA($A10)=0,'Status'!$E$5=""),"",IF(COUNTIFS('Estimates'!$A$5:$A$604,$A10,'Estimates'!$B$5:$B$604,"MPS",'Estimates'!$C$5:$C$604,'Status'!$E$5)=0,"",IF(COUNTIFS('Estimates'!$A$5:$A$604,$A10,'Estimates'!$B$5:$B$604,"MPS",'Estimates'!$C$5:$C$604,'Status'!$E$5)&gt;1,"DUP",SUMIFS('Estimates'!$F$5:$F$604,'Estimates'!$A$5:$A$604,$A10,'Estimates'!$B$5:$B$604,"MPS",'Estimates'!$C$5:$C$604,'Status'!$E$5))))</x:f>
      </x:c>
      <x:c r="D10" s="13" t="str">
        <x:f>IF(OR(COUNTA($A10)=0,'Status'!$F$5=""),"",IF(COUNTIFS('Estimates'!$A$5:$A$604,$A10,'Estimates'!$B$5:$B$604,"MPS",'Estimates'!$C$5:$C$604,'Status'!$F$5)=0,"",IF(COUNTIFS('Estimates'!$A$5:$A$604,$A10,'Estimates'!$B$5:$B$604,"MPS",'Estimates'!$C$5:$C$604,'Status'!$F$5)&gt;1,"DUP",SUMIFS('Estimates'!$F$5:$F$604,'Estimates'!$A$5:$A$604,$A10,'Estimates'!$B$5:$B$604,"MPS",'Estimates'!$C$5:$C$604,'Status'!$F$5))))</x:f>
      </x:c>
      <x:c r="E10" s="13" t="str">
        <x:f>IF(OR(COUNTA($A10)=0,'Status'!$G$5=""),"",IF(COUNTIFS('Estimates'!$A$5:$A$604,$A10,'Estimates'!$B$5:$B$604,"MPS",'Estimates'!$C$5:$C$604,'Status'!$G$5)=0,"",IF(COUNTIFS('Estimates'!$A$5:$A$604,$A10,'Estimates'!$B$5:$B$604,"MPS",'Estimates'!$C$5:$C$604,'Status'!$G$5)&gt;1,"DUP",SUMIFS('Estimates'!$F$5:$F$604,'Estimates'!$A$5:$A$604,$A10,'Estimates'!$B$5:$B$604,"MPS",'Estimates'!$C$5:$C$604,'Status'!$G$5))))</x:f>
      </x:c>
      <x:c r="F10" s="13" t="str">
        <x:f>IF(COUNT(C10:E10)&lt;2,"",_xlfn.STDEV.S(C10:E10))</x:f>
      </x:c>
      <x:c r="G10" s="13" t="str">
        <x:f>IF(AND(ISNUMBER(D10),ISNUMBER(E10)),ABS(E10-D10),"")</x:f>
      </x:c>
      <x:c r="H10" s="14" t="str">
        <x:f>IF(AND(ISNUMBER(D10),ISNUMBER(E10)),IF(D10=0,"n.a.",ABS(E10-D10)/ABS(D10)),"")</x:f>
      </x:c>
      <x:c r="I10" s="2" t="str">
        <x:f>IF(COUNTA(A10)=0,"",IF('Status'!$B$6="","Set tolerance",IF(COUNT(C10:E10)&lt;3,"Need 3 levels",IF(OR(C10=0,D10=0),"Use abs. Δ",IF(AND(ABS(D10-C10)/ABS(C10)&lt;='Status'!$B$6,H10&lt;='Status'!$B$6),"Yes","No")))))</x:f>
      </x:c>
      <x:c r="J10" s="13" t="str">
        <x:f>IF(OR(COUNTA($A10)=0,'Status'!$E$6=""),"",IF(COUNTIFS('Estimates'!$A$5:$A$604,$A10,'Estimates'!$B$5:$B$604,"PPS",'Estimates'!$D$5:$D$604,'Status'!$E$6,'Estimates'!$E$5:$E$604,'Status'!$E$7)=0,"",IF(COUNTIFS('Estimates'!$A$5:$A$604,$A10,'Estimates'!$B$5:$B$604,"PPS",'Estimates'!$D$5:$D$604,'Status'!$E$6,'Estimates'!$E$5:$E$604,'Status'!$E$7)&gt;1,"DUP",SUMIFS('Estimates'!$F$5:$F$604,'Estimates'!$A$5:$A$604,$A10,'Estimates'!$B$5:$B$604,"PPS",'Estimates'!$D$5:$D$604,'Status'!$E$6,'Estimates'!$E$5:$E$604,'Status'!$E$7))))</x:f>
      </x:c>
      <x:c r="K10" s="13" t="str">
        <x:f>IF(OR(COUNTA($A10)=0,'Status'!$F$6=""),"",IF(COUNTIFS('Estimates'!$A$5:$A$604,$A10,'Estimates'!$B$5:$B$604,"PPS",'Estimates'!$D$5:$D$604,'Status'!$F$6,'Estimates'!$E$5:$E$604,'Status'!$E$7)=0,"",IF(COUNTIFS('Estimates'!$A$5:$A$604,$A10,'Estimates'!$B$5:$B$604,"PPS",'Estimates'!$D$5:$D$604,'Status'!$F$6,'Estimates'!$E$5:$E$604,'Status'!$E$7)&gt;1,"DUP",SUMIFS('Estimates'!$F$5:$F$604,'Estimates'!$A$5:$A$604,$A10,'Estimates'!$B$5:$B$604,"PPS",'Estimates'!$D$5:$D$604,'Status'!$F$6,'Estimates'!$E$5:$E$604,'Status'!$E$7))))</x:f>
      </x:c>
      <x:c r="L10" s="13" t="str">
        <x:f>IF(OR(COUNTA($A10)=0,'Status'!$G$6=""),"",IF(COUNTIFS('Estimates'!$A$5:$A$604,$A10,'Estimates'!$B$5:$B$604,"PPS",'Estimates'!$D$5:$D$604,'Status'!$G$6,'Estimates'!$E$5:$E$604,'Status'!$E$7)=0,"",IF(COUNTIFS('Estimates'!$A$5:$A$604,$A10,'Estimates'!$B$5:$B$604,"PPS",'Estimates'!$D$5:$D$604,'Status'!$G$6,'Estimates'!$E$5:$E$604,'Status'!$E$7)&gt;1,"DUP",SUMIFS('Estimates'!$F$5:$F$604,'Estimates'!$A$5:$A$604,$A10,'Estimates'!$B$5:$B$604,"PPS",'Estimates'!$D$5:$D$604,'Status'!$G$6,'Estimates'!$E$5:$E$604,'Status'!$E$7))))</x:f>
      </x:c>
      <x:c r="M10" s="13" t="str">
        <x:f>IF(COUNT(J10:L10)&lt;2,"",_xlfn.STDEV.S(J10:L10))</x:f>
      </x:c>
      <x:c r="N10" s="13" t="str">
        <x:f>IF(AND(ISNUMBER(K10),ISNUMBER(L10)),ABS(L10-K10),"")</x:f>
      </x:c>
      <x:c r="O10" s="14" t="str">
        <x:f>IF(AND(ISNUMBER(K10),ISNUMBER(L10)),IF(K10=0,"n.a.",ABS(L10-K10)/ABS(K10)),"")</x:f>
      </x:c>
      <x:c r="P10" s="2" t="str">
        <x:f>IF(COUNTA(A10)=0,"",IF('Status'!$B$6="","Set tolerance",IF(COUNT(J10:L10)&lt;3,"Need 3 levels",IF(OR(J10=0,K10=0),"Use abs. Δ",IF(AND(ABS(K10-J10)/ABS(J10)&lt;='Status'!$B$6,O10&lt;='Status'!$B$6),"Yes","No")))))</x:f>
      </x:c>
      <x:c r="Q10" s="13" t="str">
        <x:f>IF(AND(ISNUMBER(E10),ISNUMBER(L10)),ABS(E10-L10),"")</x:f>
      </x:c>
      <x:c r="R10" s="2" t="str">
        <x:f>IF(COUNTA(A10)=0,"",IF(COUNT(C10:E10,J10:L10)&gt;0,1,0))</x:f>
      </x:c>
      <x:c r="S10" s="2" t="str">
        <x:f>IF(COUNTA(A10)=0,"",IF(COUNTIFS($A$6:$A$69,A10)&gt;1,"Duplicate target",""))</x:f>
      </x:c>
    </x:row>
    <x:row r="11">
      <x:c r="A11" s="6"/>
      <x:c r="B11" s="20"/>
      <x:c r="C11" s="13" t="str">
        <x:f>IF(OR(COUNTA($A11)=0,'Status'!$E$5=""),"",IF(COUNTIFS('Estimates'!$A$5:$A$604,$A11,'Estimates'!$B$5:$B$604,"MPS",'Estimates'!$C$5:$C$604,'Status'!$E$5)=0,"",IF(COUNTIFS('Estimates'!$A$5:$A$604,$A11,'Estimates'!$B$5:$B$604,"MPS",'Estimates'!$C$5:$C$604,'Status'!$E$5)&gt;1,"DUP",SUMIFS('Estimates'!$F$5:$F$604,'Estimates'!$A$5:$A$604,$A11,'Estimates'!$B$5:$B$604,"MPS",'Estimates'!$C$5:$C$604,'Status'!$E$5))))</x:f>
      </x:c>
      <x:c r="D11" s="13" t="str">
        <x:f>IF(OR(COUNTA($A11)=0,'Status'!$F$5=""),"",IF(COUNTIFS('Estimates'!$A$5:$A$604,$A11,'Estimates'!$B$5:$B$604,"MPS",'Estimates'!$C$5:$C$604,'Status'!$F$5)=0,"",IF(COUNTIFS('Estimates'!$A$5:$A$604,$A11,'Estimates'!$B$5:$B$604,"MPS",'Estimates'!$C$5:$C$604,'Status'!$F$5)&gt;1,"DUP",SUMIFS('Estimates'!$F$5:$F$604,'Estimates'!$A$5:$A$604,$A11,'Estimates'!$B$5:$B$604,"MPS",'Estimates'!$C$5:$C$604,'Status'!$F$5))))</x:f>
      </x:c>
      <x:c r="E11" s="13" t="str">
        <x:f>IF(OR(COUNTA($A11)=0,'Status'!$G$5=""),"",IF(COUNTIFS('Estimates'!$A$5:$A$604,$A11,'Estimates'!$B$5:$B$604,"MPS",'Estimates'!$C$5:$C$604,'Status'!$G$5)=0,"",IF(COUNTIFS('Estimates'!$A$5:$A$604,$A11,'Estimates'!$B$5:$B$604,"MPS",'Estimates'!$C$5:$C$604,'Status'!$G$5)&gt;1,"DUP",SUMIFS('Estimates'!$F$5:$F$604,'Estimates'!$A$5:$A$604,$A11,'Estimates'!$B$5:$B$604,"MPS",'Estimates'!$C$5:$C$604,'Status'!$G$5))))</x:f>
      </x:c>
      <x:c r="F11" s="13" t="str">
        <x:f>IF(COUNT(C11:E11)&lt;2,"",_xlfn.STDEV.S(C11:E11))</x:f>
      </x:c>
      <x:c r="G11" s="13" t="str">
        <x:f>IF(AND(ISNUMBER(D11),ISNUMBER(E11)),ABS(E11-D11),"")</x:f>
      </x:c>
      <x:c r="H11" s="14" t="str">
        <x:f>IF(AND(ISNUMBER(D11),ISNUMBER(E11)),IF(D11=0,"n.a.",ABS(E11-D11)/ABS(D11)),"")</x:f>
      </x:c>
      <x:c r="I11" s="2" t="str">
        <x:f>IF(COUNTA(A11)=0,"",IF('Status'!$B$6="","Set tolerance",IF(COUNT(C11:E11)&lt;3,"Need 3 levels",IF(OR(C11=0,D11=0),"Use abs. Δ",IF(AND(ABS(D11-C11)/ABS(C11)&lt;='Status'!$B$6,H11&lt;='Status'!$B$6),"Yes","No")))))</x:f>
      </x:c>
      <x:c r="J11" s="13" t="str">
        <x:f>IF(OR(COUNTA($A11)=0,'Status'!$E$6=""),"",IF(COUNTIFS('Estimates'!$A$5:$A$604,$A11,'Estimates'!$B$5:$B$604,"PPS",'Estimates'!$D$5:$D$604,'Status'!$E$6,'Estimates'!$E$5:$E$604,'Status'!$E$7)=0,"",IF(COUNTIFS('Estimates'!$A$5:$A$604,$A11,'Estimates'!$B$5:$B$604,"PPS",'Estimates'!$D$5:$D$604,'Status'!$E$6,'Estimates'!$E$5:$E$604,'Status'!$E$7)&gt;1,"DUP",SUMIFS('Estimates'!$F$5:$F$604,'Estimates'!$A$5:$A$604,$A11,'Estimates'!$B$5:$B$604,"PPS",'Estimates'!$D$5:$D$604,'Status'!$E$6,'Estimates'!$E$5:$E$604,'Status'!$E$7))))</x:f>
      </x:c>
      <x:c r="K11" s="13" t="str">
        <x:f>IF(OR(COUNTA($A11)=0,'Status'!$F$6=""),"",IF(COUNTIFS('Estimates'!$A$5:$A$604,$A11,'Estimates'!$B$5:$B$604,"PPS",'Estimates'!$D$5:$D$604,'Status'!$F$6,'Estimates'!$E$5:$E$604,'Status'!$E$7)=0,"",IF(COUNTIFS('Estimates'!$A$5:$A$604,$A11,'Estimates'!$B$5:$B$604,"PPS",'Estimates'!$D$5:$D$604,'Status'!$F$6,'Estimates'!$E$5:$E$604,'Status'!$E$7)&gt;1,"DUP",SUMIFS('Estimates'!$F$5:$F$604,'Estimates'!$A$5:$A$604,$A11,'Estimates'!$B$5:$B$604,"PPS",'Estimates'!$D$5:$D$604,'Status'!$F$6,'Estimates'!$E$5:$E$604,'Status'!$E$7))))</x:f>
      </x:c>
      <x:c r="L11" s="13" t="str">
        <x:f>IF(OR(COUNTA($A11)=0,'Status'!$G$6=""),"",IF(COUNTIFS('Estimates'!$A$5:$A$604,$A11,'Estimates'!$B$5:$B$604,"PPS",'Estimates'!$D$5:$D$604,'Status'!$G$6,'Estimates'!$E$5:$E$604,'Status'!$E$7)=0,"",IF(COUNTIFS('Estimates'!$A$5:$A$604,$A11,'Estimates'!$B$5:$B$604,"PPS",'Estimates'!$D$5:$D$604,'Status'!$G$6,'Estimates'!$E$5:$E$604,'Status'!$E$7)&gt;1,"DUP",SUMIFS('Estimates'!$F$5:$F$604,'Estimates'!$A$5:$A$604,$A11,'Estimates'!$B$5:$B$604,"PPS",'Estimates'!$D$5:$D$604,'Status'!$G$6,'Estimates'!$E$5:$E$604,'Status'!$E$7))))</x:f>
      </x:c>
      <x:c r="M11" s="13" t="str">
        <x:f>IF(COUNT(J11:L11)&lt;2,"",_xlfn.STDEV.S(J11:L11))</x:f>
      </x:c>
      <x:c r="N11" s="13" t="str">
        <x:f>IF(AND(ISNUMBER(K11),ISNUMBER(L11)),ABS(L11-K11),"")</x:f>
      </x:c>
      <x:c r="O11" s="14" t="str">
        <x:f>IF(AND(ISNUMBER(K11),ISNUMBER(L11)),IF(K11=0,"n.a.",ABS(L11-K11)/ABS(K11)),"")</x:f>
      </x:c>
      <x:c r="P11" s="2" t="str">
        <x:f>IF(COUNTA(A11)=0,"",IF('Status'!$B$6="","Set tolerance",IF(COUNT(J11:L11)&lt;3,"Need 3 levels",IF(OR(J11=0,K11=0),"Use abs. Δ",IF(AND(ABS(K11-J11)/ABS(J11)&lt;='Status'!$B$6,O11&lt;='Status'!$B$6),"Yes","No")))))</x:f>
      </x:c>
      <x:c r="Q11" s="13" t="str">
        <x:f>IF(AND(ISNUMBER(E11),ISNUMBER(L11)),ABS(E11-L11),"")</x:f>
      </x:c>
      <x:c r="R11" s="2" t="str">
        <x:f>IF(COUNTA(A11)=0,"",IF(COUNT(C11:E11,J11:L11)&gt;0,1,0))</x:f>
      </x:c>
      <x:c r="S11" s="2" t="str">
        <x:f>IF(COUNTA(A11)=0,"",IF(COUNTIFS($A$6:$A$69,A11)&gt;1,"Duplicate target",""))</x:f>
      </x:c>
    </x:row>
    <x:row r="12">
      <x:c r="A12" s="6"/>
      <x:c r="B12" s="20"/>
      <x:c r="C12" s="13" t="str">
        <x:f>IF(OR(COUNTA($A12)=0,'Status'!$E$5=""),"",IF(COUNTIFS('Estimates'!$A$5:$A$604,$A12,'Estimates'!$B$5:$B$604,"MPS",'Estimates'!$C$5:$C$604,'Status'!$E$5)=0,"",IF(COUNTIFS('Estimates'!$A$5:$A$604,$A12,'Estimates'!$B$5:$B$604,"MPS",'Estimates'!$C$5:$C$604,'Status'!$E$5)&gt;1,"DUP",SUMIFS('Estimates'!$F$5:$F$604,'Estimates'!$A$5:$A$604,$A12,'Estimates'!$B$5:$B$604,"MPS",'Estimates'!$C$5:$C$604,'Status'!$E$5))))</x:f>
      </x:c>
      <x:c r="D12" s="13" t="str">
        <x:f>IF(OR(COUNTA($A12)=0,'Status'!$F$5=""),"",IF(COUNTIFS('Estimates'!$A$5:$A$604,$A12,'Estimates'!$B$5:$B$604,"MPS",'Estimates'!$C$5:$C$604,'Status'!$F$5)=0,"",IF(COUNTIFS('Estimates'!$A$5:$A$604,$A12,'Estimates'!$B$5:$B$604,"MPS",'Estimates'!$C$5:$C$604,'Status'!$F$5)&gt;1,"DUP",SUMIFS('Estimates'!$F$5:$F$604,'Estimates'!$A$5:$A$604,$A12,'Estimates'!$B$5:$B$604,"MPS",'Estimates'!$C$5:$C$604,'Status'!$F$5))))</x:f>
      </x:c>
      <x:c r="E12" s="13" t="str">
        <x:f>IF(OR(COUNTA($A12)=0,'Status'!$G$5=""),"",IF(COUNTIFS('Estimates'!$A$5:$A$604,$A12,'Estimates'!$B$5:$B$604,"MPS",'Estimates'!$C$5:$C$604,'Status'!$G$5)=0,"",IF(COUNTIFS('Estimates'!$A$5:$A$604,$A12,'Estimates'!$B$5:$B$604,"MPS",'Estimates'!$C$5:$C$604,'Status'!$G$5)&gt;1,"DUP",SUMIFS('Estimates'!$F$5:$F$604,'Estimates'!$A$5:$A$604,$A12,'Estimates'!$B$5:$B$604,"MPS",'Estimates'!$C$5:$C$604,'Status'!$G$5))))</x:f>
      </x:c>
      <x:c r="F12" s="13" t="str">
        <x:f>IF(COUNT(C12:E12)&lt;2,"",_xlfn.STDEV.S(C12:E12))</x:f>
      </x:c>
      <x:c r="G12" s="13" t="str">
        <x:f>IF(AND(ISNUMBER(D12),ISNUMBER(E12)),ABS(E12-D12),"")</x:f>
      </x:c>
      <x:c r="H12" s="14" t="str">
        <x:f>IF(AND(ISNUMBER(D12),ISNUMBER(E12)),IF(D12=0,"n.a.",ABS(E12-D12)/ABS(D12)),"")</x:f>
      </x:c>
      <x:c r="I12" s="2" t="str">
        <x:f>IF(COUNTA(A12)=0,"",IF('Status'!$B$6="","Set tolerance",IF(COUNT(C12:E12)&lt;3,"Need 3 levels",IF(OR(C12=0,D12=0),"Use abs. Δ",IF(AND(ABS(D12-C12)/ABS(C12)&lt;='Status'!$B$6,H12&lt;='Status'!$B$6),"Yes","No")))))</x:f>
      </x:c>
      <x:c r="J12" s="13" t="str">
        <x:f>IF(OR(COUNTA($A12)=0,'Status'!$E$6=""),"",IF(COUNTIFS('Estimates'!$A$5:$A$604,$A12,'Estimates'!$B$5:$B$604,"PPS",'Estimates'!$D$5:$D$604,'Status'!$E$6,'Estimates'!$E$5:$E$604,'Status'!$E$7)=0,"",IF(COUNTIFS('Estimates'!$A$5:$A$604,$A12,'Estimates'!$B$5:$B$604,"PPS",'Estimates'!$D$5:$D$604,'Status'!$E$6,'Estimates'!$E$5:$E$604,'Status'!$E$7)&gt;1,"DUP",SUMIFS('Estimates'!$F$5:$F$604,'Estimates'!$A$5:$A$604,$A12,'Estimates'!$B$5:$B$604,"PPS",'Estimates'!$D$5:$D$604,'Status'!$E$6,'Estimates'!$E$5:$E$604,'Status'!$E$7))))</x:f>
      </x:c>
      <x:c r="K12" s="13" t="str">
        <x:f>IF(OR(COUNTA($A12)=0,'Status'!$F$6=""),"",IF(COUNTIFS('Estimates'!$A$5:$A$604,$A12,'Estimates'!$B$5:$B$604,"PPS",'Estimates'!$D$5:$D$604,'Status'!$F$6,'Estimates'!$E$5:$E$604,'Status'!$E$7)=0,"",IF(COUNTIFS('Estimates'!$A$5:$A$604,$A12,'Estimates'!$B$5:$B$604,"PPS",'Estimates'!$D$5:$D$604,'Status'!$F$6,'Estimates'!$E$5:$E$604,'Status'!$E$7)&gt;1,"DUP",SUMIFS('Estimates'!$F$5:$F$604,'Estimates'!$A$5:$A$604,$A12,'Estimates'!$B$5:$B$604,"PPS",'Estimates'!$D$5:$D$604,'Status'!$F$6,'Estimates'!$E$5:$E$604,'Status'!$E$7))))</x:f>
      </x:c>
      <x:c r="L12" s="13" t="str">
        <x:f>IF(OR(COUNTA($A12)=0,'Status'!$G$6=""),"",IF(COUNTIFS('Estimates'!$A$5:$A$604,$A12,'Estimates'!$B$5:$B$604,"PPS",'Estimates'!$D$5:$D$604,'Status'!$G$6,'Estimates'!$E$5:$E$604,'Status'!$E$7)=0,"",IF(COUNTIFS('Estimates'!$A$5:$A$604,$A12,'Estimates'!$B$5:$B$604,"PPS",'Estimates'!$D$5:$D$604,'Status'!$G$6,'Estimates'!$E$5:$E$604,'Status'!$E$7)&gt;1,"DUP",SUMIFS('Estimates'!$F$5:$F$604,'Estimates'!$A$5:$A$604,$A12,'Estimates'!$B$5:$B$604,"PPS",'Estimates'!$D$5:$D$604,'Status'!$G$6,'Estimates'!$E$5:$E$604,'Status'!$E$7))))</x:f>
      </x:c>
      <x:c r="M12" s="13" t="str">
        <x:f>IF(COUNT(J12:L12)&lt;2,"",_xlfn.STDEV.S(J12:L12))</x:f>
      </x:c>
      <x:c r="N12" s="13" t="str">
        <x:f>IF(AND(ISNUMBER(K12),ISNUMBER(L12)),ABS(L12-K12),"")</x:f>
      </x:c>
      <x:c r="O12" s="14" t="str">
        <x:f>IF(AND(ISNUMBER(K12),ISNUMBER(L12)),IF(K12=0,"n.a.",ABS(L12-K12)/ABS(K12)),"")</x:f>
      </x:c>
      <x:c r="P12" s="2" t="str">
        <x:f>IF(COUNTA(A12)=0,"",IF('Status'!$B$6="","Set tolerance",IF(COUNT(J12:L12)&lt;3,"Need 3 levels",IF(OR(J12=0,K12=0),"Use abs. Δ",IF(AND(ABS(K12-J12)/ABS(J12)&lt;='Status'!$B$6,O12&lt;='Status'!$B$6),"Yes","No")))))</x:f>
      </x:c>
      <x:c r="Q12" s="13" t="str">
        <x:f>IF(AND(ISNUMBER(E12),ISNUMBER(L12)),ABS(E12-L12),"")</x:f>
      </x:c>
      <x:c r="R12" s="2" t="str">
        <x:f>IF(COUNTA(A12)=0,"",IF(COUNT(C12:E12,J12:L12)&gt;0,1,0))</x:f>
      </x:c>
      <x:c r="S12" s="2" t="str">
        <x:f>IF(COUNTA(A12)=0,"",IF(COUNTIFS($A$6:$A$69,A12)&gt;1,"Duplicate target",""))</x:f>
      </x:c>
    </x:row>
    <x:row r="13">
      <x:c r="A13" s="6"/>
      <x:c r="B13" s="20"/>
      <x:c r="C13" s="13" t="str">
        <x:f>IF(OR(COUNTA($A13)=0,'Status'!$E$5=""),"",IF(COUNTIFS('Estimates'!$A$5:$A$604,$A13,'Estimates'!$B$5:$B$604,"MPS",'Estimates'!$C$5:$C$604,'Status'!$E$5)=0,"",IF(COUNTIFS('Estimates'!$A$5:$A$604,$A13,'Estimates'!$B$5:$B$604,"MPS",'Estimates'!$C$5:$C$604,'Status'!$E$5)&gt;1,"DUP",SUMIFS('Estimates'!$F$5:$F$604,'Estimates'!$A$5:$A$604,$A13,'Estimates'!$B$5:$B$604,"MPS",'Estimates'!$C$5:$C$604,'Status'!$E$5))))</x:f>
      </x:c>
      <x:c r="D13" s="13" t="str">
        <x:f>IF(OR(COUNTA($A13)=0,'Status'!$F$5=""),"",IF(COUNTIFS('Estimates'!$A$5:$A$604,$A13,'Estimates'!$B$5:$B$604,"MPS",'Estimates'!$C$5:$C$604,'Status'!$F$5)=0,"",IF(COUNTIFS('Estimates'!$A$5:$A$604,$A13,'Estimates'!$B$5:$B$604,"MPS",'Estimates'!$C$5:$C$604,'Status'!$F$5)&gt;1,"DUP",SUMIFS('Estimates'!$F$5:$F$604,'Estimates'!$A$5:$A$604,$A13,'Estimates'!$B$5:$B$604,"MPS",'Estimates'!$C$5:$C$604,'Status'!$F$5))))</x:f>
      </x:c>
      <x:c r="E13" s="13" t="str">
        <x:f>IF(OR(COUNTA($A13)=0,'Status'!$G$5=""),"",IF(COUNTIFS('Estimates'!$A$5:$A$604,$A13,'Estimates'!$B$5:$B$604,"MPS",'Estimates'!$C$5:$C$604,'Status'!$G$5)=0,"",IF(COUNTIFS('Estimates'!$A$5:$A$604,$A13,'Estimates'!$B$5:$B$604,"MPS",'Estimates'!$C$5:$C$604,'Status'!$G$5)&gt;1,"DUP",SUMIFS('Estimates'!$F$5:$F$604,'Estimates'!$A$5:$A$604,$A13,'Estimates'!$B$5:$B$604,"MPS",'Estimates'!$C$5:$C$604,'Status'!$G$5))))</x:f>
      </x:c>
      <x:c r="F13" s="13" t="str">
        <x:f>IF(COUNT(C13:E13)&lt;2,"",_xlfn.STDEV.S(C13:E13))</x:f>
      </x:c>
      <x:c r="G13" s="13" t="str">
        <x:f>IF(AND(ISNUMBER(D13),ISNUMBER(E13)),ABS(E13-D13),"")</x:f>
      </x:c>
      <x:c r="H13" s="14" t="str">
        <x:f>IF(AND(ISNUMBER(D13),ISNUMBER(E13)),IF(D13=0,"n.a.",ABS(E13-D13)/ABS(D13)),"")</x:f>
      </x:c>
      <x:c r="I13" s="2" t="str">
        <x:f>IF(COUNTA(A13)=0,"",IF('Status'!$B$6="","Set tolerance",IF(COUNT(C13:E13)&lt;3,"Need 3 levels",IF(OR(C13=0,D13=0),"Use abs. Δ",IF(AND(ABS(D13-C13)/ABS(C13)&lt;='Status'!$B$6,H13&lt;='Status'!$B$6),"Yes","No")))))</x:f>
      </x:c>
      <x:c r="J13" s="13" t="str">
        <x:f>IF(OR(COUNTA($A13)=0,'Status'!$E$6=""),"",IF(COUNTIFS('Estimates'!$A$5:$A$604,$A13,'Estimates'!$B$5:$B$604,"PPS",'Estimates'!$D$5:$D$604,'Status'!$E$6,'Estimates'!$E$5:$E$604,'Status'!$E$7)=0,"",IF(COUNTIFS('Estimates'!$A$5:$A$604,$A13,'Estimates'!$B$5:$B$604,"PPS",'Estimates'!$D$5:$D$604,'Status'!$E$6,'Estimates'!$E$5:$E$604,'Status'!$E$7)&gt;1,"DUP",SUMIFS('Estimates'!$F$5:$F$604,'Estimates'!$A$5:$A$604,$A13,'Estimates'!$B$5:$B$604,"PPS",'Estimates'!$D$5:$D$604,'Status'!$E$6,'Estimates'!$E$5:$E$604,'Status'!$E$7))))</x:f>
      </x:c>
      <x:c r="K13" s="13" t="str">
        <x:f>IF(OR(COUNTA($A13)=0,'Status'!$F$6=""),"",IF(COUNTIFS('Estimates'!$A$5:$A$604,$A13,'Estimates'!$B$5:$B$604,"PPS",'Estimates'!$D$5:$D$604,'Status'!$F$6,'Estimates'!$E$5:$E$604,'Status'!$E$7)=0,"",IF(COUNTIFS('Estimates'!$A$5:$A$604,$A13,'Estimates'!$B$5:$B$604,"PPS",'Estimates'!$D$5:$D$604,'Status'!$F$6,'Estimates'!$E$5:$E$604,'Status'!$E$7)&gt;1,"DUP",SUMIFS('Estimates'!$F$5:$F$604,'Estimates'!$A$5:$A$604,$A13,'Estimates'!$B$5:$B$604,"PPS",'Estimates'!$D$5:$D$604,'Status'!$F$6,'Estimates'!$E$5:$E$604,'Status'!$E$7))))</x:f>
      </x:c>
      <x:c r="L13" s="13" t="str">
        <x:f>IF(OR(COUNTA($A13)=0,'Status'!$G$6=""),"",IF(COUNTIFS('Estimates'!$A$5:$A$604,$A13,'Estimates'!$B$5:$B$604,"PPS",'Estimates'!$D$5:$D$604,'Status'!$G$6,'Estimates'!$E$5:$E$604,'Status'!$E$7)=0,"",IF(COUNTIFS('Estimates'!$A$5:$A$604,$A13,'Estimates'!$B$5:$B$604,"PPS",'Estimates'!$D$5:$D$604,'Status'!$G$6,'Estimates'!$E$5:$E$604,'Status'!$E$7)&gt;1,"DUP",SUMIFS('Estimates'!$F$5:$F$604,'Estimates'!$A$5:$A$604,$A13,'Estimates'!$B$5:$B$604,"PPS",'Estimates'!$D$5:$D$604,'Status'!$G$6,'Estimates'!$E$5:$E$604,'Status'!$E$7))))</x:f>
      </x:c>
      <x:c r="M13" s="13" t="str">
        <x:f>IF(COUNT(J13:L13)&lt;2,"",_xlfn.STDEV.S(J13:L13))</x:f>
      </x:c>
      <x:c r="N13" s="13" t="str">
        <x:f>IF(AND(ISNUMBER(K13),ISNUMBER(L13)),ABS(L13-K13),"")</x:f>
      </x:c>
      <x:c r="O13" s="14" t="str">
        <x:f>IF(AND(ISNUMBER(K13),ISNUMBER(L13)),IF(K13=0,"n.a.",ABS(L13-K13)/ABS(K13)),"")</x:f>
      </x:c>
      <x:c r="P13" s="2" t="str">
        <x:f>IF(COUNTA(A13)=0,"",IF('Status'!$B$6="","Set tolerance",IF(COUNT(J13:L13)&lt;3,"Need 3 levels",IF(OR(J13=0,K13=0),"Use abs. Δ",IF(AND(ABS(K13-J13)/ABS(J13)&lt;='Status'!$B$6,O13&lt;='Status'!$B$6),"Yes","No")))))</x:f>
      </x:c>
      <x:c r="Q13" s="13" t="str">
        <x:f>IF(AND(ISNUMBER(E13),ISNUMBER(L13)),ABS(E13-L13),"")</x:f>
      </x:c>
      <x:c r="R13" s="2" t="str">
        <x:f>IF(COUNTA(A13)=0,"",IF(COUNT(C13:E13,J13:L13)&gt;0,1,0))</x:f>
      </x:c>
      <x:c r="S13" s="2" t="str">
        <x:f>IF(COUNTA(A13)=0,"",IF(COUNTIFS($A$6:$A$69,A13)&gt;1,"Duplicate target",""))</x:f>
      </x:c>
    </x:row>
    <x:row r="14">
      <x:c r="A14" s="6"/>
      <x:c r="B14" s="20"/>
      <x:c r="C14" s="13" t="str">
        <x:f>IF(OR(COUNTA($A14)=0,'Status'!$E$5=""),"",IF(COUNTIFS('Estimates'!$A$5:$A$604,$A14,'Estimates'!$B$5:$B$604,"MPS",'Estimates'!$C$5:$C$604,'Status'!$E$5)=0,"",IF(COUNTIFS('Estimates'!$A$5:$A$604,$A14,'Estimates'!$B$5:$B$604,"MPS",'Estimates'!$C$5:$C$604,'Status'!$E$5)&gt;1,"DUP",SUMIFS('Estimates'!$F$5:$F$604,'Estimates'!$A$5:$A$604,$A14,'Estimates'!$B$5:$B$604,"MPS",'Estimates'!$C$5:$C$604,'Status'!$E$5))))</x:f>
      </x:c>
      <x:c r="D14" s="13" t="str">
        <x:f>IF(OR(COUNTA($A14)=0,'Status'!$F$5=""),"",IF(COUNTIFS('Estimates'!$A$5:$A$604,$A14,'Estimates'!$B$5:$B$604,"MPS",'Estimates'!$C$5:$C$604,'Status'!$F$5)=0,"",IF(COUNTIFS('Estimates'!$A$5:$A$604,$A14,'Estimates'!$B$5:$B$604,"MPS",'Estimates'!$C$5:$C$604,'Status'!$F$5)&gt;1,"DUP",SUMIFS('Estimates'!$F$5:$F$604,'Estimates'!$A$5:$A$604,$A14,'Estimates'!$B$5:$B$604,"MPS",'Estimates'!$C$5:$C$604,'Status'!$F$5))))</x:f>
      </x:c>
      <x:c r="E14" s="13" t="str">
        <x:f>IF(OR(COUNTA($A14)=0,'Status'!$G$5=""),"",IF(COUNTIFS('Estimates'!$A$5:$A$604,$A14,'Estimates'!$B$5:$B$604,"MPS",'Estimates'!$C$5:$C$604,'Status'!$G$5)=0,"",IF(COUNTIFS('Estimates'!$A$5:$A$604,$A14,'Estimates'!$B$5:$B$604,"MPS",'Estimates'!$C$5:$C$604,'Status'!$G$5)&gt;1,"DUP",SUMIFS('Estimates'!$F$5:$F$604,'Estimates'!$A$5:$A$604,$A14,'Estimates'!$B$5:$B$604,"MPS",'Estimates'!$C$5:$C$604,'Status'!$G$5))))</x:f>
      </x:c>
      <x:c r="F14" s="13" t="str">
        <x:f>IF(COUNT(C14:E14)&lt;2,"",_xlfn.STDEV.S(C14:E14))</x:f>
      </x:c>
      <x:c r="G14" s="13" t="str">
        <x:f>IF(AND(ISNUMBER(D14),ISNUMBER(E14)),ABS(E14-D14),"")</x:f>
      </x:c>
      <x:c r="H14" s="14" t="str">
        <x:f>IF(AND(ISNUMBER(D14),ISNUMBER(E14)),IF(D14=0,"n.a.",ABS(E14-D14)/ABS(D14)),"")</x:f>
      </x:c>
      <x:c r="I14" s="2" t="str">
        <x:f>IF(COUNTA(A14)=0,"",IF('Status'!$B$6="","Set tolerance",IF(COUNT(C14:E14)&lt;3,"Need 3 levels",IF(OR(C14=0,D14=0),"Use abs. Δ",IF(AND(ABS(D14-C14)/ABS(C14)&lt;='Status'!$B$6,H14&lt;='Status'!$B$6),"Yes","No")))))</x:f>
      </x:c>
      <x:c r="J14" s="13" t="str">
        <x:f>IF(OR(COUNTA($A14)=0,'Status'!$E$6=""),"",IF(COUNTIFS('Estimates'!$A$5:$A$604,$A14,'Estimates'!$B$5:$B$604,"PPS",'Estimates'!$D$5:$D$604,'Status'!$E$6,'Estimates'!$E$5:$E$604,'Status'!$E$7)=0,"",IF(COUNTIFS('Estimates'!$A$5:$A$604,$A14,'Estimates'!$B$5:$B$604,"PPS",'Estimates'!$D$5:$D$604,'Status'!$E$6,'Estimates'!$E$5:$E$604,'Status'!$E$7)&gt;1,"DUP",SUMIFS('Estimates'!$F$5:$F$604,'Estimates'!$A$5:$A$604,$A14,'Estimates'!$B$5:$B$604,"PPS",'Estimates'!$D$5:$D$604,'Status'!$E$6,'Estimates'!$E$5:$E$604,'Status'!$E$7))))</x:f>
      </x:c>
      <x:c r="K14" s="13" t="str">
        <x:f>IF(OR(COUNTA($A14)=0,'Status'!$F$6=""),"",IF(COUNTIFS('Estimates'!$A$5:$A$604,$A14,'Estimates'!$B$5:$B$604,"PPS",'Estimates'!$D$5:$D$604,'Status'!$F$6,'Estimates'!$E$5:$E$604,'Status'!$E$7)=0,"",IF(COUNTIFS('Estimates'!$A$5:$A$604,$A14,'Estimates'!$B$5:$B$604,"PPS",'Estimates'!$D$5:$D$604,'Status'!$F$6,'Estimates'!$E$5:$E$604,'Status'!$E$7)&gt;1,"DUP",SUMIFS('Estimates'!$F$5:$F$604,'Estimates'!$A$5:$A$604,$A14,'Estimates'!$B$5:$B$604,"PPS",'Estimates'!$D$5:$D$604,'Status'!$F$6,'Estimates'!$E$5:$E$604,'Status'!$E$7))))</x:f>
      </x:c>
      <x:c r="L14" s="13" t="str">
        <x:f>IF(OR(COUNTA($A14)=0,'Status'!$G$6=""),"",IF(COUNTIFS('Estimates'!$A$5:$A$604,$A14,'Estimates'!$B$5:$B$604,"PPS",'Estimates'!$D$5:$D$604,'Status'!$G$6,'Estimates'!$E$5:$E$604,'Status'!$E$7)=0,"",IF(COUNTIFS('Estimates'!$A$5:$A$604,$A14,'Estimates'!$B$5:$B$604,"PPS",'Estimates'!$D$5:$D$604,'Status'!$G$6,'Estimates'!$E$5:$E$604,'Status'!$E$7)&gt;1,"DUP",SUMIFS('Estimates'!$F$5:$F$604,'Estimates'!$A$5:$A$604,$A14,'Estimates'!$B$5:$B$604,"PPS",'Estimates'!$D$5:$D$604,'Status'!$G$6,'Estimates'!$E$5:$E$604,'Status'!$E$7))))</x:f>
      </x:c>
      <x:c r="M14" s="13" t="str">
        <x:f>IF(COUNT(J14:L14)&lt;2,"",_xlfn.STDEV.S(J14:L14))</x:f>
      </x:c>
      <x:c r="N14" s="13" t="str">
        <x:f>IF(AND(ISNUMBER(K14),ISNUMBER(L14)),ABS(L14-K14),"")</x:f>
      </x:c>
      <x:c r="O14" s="14" t="str">
        <x:f>IF(AND(ISNUMBER(K14),ISNUMBER(L14)),IF(K14=0,"n.a.",ABS(L14-K14)/ABS(K14)),"")</x:f>
      </x:c>
      <x:c r="P14" s="2" t="str">
        <x:f>IF(COUNTA(A14)=0,"",IF('Status'!$B$6="","Set tolerance",IF(COUNT(J14:L14)&lt;3,"Need 3 levels",IF(OR(J14=0,K14=0),"Use abs. Δ",IF(AND(ABS(K14-J14)/ABS(J14)&lt;='Status'!$B$6,O14&lt;='Status'!$B$6),"Yes","No")))))</x:f>
      </x:c>
      <x:c r="Q14" s="13" t="str">
        <x:f>IF(AND(ISNUMBER(E14),ISNUMBER(L14)),ABS(E14-L14),"")</x:f>
      </x:c>
      <x:c r="R14" s="2" t="str">
        <x:f>IF(COUNTA(A14)=0,"",IF(COUNT(C14:E14,J14:L14)&gt;0,1,0))</x:f>
      </x:c>
      <x:c r="S14" s="2" t="str">
        <x:f>IF(COUNTA(A14)=0,"",IF(COUNTIFS($A$6:$A$69,A14)&gt;1,"Duplicate target",""))</x:f>
      </x:c>
    </x:row>
    <x:row r="15">
      <x:c r="A15" s="6"/>
      <x:c r="B15" s="20"/>
      <x:c r="C15" s="13" t="str">
        <x:f>IF(OR(COUNTA($A15)=0,'Status'!$E$5=""),"",IF(COUNTIFS('Estimates'!$A$5:$A$604,$A15,'Estimates'!$B$5:$B$604,"MPS",'Estimates'!$C$5:$C$604,'Status'!$E$5)=0,"",IF(COUNTIFS('Estimates'!$A$5:$A$604,$A15,'Estimates'!$B$5:$B$604,"MPS",'Estimates'!$C$5:$C$604,'Status'!$E$5)&gt;1,"DUP",SUMIFS('Estimates'!$F$5:$F$604,'Estimates'!$A$5:$A$604,$A15,'Estimates'!$B$5:$B$604,"MPS",'Estimates'!$C$5:$C$604,'Status'!$E$5))))</x:f>
      </x:c>
      <x:c r="D15" s="13" t="str">
        <x:f>IF(OR(COUNTA($A15)=0,'Status'!$F$5=""),"",IF(COUNTIFS('Estimates'!$A$5:$A$604,$A15,'Estimates'!$B$5:$B$604,"MPS",'Estimates'!$C$5:$C$604,'Status'!$F$5)=0,"",IF(COUNTIFS('Estimates'!$A$5:$A$604,$A15,'Estimates'!$B$5:$B$604,"MPS",'Estimates'!$C$5:$C$604,'Status'!$F$5)&gt;1,"DUP",SUMIFS('Estimates'!$F$5:$F$604,'Estimates'!$A$5:$A$604,$A15,'Estimates'!$B$5:$B$604,"MPS",'Estimates'!$C$5:$C$604,'Status'!$F$5))))</x:f>
      </x:c>
      <x:c r="E15" s="13" t="str">
        <x:f>IF(OR(COUNTA($A15)=0,'Status'!$G$5=""),"",IF(COUNTIFS('Estimates'!$A$5:$A$604,$A15,'Estimates'!$B$5:$B$604,"MPS",'Estimates'!$C$5:$C$604,'Status'!$G$5)=0,"",IF(COUNTIFS('Estimates'!$A$5:$A$604,$A15,'Estimates'!$B$5:$B$604,"MPS",'Estimates'!$C$5:$C$604,'Status'!$G$5)&gt;1,"DUP",SUMIFS('Estimates'!$F$5:$F$604,'Estimates'!$A$5:$A$604,$A15,'Estimates'!$B$5:$B$604,"MPS",'Estimates'!$C$5:$C$604,'Status'!$G$5))))</x:f>
      </x:c>
      <x:c r="F15" s="13" t="str">
        <x:f>IF(COUNT(C15:E15)&lt;2,"",_xlfn.STDEV.S(C15:E15))</x:f>
      </x:c>
      <x:c r="G15" s="13" t="str">
        <x:f>IF(AND(ISNUMBER(D15),ISNUMBER(E15)),ABS(E15-D15),"")</x:f>
      </x:c>
      <x:c r="H15" s="14" t="str">
        <x:f>IF(AND(ISNUMBER(D15),ISNUMBER(E15)),IF(D15=0,"n.a.",ABS(E15-D15)/ABS(D15)),"")</x:f>
      </x:c>
      <x:c r="I15" s="2" t="str">
        <x:f>IF(COUNTA(A15)=0,"",IF('Status'!$B$6="","Set tolerance",IF(COUNT(C15:E15)&lt;3,"Need 3 levels",IF(OR(C15=0,D15=0),"Use abs. Δ",IF(AND(ABS(D15-C15)/ABS(C15)&lt;='Status'!$B$6,H15&lt;='Status'!$B$6),"Yes","No")))))</x:f>
      </x:c>
      <x:c r="J15" s="13" t="str">
        <x:f>IF(OR(COUNTA($A15)=0,'Status'!$E$6=""),"",IF(COUNTIFS('Estimates'!$A$5:$A$604,$A15,'Estimates'!$B$5:$B$604,"PPS",'Estimates'!$D$5:$D$604,'Status'!$E$6,'Estimates'!$E$5:$E$604,'Status'!$E$7)=0,"",IF(COUNTIFS('Estimates'!$A$5:$A$604,$A15,'Estimates'!$B$5:$B$604,"PPS",'Estimates'!$D$5:$D$604,'Status'!$E$6,'Estimates'!$E$5:$E$604,'Status'!$E$7)&gt;1,"DUP",SUMIFS('Estimates'!$F$5:$F$604,'Estimates'!$A$5:$A$604,$A15,'Estimates'!$B$5:$B$604,"PPS",'Estimates'!$D$5:$D$604,'Status'!$E$6,'Estimates'!$E$5:$E$604,'Status'!$E$7))))</x:f>
      </x:c>
      <x:c r="K15" s="13" t="str">
        <x:f>IF(OR(COUNTA($A15)=0,'Status'!$F$6=""),"",IF(COUNTIFS('Estimates'!$A$5:$A$604,$A15,'Estimates'!$B$5:$B$604,"PPS",'Estimates'!$D$5:$D$604,'Status'!$F$6,'Estimates'!$E$5:$E$604,'Status'!$E$7)=0,"",IF(COUNTIFS('Estimates'!$A$5:$A$604,$A15,'Estimates'!$B$5:$B$604,"PPS",'Estimates'!$D$5:$D$604,'Status'!$F$6,'Estimates'!$E$5:$E$604,'Status'!$E$7)&gt;1,"DUP",SUMIFS('Estimates'!$F$5:$F$604,'Estimates'!$A$5:$A$604,$A15,'Estimates'!$B$5:$B$604,"PPS",'Estimates'!$D$5:$D$604,'Status'!$F$6,'Estimates'!$E$5:$E$604,'Status'!$E$7))))</x:f>
      </x:c>
      <x:c r="L15" s="13" t="str">
        <x:f>IF(OR(COUNTA($A15)=0,'Status'!$G$6=""),"",IF(COUNTIFS('Estimates'!$A$5:$A$604,$A15,'Estimates'!$B$5:$B$604,"PPS",'Estimates'!$D$5:$D$604,'Status'!$G$6,'Estimates'!$E$5:$E$604,'Status'!$E$7)=0,"",IF(COUNTIFS('Estimates'!$A$5:$A$604,$A15,'Estimates'!$B$5:$B$604,"PPS",'Estimates'!$D$5:$D$604,'Status'!$G$6,'Estimates'!$E$5:$E$604,'Status'!$E$7)&gt;1,"DUP",SUMIFS('Estimates'!$F$5:$F$604,'Estimates'!$A$5:$A$604,$A15,'Estimates'!$B$5:$B$604,"PPS",'Estimates'!$D$5:$D$604,'Status'!$G$6,'Estimates'!$E$5:$E$604,'Status'!$E$7))))</x:f>
      </x:c>
      <x:c r="M15" s="13" t="str">
        <x:f>IF(COUNT(J15:L15)&lt;2,"",_xlfn.STDEV.S(J15:L15))</x:f>
      </x:c>
      <x:c r="N15" s="13" t="str">
        <x:f>IF(AND(ISNUMBER(K15),ISNUMBER(L15)),ABS(L15-K15),"")</x:f>
      </x:c>
      <x:c r="O15" s="14" t="str">
        <x:f>IF(AND(ISNUMBER(K15),ISNUMBER(L15)),IF(K15=0,"n.a.",ABS(L15-K15)/ABS(K15)),"")</x:f>
      </x:c>
      <x:c r="P15" s="2" t="str">
        <x:f>IF(COUNTA(A15)=0,"",IF('Status'!$B$6="","Set tolerance",IF(COUNT(J15:L15)&lt;3,"Need 3 levels",IF(OR(J15=0,K15=0),"Use abs. Δ",IF(AND(ABS(K15-J15)/ABS(J15)&lt;='Status'!$B$6,O15&lt;='Status'!$B$6),"Yes","No")))))</x:f>
      </x:c>
      <x:c r="Q15" s="13" t="str">
        <x:f>IF(AND(ISNUMBER(E15),ISNUMBER(L15)),ABS(E15-L15),"")</x:f>
      </x:c>
      <x:c r="R15" s="2" t="str">
        <x:f>IF(COUNTA(A15)=0,"",IF(COUNT(C15:E15,J15:L15)&gt;0,1,0))</x:f>
      </x:c>
      <x:c r="S15" s="2" t="str">
        <x:f>IF(COUNTA(A15)=0,"",IF(COUNTIFS($A$6:$A$69,A15)&gt;1,"Duplicate target",""))</x:f>
      </x:c>
    </x:row>
    <x:row r="16">
      <x:c r="A16" s="6"/>
      <x:c r="B16" s="20"/>
      <x:c r="C16" s="13" t="str">
        <x:f>IF(OR(COUNTA($A16)=0,'Status'!$E$5=""),"",IF(COUNTIFS('Estimates'!$A$5:$A$604,$A16,'Estimates'!$B$5:$B$604,"MPS",'Estimates'!$C$5:$C$604,'Status'!$E$5)=0,"",IF(COUNTIFS('Estimates'!$A$5:$A$604,$A16,'Estimates'!$B$5:$B$604,"MPS",'Estimates'!$C$5:$C$604,'Status'!$E$5)&gt;1,"DUP",SUMIFS('Estimates'!$F$5:$F$604,'Estimates'!$A$5:$A$604,$A16,'Estimates'!$B$5:$B$604,"MPS",'Estimates'!$C$5:$C$604,'Status'!$E$5))))</x:f>
      </x:c>
      <x:c r="D16" s="13" t="str">
        <x:f>IF(OR(COUNTA($A16)=0,'Status'!$F$5=""),"",IF(COUNTIFS('Estimates'!$A$5:$A$604,$A16,'Estimates'!$B$5:$B$604,"MPS",'Estimates'!$C$5:$C$604,'Status'!$F$5)=0,"",IF(COUNTIFS('Estimates'!$A$5:$A$604,$A16,'Estimates'!$B$5:$B$604,"MPS",'Estimates'!$C$5:$C$604,'Status'!$F$5)&gt;1,"DUP",SUMIFS('Estimates'!$F$5:$F$604,'Estimates'!$A$5:$A$604,$A16,'Estimates'!$B$5:$B$604,"MPS",'Estimates'!$C$5:$C$604,'Status'!$F$5))))</x:f>
      </x:c>
      <x:c r="E16" s="13" t="str">
        <x:f>IF(OR(COUNTA($A16)=0,'Status'!$G$5=""),"",IF(COUNTIFS('Estimates'!$A$5:$A$604,$A16,'Estimates'!$B$5:$B$604,"MPS",'Estimates'!$C$5:$C$604,'Status'!$G$5)=0,"",IF(COUNTIFS('Estimates'!$A$5:$A$604,$A16,'Estimates'!$B$5:$B$604,"MPS",'Estimates'!$C$5:$C$604,'Status'!$G$5)&gt;1,"DUP",SUMIFS('Estimates'!$F$5:$F$604,'Estimates'!$A$5:$A$604,$A16,'Estimates'!$B$5:$B$604,"MPS",'Estimates'!$C$5:$C$604,'Status'!$G$5))))</x:f>
      </x:c>
      <x:c r="F16" s="13" t="str">
        <x:f>IF(COUNT(C16:E16)&lt;2,"",_xlfn.STDEV.S(C16:E16))</x:f>
      </x:c>
      <x:c r="G16" s="13" t="str">
        <x:f>IF(AND(ISNUMBER(D16),ISNUMBER(E16)),ABS(E16-D16),"")</x:f>
      </x:c>
      <x:c r="H16" s="14" t="str">
        <x:f>IF(AND(ISNUMBER(D16),ISNUMBER(E16)),IF(D16=0,"n.a.",ABS(E16-D16)/ABS(D16)),"")</x:f>
      </x:c>
      <x:c r="I16" s="2" t="str">
        <x:f>IF(COUNTA(A16)=0,"",IF('Status'!$B$6="","Set tolerance",IF(COUNT(C16:E16)&lt;3,"Need 3 levels",IF(OR(C16=0,D16=0),"Use abs. Δ",IF(AND(ABS(D16-C16)/ABS(C16)&lt;='Status'!$B$6,H16&lt;='Status'!$B$6),"Yes","No")))))</x:f>
      </x:c>
      <x:c r="J16" s="13" t="str">
        <x:f>IF(OR(COUNTA($A16)=0,'Status'!$E$6=""),"",IF(COUNTIFS('Estimates'!$A$5:$A$604,$A16,'Estimates'!$B$5:$B$604,"PPS",'Estimates'!$D$5:$D$604,'Status'!$E$6,'Estimates'!$E$5:$E$604,'Status'!$E$7)=0,"",IF(COUNTIFS('Estimates'!$A$5:$A$604,$A16,'Estimates'!$B$5:$B$604,"PPS",'Estimates'!$D$5:$D$604,'Status'!$E$6,'Estimates'!$E$5:$E$604,'Status'!$E$7)&gt;1,"DUP",SUMIFS('Estimates'!$F$5:$F$604,'Estimates'!$A$5:$A$604,$A16,'Estimates'!$B$5:$B$604,"PPS",'Estimates'!$D$5:$D$604,'Status'!$E$6,'Estimates'!$E$5:$E$604,'Status'!$E$7))))</x:f>
      </x:c>
      <x:c r="K16" s="13" t="str">
        <x:f>IF(OR(COUNTA($A16)=0,'Status'!$F$6=""),"",IF(COUNTIFS('Estimates'!$A$5:$A$604,$A16,'Estimates'!$B$5:$B$604,"PPS",'Estimates'!$D$5:$D$604,'Status'!$F$6,'Estimates'!$E$5:$E$604,'Status'!$E$7)=0,"",IF(COUNTIFS('Estimates'!$A$5:$A$604,$A16,'Estimates'!$B$5:$B$604,"PPS",'Estimates'!$D$5:$D$604,'Status'!$F$6,'Estimates'!$E$5:$E$604,'Status'!$E$7)&gt;1,"DUP",SUMIFS('Estimates'!$F$5:$F$604,'Estimates'!$A$5:$A$604,$A16,'Estimates'!$B$5:$B$604,"PPS",'Estimates'!$D$5:$D$604,'Status'!$F$6,'Estimates'!$E$5:$E$604,'Status'!$E$7))))</x:f>
      </x:c>
      <x:c r="L16" s="13" t="str">
        <x:f>IF(OR(COUNTA($A16)=0,'Status'!$G$6=""),"",IF(COUNTIFS('Estimates'!$A$5:$A$604,$A16,'Estimates'!$B$5:$B$604,"PPS",'Estimates'!$D$5:$D$604,'Status'!$G$6,'Estimates'!$E$5:$E$604,'Status'!$E$7)=0,"",IF(COUNTIFS('Estimates'!$A$5:$A$604,$A16,'Estimates'!$B$5:$B$604,"PPS",'Estimates'!$D$5:$D$604,'Status'!$G$6,'Estimates'!$E$5:$E$604,'Status'!$E$7)&gt;1,"DUP",SUMIFS('Estimates'!$F$5:$F$604,'Estimates'!$A$5:$A$604,$A16,'Estimates'!$B$5:$B$604,"PPS",'Estimates'!$D$5:$D$604,'Status'!$G$6,'Estimates'!$E$5:$E$604,'Status'!$E$7))))</x:f>
      </x:c>
      <x:c r="M16" s="13" t="str">
        <x:f>IF(COUNT(J16:L16)&lt;2,"",_xlfn.STDEV.S(J16:L16))</x:f>
      </x:c>
      <x:c r="N16" s="13" t="str">
        <x:f>IF(AND(ISNUMBER(K16),ISNUMBER(L16)),ABS(L16-K16),"")</x:f>
      </x:c>
      <x:c r="O16" s="14" t="str">
        <x:f>IF(AND(ISNUMBER(K16),ISNUMBER(L16)),IF(K16=0,"n.a.",ABS(L16-K16)/ABS(K16)),"")</x:f>
      </x:c>
      <x:c r="P16" s="2" t="str">
        <x:f>IF(COUNTA(A16)=0,"",IF('Status'!$B$6="","Set tolerance",IF(COUNT(J16:L16)&lt;3,"Need 3 levels",IF(OR(J16=0,K16=0),"Use abs. Δ",IF(AND(ABS(K16-J16)/ABS(J16)&lt;='Status'!$B$6,O16&lt;='Status'!$B$6),"Yes","No")))))</x:f>
      </x:c>
      <x:c r="Q16" s="13" t="str">
        <x:f>IF(AND(ISNUMBER(E16),ISNUMBER(L16)),ABS(E16-L16),"")</x:f>
      </x:c>
      <x:c r="R16" s="2" t="str">
        <x:f>IF(COUNTA(A16)=0,"",IF(COUNT(C16:E16,J16:L16)&gt;0,1,0))</x:f>
      </x:c>
      <x:c r="S16" s="2" t="str">
        <x:f>IF(COUNTA(A16)=0,"",IF(COUNTIFS($A$6:$A$69,A16)&gt;1,"Duplicate target",""))</x:f>
      </x:c>
    </x:row>
    <x:row r="17">
      <x:c r="A17" s="6"/>
      <x:c r="B17" s="20"/>
      <x:c r="C17" s="13" t="str">
        <x:f>IF(OR(COUNTA($A17)=0,'Status'!$E$5=""),"",IF(COUNTIFS('Estimates'!$A$5:$A$604,$A17,'Estimates'!$B$5:$B$604,"MPS",'Estimates'!$C$5:$C$604,'Status'!$E$5)=0,"",IF(COUNTIFS('Estimates'!$A$5:$A$604,$A17,'Estimates'!$B$5:$B$604,"MPS",'Estimates'!$C$5:$C$604,'Status'!$E$5)&gt;1,"DUP",SUMIFS('Estimates'!$F$5:$F$604,'Estimates'!$A$5:$A$604,$A17,'Estimates'!$B$5:$B$604,"MPS",'Estimates'!$C$5:$C$604,'Status'!$E$5))))</x:f>
      </x:c>
      <x:c r="D17" s="13" t="str">
        <x:f>IF(OR(COUNTA($A17)=0,'Status'!$F$5=""),"",IF(COUNTIFS('Estimates'!$A$5:$A$604,$A17,'Estimates'!$B$5:$B$604,"MPS",'Estimates'!$C$5:$C$604,'Status'!$F$5)=0,"",IF(COUNTIFS('Estimates'!$A$5:$A$604,$A17,'Estimates'!$B$5:$B$604,"MPS",'Estimates'!$C$5:$C$604,'Status'!$F$5)&gt;1,"DUP",SUMIFS('Estimates'!$F$5:$F$604,'Estimates'!$A$5:$A$604,$A17,'Estimates'!$B$5:$B$604,"MPS",'Estimates'!$C$5:$C$604,'Status'!$F$5))))</x:f>
      </x:c>
      <x:c r="E17" s="13" t="str">
        <x:f>IF(OR(COUNTA($A17)=0,'Status'!$G$5=""),"",IF(COUNTIFS('Estimates'!$A$5:$A$604,$A17,'Estimates'!$B$5:$B$604,"MPS",'Estimates'!$C$5:$C$604,'Status'!$G$5)=0,"",IF(COUNTIFS('Estimates'!$A$5:$A$604,$A17,'Estimates'!$B$5:$B$604,"MPS",'Estimates'!$C$5:$C$604,'Status'!$G$5)&gt;1,"DUP",SUMIFS('Estimates'!$F$5:$F$604,'Estimates'!$A$5:$A$604,$A17,'Estimates'!$B$5:$B$604,"MPS",'Estimates'!$C$5:$C$604,'Status'!$G$5))))</x:f>
      </x:c>
      <x:c r="F17" s="13" t="str">
        <x:f>IF(COUNT(C17:E17)&lt;2,"",_xlfn.STDEV.S(C17:E17))</x:f>
      </x:c>
      <x:c r="G17" s="13" t="str">
        <x:f>IF(AND(ISNUMBER(D17),ISNUMBER(E17)),ABS(E17-D17),"")</x:f>
      </x:c>
      <x:c r="H17" s="14" t="str">
        <x:f>IF(AND(ISNUMBER(D17),ISNUMBER(E17)),IF(D17=0,"n.a.",ABS(E17-D17)/ABS(D17)),"")</x:f>
      </x:c>
      <x:c r="I17" s="2" t="str">
        <x:f>IF(COUNTA(A17)=0,"",IF('Status'!$B$6="","Set tolerance",IF(COUNT(C17:E17)&lt;3,"Need 3 levels",IF(OR(C17=0,D17=0),"Use abs. Δ",IF(AND(ABS(D17-C17)/ABS(C17)&lt;='Status'!$B$6,H17&lt;='Status'!$B$6),"Yes","No")))))</x:f>
      </x:c>
      <x:c r="J17" s="13" t="str">
        <x:f>IF(OR(COUNTA($A17)=0,'Status'!$E$6=""),"",IF(COUNTIFS('Estimates'!$A$5:$A$604,$A17,'Estimates'!$B$5:$B$604,"PPS",'Estimates'!$D$5:$D$604,'Status'!$E$6,'Estimates'!$E$5:$E$604,'Status'!$E$7)=0,"",IF(COUNTIFS('Estimates'!$A$5:$A$604,$A17,'Estimates'!$B$5:$B$604,"PPS",'Estimates'!$D$5:$D$604,'Status'!$E$6,'Estimates'!$E$5:$E$604,'Status'!$E$7)&gt;1,"DUP",SUMIFS('Estimates'!$F$5:$F$604,'Estimates'!$A$5:$A$604,$A17,'Estimates'!$B$5:$B$604,"PPS",'Estimates'!$D$5:$D$604,'Status'!$E$6,'Estimates'!$E$5:$E$604,'Status'!$E$7))))</x:f>
      </x:c>
      <x:c r="K17" s="13" t="str">
        <x:f>IF(OR(COUNTA($A17)=0,'Status'!$F$6=""),"",IF(COUNTIFS('Estimates'!$A$5:$A$604,$A17,'Estimates'!$B$5:$B$604,"PPS",'Estimates'!$D$5:$D$604,'Status'!$F$6,'Estimates'!$E$5:$E$604,'Status'!$E$7)=0,"",IF(COUNTIFS('Estimates'!$A$5:$A$604,$A17,'Estimates'!$B$5:$B$604,"PPS",'Estimates'!$D$5:$D$604,'Status'!$F$6,'Estimates'!$E$5:$E$604,'Status'!$E$7)&gt;1,"DUP",SUMIFS('Estimates'!$F$5:$F$604,'Estimates'!$A$5:$A$604,$A17,'Estimates'!$B$5:$B$604,"PPS",'Estimates'!$D$5:$D$604,'Status'!$F$6,'Estimates'!$E$5:$E$604,'Status'!$E$7))))</x:f>
      </x:c>
      <x:c r="L17" s="13" t="str">
        <x:f>IF(OR(COUNTA($A17)=0,'Status'!$G$6=""),"",IF(COUNTIFS('Estimates'!$A$5:$A$604,$A17,'Estimates'!$B$5:$B$604,"PPS",'Estimates'!$D$5:$D$604,'Status'!$G$6,'Estimates'!$E$5:$E$604,'Status'!$E$7)=0,"",IF(COUNTIFS('Estimates'!$A$5:$A$604,$A17,'Estimates'!$B$5:$B$604,"PPS",'Estimates'!$D$5:$D$604,'Status'!$G$6,'Estimates'!$E$5:$E$604,'Status'!$E$7)&gt;1,"DUP",SUMIFS('Estimates'!$F$5:$F$604,'Estimates'!$A$5:$A$604,$A17,'Estimates'!$B$5:$B$604,"PPS",'Estimates'!$D$5:$D$604,'Status'!$G$6,'Estimates'!$E$5:$E$604,'Status'!$E$7))))</x:f>
      </x:c>
      <x:c r="M17" s="13" t="str">
        <x:f>IF(COUNT(J17:L17)&lt;2,"",_xlfn.STDEV.S(J17:L17))</x:f>
      </x:c>
      <x:c r="N17" s="13" t="str">
        <x:f>IF(AND(ISNUMBER(K17),ISNUMBER(L17)),ABS(L17-K17),"")</x:f>
      </x:c>
      <x:c r="O17" s="14" t="str">
        <x:f>IF(AND(ISNUMBER(K17),ISNUMBER(L17)),IF(K17=0,"n.a.",ABS(L17-K17)/ABS(K17)),"")</x:f>
      </x:c>
      <x:c r="P17" s="2" t="str">
        <x:f>IF(COUNTA(A17)=0,"",IF('Status'!$B$6="","Set tolerance",IF(COUNT(J17:L17)&lt;3,"Need 3 levels",IF(OR(J17=0,K17=0),"Use abs. Δ",IF(AND(ABS(K17-J17)/ABS(J17)&lt;='Status'!$B$6,O17&lt;='Status'!$B$6),"Yes","No")))))</x:f>
      </x:c>
      <x:c r="Q17" s="13" t="str">
        <x:f>IF(AND(ISNUMBER(E17),ISNUMBER(L17)),ABS(E17-L17),"")</x:f>
      </x:c>
      <x:c r="R17" s="2" t="str">
        <x:f>IF(COUNTA(A17)=0,"",IF(COUNT(C17:E17,J17:L17)&gt;0,1,0))</x:f>
      </x:c>
      <x:c r="S17" s="2" t="str">
        <x:f>IF(COUNTA(A17)=0,"",IF(COUNTIFS($A$6:$A$69,A17)&gt;1,"Duplicate target",""))</x:f>
      </x:c>
    </x:row>
    <x:row r="18">
      <x:c r="A18" s="6"/>
      <x:c r="B18" s="20"/>
      <x:c r="C18" s="13" t="str">
        <x:f>IF(OR(COUNTA($A18)=0,'Status'!$E$5=""),"",IF(COUNTIFS('Estimates'!$A$5:$A$604,$A18,'Estimates'!$B$5:$B$604,"MPS",'Estimates'!$C$5:$C$604,'Status'!$E$5)=0,"",IF(COUNTIFS('Estimates'!$A$5:$A$604,$A18,'Estimates'!$B$5:$B$604,"MPS",'Estimates'!$C$5:$C$604,'Status'!$E$5)&gt;1,"DUP",SUMIFS('Estimates'!$F$5:$F$604,'Estimates'!$A$5:$A$604,$A18,'Estimates'!$B$5:$B$604,"MPS",'Estimates'!$C$5:$C$604,'Status'!$E$5))))</x:f>
      </x:c>
      <x:c r="D18" s="13" t="str">
        <x:f>IF(OR(COUNTA($A18)=0,'Status'!$F$5=""),"",IF(COUNTIFS('Estimates'!$A$5:$A$604,$A18,'Estimates'!$B$5:$B$604,"MPS",'Estimates'!$C$5:$C$604,'Status'!$F$5)=0,"",IF(COUNTIFS('Estimates'!$A$5:$A$604,$A18,'Estimates'!$B$5:$B$604,"MPS",'Estimates'!$C$5:$C$604,'Status'!$F$5)&gt;1,"DUP",SUMIFS('Estimates'!$F$5:$F$604,'Estimates'!$A$5:$A$604,$A18,'Estimates'!$B$5:$B$604,"MPS",'Estimates'!$C$5:$C$604,'Status'!$F$5))))</x:f>
      </x:c>
      <x:c r="E18" s="13" t="str">
        <x:f>IF(OR(COUNTA($A18)=0,'Status'!$G$5=""),"",IF(COUNTIFS('Estimates'!$A$5:$A$604,$A18,'Estimates'!$B$5:$B$604,"MPS",'Estimates'!$C$5:$C$604,'Status'!$G$5)=0,"",IF(COUNTIFS('Estimates'!$A$5:$A$604,$A18,'Estimates'!$B$5:$B$604,"MPS",'Estimates'!$C$5:$C$604,'Status'!$G$5)&gt;1,"DUP",SUMIFS('Estimates'!$F$5:$F$604,'Estimates'!$A$5:$A$604,$A18,'Estimates'!$B$5:$B$604,"MPS",'Estimates'!$C$5:$C$604,'Status'!$G$5))))</x:f>
      </x:c>
      <x:c r="F18" s="13" t="str">
        <x:f>IF(COUNT(C18:E18)&lt;2,"",_xlfn.STDEV.S(C18:E18))</x:f>
      </x:c>
      <x:c r="G18" s="13" t="str">
        <x:f>IF(AND(ISNUMBER(D18),ISNUMBER(E18)),ABS(E18-D18),"")</x:f>
      </x:c>
      <x:c r="H18" s="14" t="str">
        <x:f>IF(AND(ISNUMBER(D18),ISNUMBER(E18)),IF(D18=0,"n.a.",ABS(E18-D18)/ABS(D18)),"")</x:f>
      </x:c>
      <x:c r="I18" s="2" t="str">
        <x:f>IF(COUNTA(A18)=0,"",IF('Status'!$B$6="","Set tolerance",IF(COUNT(C18:E18)&lt;3,"Need 3 levels",IF(OR(C18=0,D18=0),"Use abs. Δ",IF(AND(ABS(D18-C18)/ABS(C18)&lt;='Status'!$B$6,H18&lt;='Status'!$B$6),"Yes","No")))))</x:f>
      </x:c>
      <x:c r="J18" s="13" t="str">
        <x:f>IF(OR(COUNTA($A18)=0,'Status'!$E$6=""),"",IF(COUNTIFS('Estimates'!$A$5:$A$604,$A18,'Estimates'!$B$5:$B$604,"PPS",'Estimates'!$D$5:$D$604,'Status'!$E$6,'Estimates'!$E$5:$E$604,'Status'!$E$7)=0,"",IF(COUNTIFS('Estimates'!$A$5:$A$604,$A18,'Estimates'!$B$5:$B$604,"PPS",'Estimates'!$D$5:$D$604,'Status'!$E$6,'Estimates'!$E$5:$E$604,'Status'!$E$7)&gt;1,"DUP",SUMIFS('Estimates'!$F$5:$F$604,'Estimates'!$A$5:$A$604,$A18,'Estimates'!$B$5:$B$604,"PPS",'Estimates'!$D$5:$D$604,'Status'!$E$6,'Estimates'!$E$5:$E$604,'Status'!$E$7))))</x:f>
      </x:c>
      <x:c r="K18" s="13" t="str">
        <x:f>IF(OR(COUNTA($A18)=0,'Status'!$F$6=""),"",IF(COUNTIFS('Estimates'!$A$5:$A$604,$A18,'Estimates'!$B$5:$B$604,"PPS",'Estimates'!$D$5:$D$604,'Status'!$F$6,'Estimates'!$E$5:$E$604,'Status'!$E$7)=0,"",IF(COUNTIFS('Estimates'!$A$5:$A$604,$A18,'Estimates'!$B$5:$B$604,"PPS",'Estimates'!$D$5:$D$604,'Status'!$F$6,'Estimates'!$E$5:$E$604,'Status'!$E$7)&gt;1,"DUP",SUMIFS('Estimates'!$F$5:$F$604,'Estimates'!$A$5:$A$604,$A18,'Estimates'!$B$5:$B$604,"PPS",'Estimates'!$D$5:$D$604,'Status'!$F$6,'Estimates'!$E$5:$E$604,'Status'!$E$7))))</x:f>
      </x:c>
      <x:c r="L18" s="13" t="str">
        <x:f>IF(OR(COUNTA($A18)=0,'Status'!$G$6=""),"",IF(COUNTIFS('Estimates'!$A$5:$A$604,$A18,'Estimates'!$B$5:$B$604,"PPS",'Estimates'!$D$5:$D$604,'Status'!$G$6,'Estimates'!$E$5:$E$604,'Status'!$E$7)=0,"",IF(COUNTIFS('Estimates'!$A$5:$A$604,$A18,'Estimates'!$B$5:$B$604,"PPS",'Estimates'!$D$5:$D$604,'Status'!$G$6,'Estimates'!$E$5:$E$604,'Status'!$E$7)&gt;1,"DUP",SUMIFS('Estimates'!$F$5:$F$604,'Estimates'!$A$5:$A$604,$A18,'Estimates'!$B$5:$B$604,"PPS",'Estimates'!$D$5:$D$604,'Status'!$G$6,'Estimates'!$E$5:$E$604,'Status'!$E$7))))</x:f>
      </x:c>
      <x:c r="M18" s="13" t="str">
        <x:f>IF(COUNT(J18:L18)&lt;2,"",_xlfn.STDEV.S(J18:L18))</x:f>
      </x:c>
      <x:c r="N18" s="13" t="str">
        <x:f>IF(AND(ISNUMBER(K18),ISNUMBER(L18)),ABS(L18-K18),"")</x:f>
      </x:c>
      <x:c r="O18" s="14" t="str">
        <x:f>IF(AND(ISNUMBER(K18),ISNUMBER(L18)),IF(K18=0,"n.a.",ABS(L18-K18)/ABS(K18)),"")</x:f>
      </x:c>
      <x:c r="P18" s="2" t="str">
        <x:f>IF(COUNTA(A18)=0,"",IF('Status'!$B$6="","Set tolerance",IF(COUNT(J18:L18)&lt;3,"Need 3 levels",IF(OR(J18=0,K18=0),"Use abs. Δ",IF(AND(ABS(K18-J18)/ABS(J18)&lt;='Status'!$B$6,O18&lt;='Status'!$B$6),"Yes","No")))))</x:f>
      </x:c>
      <x:c r="Q18" s="13" t="str">
        <x:f>IF(AND(ISNUMBER(E18),ISNUMBER(L18)),ABS(E18-L18),"")</x:f>
      </x:c>
      <x:c r="R18" s="2" t="str">
        <x:f>IF(COUNTA(A18)=0,"",IF(COUNT(C18:E18,J18:L18)&gt;0,1,0))</x:f>
      </x:c>
      <x:c r="S18" s="2" t="str">
        <x:f>IF(COUNTA(A18)=0,"",IF(COUNTIFS($A$6:$A$69,A18)&gt;1,"Duplicate target",""))</x:f>
      </x:c>
    </x:row>
    <x:row r="19">
      <x:c r="A19" s="6"/>
      <x:c r="B19" s="20"/>
      <x:c r="C19" s="13" t="str">
        <x:f>IF(OR(COUNTA($A19)=0,'Status'!$E$5=""),"",IF(COUNTIFS('Estimates'!$A$5:$A$604,$A19,'Estimates'!$B$5:$B$604,"MPS",'Estimates'!$C$5:$C$604,'Status'!$E$5)=0,"",IF(COUNTIFS('Estimates'!$A$5:$A$604,$A19,'Estimates'!$B$5:$B$604,"MPS",'Estimates'!$C$5:$C$604,'Status'!$E$5)&gt;1,"DUP",SUMIFS('Estimates'!$F$5:$F$604,'Estimates'!$A$5:$A$604,$A19,'Estimates'!$B$5:$B$604,"MPS",'Estimates'!$C$5:$C$604,'Status'!$E$5))))</x:f>
      </x:c>
      <x:c r="D19" s="13" t="str">
        <x:f>IF(OR(COUNTA($A19)=0,'Status'!$F$5=""),"",IF(COUNTIFS('Estimates'!$A$5:$A$604,$A19,'Estimates'!$B$5:$B$604,"MPS",'Estimates'!$C$5:$C$604,'Status'!$F$5)=0,"",IF(COUNTIFS('Estimates'!$A$5:$A$604,$A19,'Estimates'!$B$5:$B$604,"MPS",'Estimates'!$C$5:$C$604,'Status'!$F$5)&gt;1,"DUP",SUMIFS('Estimates'!$F$5:$F$604,'Estimates'!$A$5:$A$604,$A19,'Estimates'!$B$5:$B$604,"MPS",'Estimates'!$C$5:$C$604,'Status'!$F$5))))</x:f>
      </x:c>
      <x:c r="E19" s="13" t="str">
        <x:f>IF(OR(COUNTA($A19)=0,'Status'!$G$5=""),"",IF(COUNTIFS('Estimates'!$A$5:$A$604,$A19,'Estimates'!$B$5:$B$604,"MPS",'Estimates'!$C$5:$C$604,'Status'!$G$5)=0,"",IF(COUNTIFS('Estimates'!$A$5:$A$604,$A19,'Estimates'!$B$5:$B$604,"MPS",'Estimates'!$C$5:$C$604,'Status'!$G$5)&gt;1,"DUP",SUMIFS('Estimates'!$F$5:$F$604,'Estimates'!$A$5:$A$604,$A19,'Estimates'!$B$5:$B$604,"MPS",'Estimates'!$C$5:$C$604,'Status'!$G$5))))</x:f>
      </x:c>
      <x:c r="F19" s="13" t="str">
        <x:f>IF(COUNT(C19:E19)&lt;2,"",_xlfn.STDEV.S(C19:E19))</x:f>
      </x:c>
      <x:c r="G19" s="13" t="str">
        <x:f>IF(AND(ISNUMBER(D19),ISNUMBER(E19)),ABS(E19-D19),"")</x:f>
      </x:c>
      <x:c r="H19" s="14" t="str">
        <x:f>IF(AND(ISNUMBER(D19),ISNUMBER(E19)),IF(D19=0,"n.a.",ABS(E19-D19)/ABS(D19)),"")</x:f>
      </x:c>
      <x:c r="I19" s="2" t="str">
        <x:f>IF(COUNTA(A19)=0,"",IF('Status'!$B$6="","Set tolerance",IF(COUNT(C19:E19)&lt;3,"Need 3 levels",IF(OR(C19=0,D19=0),"Use abs. Δ",IF(AND(ABS(D19-C19)/ABS(C19)&lt;='Status'!$B$6,H19&lt;='Status'!$B$6),"Yes","No")))))</x:f>
      </x:c>
      <x:c r="J19" s="13" t="str">
        <x:f>IF(OR(COUNTA($A19)=0,'Status'!$E$6=""),"",IF(COUNTIFS('Estimates'!$A$5:$A$604,$A19,'Estimates'!$B$5:$B$604,"PPS",'Estimates'!$D$5:$D$604,'Status'!$E$6,'Estimates'!$E$5:$E$604,'Status'!$E$7)=0,"",IF(COUNTIFS('Estimates'!$A$5:$A$604,$A19,'Estimates'!$B$5:$B$604,"PPS",'Estimates'!$D$5:$D$604,'Status'!$E$6,'Estimates'!$E$5:$E$604,'Status'!$E$7)&gt;1,"DUP",SUMIFS('Estimates'!$F$5:$F$604,'Estimates'!$A$5:$A$604,$A19,'Estimates'!$B$5:$B$604,"PPS",'Estimates'!$D$5:$D$604,'Status'!$E$6,'Estimates'!$E$5:$E$604,'Status'!$E$7))))</x:f>
      </x:c>
      <x:c r="K19" s="13" t="str">
        <x:f>IF(OR(COUNTA($A19)=0,'Status'!$F$6=""),"",IF(COUNTIFS('Estimates'!$A$5:$A$604,$A19,'Estimates'!$B$5:$B$604,"PPS",'Estimates'!$D$5:$D$604,'Status'!$F$6,'Estimates'!$E$5:$E$604,'Status'!$E$7)=0,"",IF(COUNTIFS('Estimates'!$A$5:$A$604,$A19,'Estimates'!$B$5:$B$604,"PPS",'Estimates'!$D$5:$D$604,'Status'!$F$6,'Estimates'!$E$5:$E$604,'Status'!$E$7)&gt;1,"DUP",SUMIFS('Estimates'!$F$5:$F$604,'Estimates'!$A$5:$A$604,$A19,'Estimates'!$B$5:$B$604,"PPS",'Estimates'!$D$5:$D$604,'Status'!$F$6,'Estimates'!$E$5:$E$604,'Status'!$E$7))))</x:f>
      </x:c>
      <x:c r="L19" s="13" t="str">
        <x:f>IF(OR(COUNTA($A19)=0,'Status'!$G$6=""),"",IF(COUNTIFS('Estimates'!$A$5:$A$604,$A19,'Estimates'!$B$5:$B$604,"PPS",'Estimates'!$D$5:$D$604,'Status'!$G$6,'Estimates'!$E$5:$E$604,'Status'!$E$7)=0,"",IF(COUNTIFS('Estimates'!$A$5:$A$604,$A19,'Estimates'!$B$5:$B$604,"PPS",'Estimates'!$D$5:$D$604,'Status'!$G$6,'Estimates'!$E$5:$E$604,'Status'!$E$7)&gt;1,"DUP",SUMIFS('Estimates'!$F$5:$F$604,'Estimates'!$A$5:$A$604,$A19,'Estimates'!$B$5:$B$604,"PPS",'Estimates'!$D$5:$D$604,'Status'!$G$6,'Estimates'!$E$5:$E$604,'Status'!$E$7))))</x:f>
      </x:c>
      <x:c r="M19" s="13" t="str">
        <x:f>IF(COUNT(J19:L19)&lt;2,"",_xlfn.STDEV.S(J19:L19))</x:f>
      </x:c>
      <x:c r="N19" s="13" t="str">
        <x:f>IF(AND(ISNUMBER(K19),ISNUMBER(L19)),ABS(L19-K19),"")</x:f>
      </x:c>
      <x:c r="O19" s="14" t="str">
        <x:f>IF(AND(ISNUMBER(K19),ISNUMBER(L19)),IF(K19=0,"n.a.",ABS(L19-K19)/ABS(K19)),"")</x:f>
      </x:c>
      <x:c r="P19" s="2" t="str">
        <x:f>IF(COUNTA(A19)=0,"",IF('Status'!$B$6="","Set tolerance",IF(COUNT(J19:L19)&lt;3,"Need 3 levels",IF(OR(J19=0,K19=0),"Use abs. Δ",IF(AND(ABS(K19-J19)/ABS(J19)&lt;='Status'!$B$6,O19&lt;='Status'!$B$6),"Yes","No")))))</x:f>
      </x:c>
      <x:c r="Q19" s="13" t="str">
        <x:f>IF(AND(ISNUMBER(E19),ISNUMBER(L19)),ABS(E19-L19),"")</x:f>
      </x:c>
      <x:c r="R19" s="2" t="str">
        <x:f>IF(COUNTA(A19)=0,"",IF(COUNT(C19:E19,J19:L19)&gt;0,1,0))</x:f>
      </x:c>
      <x:c r="S19" s="2" t="str">
        <x:f>IF(COUNTA(A19)=0,"",IF(COUNTIFS($A$6:$A$69,A19)&gt;1,"Duplicate target",""))</x:f>
      </x:c>
    </x:row>
    <x:row r="20">
      <x:c r="A20" s="6"/>
      <x:c r="B20" s="20"/>
      <x:c r="C20" s="13" t="str">
        <x:f>IF(OR(COUNTA($A20)=0,'Status'!$E$5=""),"",IF(COUNTIFS('Estimates'!$A$5:$A$604,$A20,'Estimates'!$B$5:$B$604,"MPS",'Estimates'!$C$5:$C$604,'Status'!$E$5)=0,"",IF(COUNTIFS('Estimates'!$A$5:$A$604,$A20,'Estimates'!$B$5:$B$604,"MPS",'Estimates'!$C$5:$C$604,'Status'!$E$5)&gt;1,"DUP",SUMIFS('Estimates'!$F$5:$F$604,'Estimates'!$A$5:$A$604,$A20,'Estimates'!$B$5:$B$604,"MPS",'Estimates'!$C$5:$C$604,'Status'!$E$5))))</x:f>
      </x:c>
      <x:c r="D20" s="13" t="str">
        <x:f>IF(OR(COUNTA($A20)=0,'Status'!$F$5=""),"",IF(COUNTIFS('Estimates'!$A$5:$A$604,$A20,'Estimates'!$B$5:$B$604,"MPS",'Estimates'!$C$5:$C$604,'Status'!$F$5)=0,"",IF(COUNTIFS('Estimates'!$A$5:$A$604,$A20,'Estimates'!$B$5:$B$604,"MPS",'Estimates'!$C$5:$C$604,'Status'!$F$5)&gt;1,"DUP",SUMIFS('Estimates'!$F$5:$F$604,'Estimates'!$A$5:$A$604,$A20,'Estimates'!$B$5:$B$604,"MPS",'Estimates'!$C$5:$C$604,'Status'!$F$5))))</x:f>
      </x:c>
      <x:c r="E20" s="13" t="str">
        <x:f>IF(OR(COUNTA($A20)=0,'Status'!$G$5=""),"",IF(COUNTIFS('Estimates'!$A$5:$A$604,$A20,'Estimates'!$B$5:$B$604,"MPS",'Estimates'!$C$5:$C$604,'Status'!$G$5)=0,"",IF(COUNTIFS('Estimates'!$A$5:$A$604,$A20,'Estimates'!$B$5:$B$604,"MPS",'Estimates'!$C$5:$C$604,'Status'!$G$5)&gt;1,"DUP",SUMIFS('Estimates'!$F$5:$F$604,'Estimates'!$A$5:$A$604,$A20,'Estimates'!$B$5:$B$604,"MPS",'Estimates'!$C$5:$C$604,'Status'!$G$5))))</x:f>
      </x:c>
      <x:c r="F20" s="13" t="str">
        <x:f>IF(COUNT(C20:E20)&lt;2,"",_xlfn.STDEV.S(C20:E20))</x:f>
      </x:c>
      <x:c r="G20" s="13" t="str">
        <x:f>IF(AND(ISNUMBER(D20),ISNUMBER(E20)),ABS(E20-D20),"")</x:f>
      </x:c>
      <x:c r="H20" s="14" t="str">
        <x:f>IF(AND(ISNUMBER(D20),ISNUMBER(E20)),IF(D20=0,"n.a.",ABS(E20-D20)/ABS(D20)),"")</x:f>
      </x:c>
      <x:c r="I20" s="2" t="str">
        <x:f>IF(COUNTA(A20)=0,"",IF('Status'!$B$6="","Set tolerance",IF(COUNT(C20:E20)&lt;3,"Need 3 levels",IF(OR(C20=0,D20=0),"Use abs. Δ",IF(AND(ABS(D20-C20)/ABS(C20)&lt;='Status'!$B$6,H20&lt;='Status'!$B$6),"Yes","No")))))</x:f>
      </x:c>
      <x:c r="J20" s="13" t="str">
        <x:f>IF(OR(COUNTA($A20)=0,'Status'!$E$6=""),"",IF(COUNTIFS('Estimates'!$A$5:$A$604,$A20,'Estimates'!$B$5:$B$604,"PPS",'Estimates'!$D$5:$D$604,'Status'!$E$6,'Estimates'!$E$5:$E$604,'Status'!$E$7)=0,"",IF(COUNTIFS('Estimates'!$A$5:$A$604,$A20,'Estimates'!$B$5:$B$604,"PPS",'Estimates'!$D$5:$D$604,'Status'!$E$6,'Estimates'!$E$5:$E$604,'Status'!$E$7)&gt;1,"DUP",SUMIFS('Estimates'!$F$5:$F$604,'Estimates'!$A$5:$A$604,$A20,'Estimates'!$B$5:$B$604,"PPS",'Estimates'!$D$5:$D$604,'Status'!$E$6,'Estimates'!$E$5:$E$604,'Status'!$E$7))))</x:f>
      </x:c>
      <x:c r="K20" s="13" t="str">
        <x:f>IF(OR(COUNTA($A20)=0,'Status'!$F$6=""),"",IF(COUNTIFS('Estimates'!$A$5:$A$604,$A20,'Estimates'!$B$5:$B$604,"PPS",'Estimates'!$D$5:$D$604,'Status'!$F$6,'Estimates'!$E$5:$E$604,'Status'!$E$7)=0,"",IF(COUNTIFS('Estimates'!$A$5:$A$604,$A20,'Estimates'!$B$5:$B$604,"PPS",'Estimates'!$D$5:$D$604,'Status'!$F$6,'Estimates'!$E$5:$E$604,'Status'!$E$7)&gt;1,"DUP",SUMIFS('Estimates'!$F$5:$F$604,'Estimates'!$A$5:$A$604,$A20,'Estimates'!$B$5:$B$604,"PPS",'Estimates'!$D$5:$D$604,'Status'!$F$6,'Estimates'!$E$5:$E$604,'Status'!$E$7))))</x:f>
      </x:c>
      <x:c r="L20" s="13" t="str">
        <x:f>IF(OR(COUNTA($A20)=0,'Status'!$G$6=""),"",IF(COUNTIFS('Estimates'!$A$5:$A$604,$A20,'Estimates'!$B$5:$B$604,"PPS",'Estimates'!$D$5:$D$604,'Status'!$G$6,'Estimates'!$E$5:$E$604,'Status'!$E$7)=0,"",IF(COUNTIFS('Estimates'!$A$5:$A$604,$A20,'Estimates'!$B$5:$B$604,"PPS",'Estimates'!$D$5:$D$604,'Status'!$G$6,'Estimates'!$E$5:$E$604,'Status'!$E$7)&gt;1,"DUP",SUMIFS('Estimates'!$F$5:$F$604,'Estimates'!$A$5:$A$604,$A20,'Estimates'!$B$5:$B$604,"PPS",'Estimates'!$D$5:$D$604,'Status'!$G$6,'Estimates'!$E$5:$E$604,'Status'!$E$7))))</x:f>
      </x:c>
      <x:c r="M20" s="13" t="str">
        <x:f>IF(COUNT(J20:L20)&lt;2,"",_xlfn.STDEV.S(J20:L20))</x:f>
      </x:c>
      <x:c r="N20" s="13" t="str">
        <x:f>IF(AND(ISNUMBER(K20),ISNUMBER(L20)),ABS(L20-K20),"")</x:f>
      </x:c>
      <x:c r="O20" s="14" t="str">
        <x:f>IF(AND(ISNUMBER(K20),ISNUMBER(L20)),IF(K20=0,"n.a.",ABS(L20-K20)/ABS(K20)),"")</x:f>
      </x:c>
      <x:c r="P20" s="2" t="str">
        <x:f>IF(COUNTA(A20)=0,"",IF('Status'!$B$6="","Set tolerance",IF(COUNT(J20:L20)&lt;3,"Need 3 levels",IF(OR(J20=0,K20=0),"Use abs. Δ",IF(AND(ABS(K20-J20)/ABS(J20)&lt;='Status'!$B$6,O20&lt;='Status'!$B$6),"Yes","No")))))</x:f>
      </x:c>
      <x:c r="Q20" s="13" t="str">
        <x:f>IF(AND(ISNUMBER(E20),ISNUMBER(L20)),ABS(E20-L20),"")</x:f>
      </x:c>
      <x:c r="R20" s="2" t="str">
        <x:f>IF(COUNTA(A20)=0,"",IF(COUNT(C20:E20,J20:L20)&gt;0,1,0))</x:f>
      </x:c>
      <x:c r="S20" s="2" t="str">
        <x:f>IF(COUNTA(A20)=0,"",IF(COUNTIFS($A$6:$A$69,A20)&gt;1,"Duplicate target",""))</x:f>
      </x:c>
    </x:row>
    <x:row r="21">
      <x:c r="A21" s="6"/>
      <x:c r="B21" s="20"/>
      <x:c r="C21" s="13" t="str">
        <x:f>IF(OR(COUNTA($A21)=0,'Status'!$E$5=""),"",IF(COUNTIFS('Estimates'!$A$5:$A$604,$A21,'Estimates'!$B$5:$B$604,"MPS",'Estimates'!$C$5:$C$604,'Status'!$E$5)=0,"",IF(COUNTIFS('Estimates'!$A$5:$A$604,$A21,'Estimates'!$B$5:$B$604,"MPS",'Estimates'!$C$5:$C$604,'Status'!$E$5)&gt;1,"DUP",SUMIFS('Estimates'!$F$5:$F$604,'Estimates'!$A$5:$A$604,$A21,'Estimates'!$B$5:$B$604,"MPS",'Estimates'!$C$5:$C$604,'Status'!$E$5))))</x:f>
      </x:c>
      <x:c r="D21" s="13" t="str">
        <x:f>IF(OR(COUNTA($A21)=0,'Status'!$F$5=""),"",IF(COUNTIFS('Estimates'!$A$5:$A$604,$A21,'Estimates'!$B$5:$B$604,"MPS",'Estimates'!$C$5:$C$604,'Status'!$F$5)=0,"",IF(COUNTIFS('Estimates'!$A$5:$A$604,$A21,'Estimates'!$B$5:$B$604,"MPS",'Estimates'!$C$5:$C$604,'Status'!$F$5)&gt;1,"DUP",SUMIFS('Estimates'!$F$5:$F$604,'Estimates'!$A$5:$A$604,$A21,'Estimates'!$B$5:$B$604,"MPS",'Estimates'!$C$5:$C$604,'Status'!$F$5))))</x:f>
      </x:c>
      <x:c r="E21" s="13" t="str">
        <x:f>IF(OR(COUNTA($A21)=0,'Status'!$G$5=""),"",IF(COUNTIFS('Estimates'!$A$5:$A$604,$A21,'Estimates'!$B$5:$B$604,"MPS",'Estimates'!$C$5:$C$604,'Status'!$G$5)=0,"",IF(COUNTIFS('Estimates'!$A$5:$A$604,$A21,'Estimates'!$B$5:$B$604,"MPS",'Estimates'!$C$5:$C$604,'Status'!$G$5)&gt;1,"DUP",SUMIFS('Estimates'!$F$5:$F$604,'Estimates'!$A$5:$A$604,$A21,'Estimates'!$B$5:$B$604,"MPS",'Estimates'!$C$5:$C$604,'Status'!$G$5))))</x:f>
      </x:c>
      <x:c r="F21" s="13" t="str">
        <x:f>IF(COUNT(C21:E21)&lt;2,"",_xlfn.STDEV.S(C21:E21))</x:f>
      </x:c>
      <x:c r="G21" s="13" t="str">
        <x:f>IF(AND(ISNUMBER(D21),ISNUMBER(E21)),ABS(E21-D21),"")</x:f>
      </x:c>
      <x:c r="H21" s="14" t="str">
        <x:f>IF(AND(ISNUMBER(D21),ISNUMBER(E21)),IF(D21=0,"n.a.",ABS(E21-D21)/ABS(D21)),"")</x:f>
      </x:c>
      <x:c r="I21" s="2" t="str">
        <x:f>IF(COUNTA(A21)=0,"",IF('Status'!$B$6="","Set tolerance",IF(COUNT(C21:E21)&lt;3,"Need 3 levels",IF(OR(C21=0,D21=0),"Use abs. Δ",IF(AND(ABS(D21-C21)/ABS(C21)&lt;='Status'!$B$6,H21&lt;='Status'!$B$6),"Yes","No")))))</x:f>
      </x:c>
      <x:c r="J21" s="13" t="str">
        <x:f>IF(OR(COUNTA($A21)=0,'Status'!$E$6=""),"",IF(COUNTIFS('Estimates'!$A$5:$A$604,$A21,'Estimates'!$B$5:$B$604,"PPS",'Estimates'!$D$5:$D$604,'Status'!$E$6,'Estimates'!$E$5:$E$604,'Status'!$E$7)=0,"",IF(COUNTIFS('Estimates'!$A$5:$A$604,$A21,'Estimates'!$B$5:$B$604,"PPS",'Estimates'!$D$5:$D$604,'Status'!$E$6,'Estimates'!$E$5:$E$604,'Status'!$E$7)&gt;1,"DUP",SUMIFS('Estimates'!$F$5:$F$604,'Estimates'!$A$5:$A$604,$A21,'Estimates'!$B$5:$B$604,"PPS",'Estimates'!$D$5:$D$604,'Status'!$E$6,'Estimates'!$E$5:$E$604,'Status'!$E$7))))</x:f>
      </x:c>
      <x:c r="K21" s="13" t="str">
        <x:f>IF(OR(COUNTA($A21)=0,'Status'!$F$6=""),"",IF(COUNTIFS('Estimates'!$A$5:$A$604,$A21,'Estimates'!$B$5:$B$604,"PPS",'Estimates'!$D$5:$D$604,'Status'!$F$6,'Estimates'!$E$5:$E$604,'Status'!$E$7)=0,"",IF(COUNTIFS('Estimates'!$A$5:$A$604,$A21,'Estimates'!$B$5:$B$604,"PPS",'Estimates'!$D$5:$D$604,'Status'!$F$6,'Estimates'!$E$5:$E$604,'Status'!$E$7)&gt;1,"DUP",SUMIFS('Estimates'!$F$5:$F$604,'Estimates'!$A$5:$A$604,$A21,'Estimates'!$B$5:$B$604,"PPS",'Estimates'!$D$5:$D$604,'Status'!$F$6,'Estimates'!$E$5:$E$604,'Status'!$E$7))))</x:f>
      </x:c>
      <x:c r="L21" s="13" t="str">
        <x:f>IF(OR(COUNTA($A21)=0,'Status'!$G$6=""),"",IF(COUNTIFS('Estimates'!$A$5:$A$604,$A21,'Estimates'!$B$5:$B$604,"PPS",'Estimates'!$D$5:$D$604,'Status'!$G$6,'Estimates'!$E$5:$E$604,'Status'!$E$7)=0,"",IF(COUNTIFS('Estimates'!$A$5:$A$604,$A21,'Estimates'!$B$5:$B$604,"PPS",'Estimates'!$D$5:$D$604,'Status'!$G$6,'Estimates'!$E$5:$E$604,'Status'!$E$7)&gt;1,"DUP",SUMIFS('Estimates'!$F$5:$F$604,'Estimates'!$A$5:$A$604,$A21,'Estimates'!$B$5:$B$604,"PPS",'Estimates'!$D$5:$D$604,'Status'!$G$6,'Estimates'!$E$5:$E$604,'Status'!$E$7))))</x:f>
      </x:c>
      <x:c r="M21" s="13" t="str">
        <x:f>IF(COUNT(J21:L21)&lt;2,"",_xlfn.STDEV.S(J21:L21))</x:f>
      </x:c>
      <x:c r="N21" s="13" t="str">
        <x:f>IF(AND(ISNUMBER(K21),ISNUMBER(L21)),ABS(L21-K21),"")</x:f>
      </x:c>
      <x:c r="O21" s="14" t="str">
        <x:f>IF(AND(ISNUMBER(K21),ISNUMBER(L21)),IF(K21=0,"n.a.",ABS(L21-K21)/ABS(K21)),"")</x:f>
      </x:c>
      <x:c r="P21" s="2" t="str">
        <x:f>IF(COUNTA(A21)=0,"",IF('Status'!$B$6="","Set tolerance",IF(COUNT(J21:L21)&lt;3,"Need 3 levels",IF(OR(J21=0,K21=0),"Use abs. Δ",IF(AND(ABS(K21-J21)/ABS(J21)&lt;='Status'!$B$6,O21&lt;='Status'!$B$6),"Yes","No")))))</x:f>
      </x:c>
      <x:c r="Q21" s="13" t="str">
        <x:f>IF(AND(ISNUMBER(E21),ISNUMBER(L21)),ABS(E21-L21),"")</x:f>
      </x:c>
      <x:c r="R21" s="2" t="str">
        <x:f>IF(COUNTA(A21)=0,"",IF(COUNT(C21:E21,J21:L21)&gt;0,1,0))</x:f>
      </x:c>
      <x:c r="S21" s="2" t="str">
        <x:f>IF(COUNTA(A21)=0,"",IF(COUNTIFS($A$6:$A$69,A21)&gt;1,"Duplicate target",""))</x:f>
      </x:c>
    </x:row>
    <x:row r="22">
      <x:c r="A22" s="6"/>
      <x:c r="B22" s="20"/>
      <x:c r="C22" s="13" t="str">
        <x:f>IF(OR(COUNTA($A22)=0,'Status'!$E$5=""),"",IF(COUNTIFS('Estimates'!$A$5:$A$604,$A22,'Estimates'!$B$5:$B$604,"MPS",'Estimates'!$C$5:$C$604,'Status'!$E$5)=0,"",IF(COUNTIFS('Estimates'!$A$5:$A$604,$A22,'Estimates'!$B$5:$B$604,"MPS",'Estimates'!$C$5:$C$604,'Status'!$E$5)&gt;1,"DUP",SUMIFS('Estimates'!$F$5:$F$604,'Estimates'!$A$5:$A$604,$A22,'Estimates'!$B$5:$B$604,"MPS",'Estimates'!$C$5:$C$604,'Status'!$E$5))))</x:f>
      </x:c>
      <x:c r="D22" s="13" t="str">
        <x:f>IF(OR(COUNTA($A22)=0,'Status'!$F$5=""),"",IF(COUNTIFS('Estimates'!$A$5:$A$604,$A22,'Estimates'!$B$5:$B$604,"MPS",'Estimates'!$C$5:$C$604,'Status'!$F$5)=0,"",IF(COUNTIFS('Estimates'!$A$5:$A$604,$A22,'Estimates'!$B$5:$B$604,"MPS",'Estimates'!$C$5:$C$604,'Status'!$F$5)&gt;1,"DUP",SUMIFS('Estimates'!$F$5:$F$604,'Estimates'!$A$5:$A$604,$A22,'Estimates'!$B$5:$B$604,"MPS",'Estimates'!$C$5:$C$604,'Status'!$F$5))))</x:f>
      </x:c>
      <x:c r="E22" s="13" t="str">
        <x:f>IF(OR(COUNTA($A22)=0,'Status'!$G$5=""),"",IF(COUNTIFS('Estimates'!$A$5:$A$604,$A22,'Estimates'!$B$5:$B$604,"MPS",'Estimates'!$C$5:$C$604,'Status'!$G$5)=0,"",IF(COUNTIFS('Estimates'!$A$5:$A$604,$A22,'Estimates'!$B$5:$B$604,"MPS",'Estimates'!$C$5:$C$604,'Status'!$G$5)&gt;1,"DUP",SUMIFS('Estimates'!$F$5:$F$604,'Estimates'!$A$5:$A$604,$A22,'Estimates'!$B$5:$B$604,"MPS",'Estimates'!$C$5:$C$604,'Status'!$G$5))))</x:f>
      </x:c>
      <x:c r="F22" s="13" t="str">
        <x:f>IF(COUNT(C22:E22)&lt;2,"",_xlfn.STDEV.S(C22:E22))</x:f>
      </x:c>
      <x:c r="G22" s="13" t="str">
        <x:f>IF(AND(ISNUMBER(D22),ISNUMBER(E22)),ABS(E22-D22),"")</x:f>
      </x:c>
      <x:c r="H22" s="14" t="str">
        <x:f>IF(AND(ISNUMBER(D22),ISNUMBER(E22)),IF(D22=0,"n.a.",ABS(E22-D22)/ABS(D22)),"")</x:f>
      </x:c>
      <x:c r="I22" s="2" t="str">
        <x:f>IF(COUNTA(A22)=0,"",IF('Status'!$B$6="","Set tolerance",IF(COUNT(C22:E22)&lt;3,"Need 3 levels",IF(OR(C22=0,D22=0),"Use abs. Δ",IF(AND(ABS(D22-C22)/ABS(C22)&lt;='Status'!$B$6,H22&lt;='Status'!$B$6),"Yes","No")))))</x:f>
      </x:c>
      <x:c r="J22" s="13" t="str">
        <x:f>IF(OR(COUNTA($A22)=0,'Status'!$E$6=""),"",IF(COUNTIFS('Estimates'!$A$5:$A$604,$A22,'Estimates'!$B$5:$B$604,"PPS",'Estimates'!$D$5:$D$604,'Status'!$E$6,'Estimates'!$E$5:$E$604,'Status'!$E$7)=0,"",IF(COUNTIFS('Estimates'!$A$5:$A$604,$A22,'Estimates'!$B$5:$B$604,"PPS",'Estimates'!$D$5:$D$604,'Status'!$E$6,'Estimates'!$E$5:$E$604,'Status'!$E$7)&gt;1,"DUP",SUMIFS('Estimates'!$F$5:$F$604,'Estimates'!$A$5:$A$604,$A22,'Estimates'!$B$5:$B$604,"PPS",'Estimates'!$D$5:$D$604,'Status'!$E$6,'Estimates'!$E$5:$E$604,'Status'!$E$7))))</x:f>
      </x:c>
      <x:c r="K22" s="13" t="str">
        <x:f>IF(OR(COUNTA($A22)=0,'Status'!$F$6=""),"",IF(COUNTIFS('Estimates'!$A$5:$A$604,$A22,'Estimates'!$B$5:$B$604,"PPS",'Estimates'!$D$5:$D$604,'Status'!$F$6,'Estimates'!$E$5:$E$604,'Status'!$E$7)=0,"",IF(COUNTIFS('Estimates'!$A$5:$A$604,$A22,'Estimates'!$B$5:$B$604,"PPS",'Estimates'!$D$5:$D$604,'Status'!$F$6,'Estimates'!$E$5:$E$604,'Status'!$E$7)&gt;1,"DUP",SUMIFS('Estimates'!$F$5:$F$604,'Estimates'!$A$5:$A$604,$A22,'Estimates'!$B$5:$B$604,"PPS",'Estimates'!$D$5:$D$604,'Status'!$F$6,'Estimates'!$E$5:$E$604,'Status'!$E$7))))</x:f>
      </x:c>
      <x:c r="L22" s="13" t="str">
        <x:f>IF(OR(COUNTA($A22)=0,'Status'!$G$6=""),"",IF(COUNTIFS('Estimates'!$A$5:$A$604,$A22,'Estimates'!$B$5:$B$604,"PPS",'Estimates'!$D$5:$D$604,'Status'!$G$6,'Estimates'!$E$5:$E$604,'Status'!$E$7)=0,"",IF(COUNTIFS('Estimates'!$A$5:$A$604,$A22,'Estimates'!$B$5:$B$604,"PPS",'Estimates'!$D$5:$D$604,'Status'!$G$6,'Estimates'!$E$5:$E$604,'Status'!$E$7)&gt;1,"DUP",SUMIFS('Estimates'!$F$5:$F$604,'Estimates'!$A$5:$A$604,$A22,'Estimates'!$B$5:$B$604,"PPS",'Estimates'!$D$5:$D$604,'Status'!$G$6,'Estimates'!$E$5:$E$604,'Status'!$E$7))))</x:f>
      </x:c>
      <x:c r="M22" s="13" t="str">
        <x:f>IF(COUNT(J22:L22)&lt;2,"",_xlfn.STDEV.S(J22:L22))</x:f>
      </x:c>
      <x:c r="N22" s="13" t="str">
        <x:f>IF(AND(ISNUMBER(K22),ISNUMBER(L22)),ABS(L22-K22),"")</x:f>
      </x:c>
      <x:c r="O22" s="14" t="str">
        <x:f>IF(AND(ISNUMBER(K22),ISNUMBER(L22)),IF(K22=0,"n.a.",ABS(L22-K22)/ABS(K22)),"")</x:f>
      </x:c>
      <x:c r="P22" s="2" t="str">
        <x:f>IF(COUNTA(A22)=0,"",IF('Status'!$B$6="","Set tolerance",IF(COUNT(J22:L22)&lt;3,"Need 3 levels",IF(OR(J22=0,K22=0),"Use abs. Δ",IF(AND(ABS(K22-J22)/ABS(J22)&lt;='Status'!$B$6,O22&lt;='Status'!$B$6),"Yes","No")))))</x:f>
      </x:c>
      <x:c r="Q22" s="13" t="str">
        <x:f>IF(AND(ISNUMBER(E22),ISNUMBER(L22)),ABS(E22-L22),"")</x:f>
      </x:c>
      <x:c r="R22" s="2" t="str">
        <x:f>IF(COUNTA(A22)=0,"",IF(COUNT(C22:E22,J22:L22)&gt;0,1,0))</x:f>
      </x:c>
      <x:c r="S22" s="2" t="str">
        <x:f>IF(COUNTA(A22)=0,"",IF(COUNTIFS($A$6:$A$69,A22)&gt;1,"Duplicate target",""))</x:f>
      </x:c>
    </x:row>
    <x:row r="23">
      <x:c r="A23" s="6"/>
      <x:c r="B23" s="20"/>
      <x:c r="C23" s="13" t="str">
        <x:f>IF(OR(COUNTA($A23)=0,'Status'!$E$5=""),"",IF(COUNTIFS('Estimates'!$A$5:$A$604,$A23,'Estimates'!$B$5:$B$604,"MPS",'Estimates'!$C$5:$C$604,'Status'!$E$5)=0,"",IF(COUNTIFS('Estimates'!$A$5:$A$604,$A23,'Estimates'!$B$5:$B$604,"MPS",'Estimates'!$C$5:$C$604,'Status'!$E$5)&gt;1,"DUP",SUMIFS('Estimates'!$F$5:$F$604,'Estimates'!$A$5:$A$604,$A23,'Estimates'!$B$5:$B$604,"MPS",'Estimates'!$C$5:$C$604,'Status'!$E$5))))</x:f>
      </x:c>
      <x:c r="D23" s="13" t="str">
        <x:f>IF(OR(COUNTA($A23)=0,'Status'!$F$5=""),"",IF(COUNTIFS('Estimates'!$A$5:$A$604,$A23,'Estimates'!$B$5:$B$604,"MPS",'Estimates'!$C$5:$C$604,'Status'!$F$5)=0,"",IF(COUNTIFS('Estimates'!$A$5:$A$604,$A23,'Estimates'!$B$5:$B$604,"MPS",'Estimates'!$C$5:$C$604,'Status'!$F$5)&gt;1,"DUP",SUMIFS('Estimates'!$F$5:$F$604,'Estimates'!$A$5:$A$604,$A23,'Estimates'!$B$5:$B$604,"MPS",'Estimates'!$C$5:$C$604,'Status'!$F$5))))</x:f>
      </x:c>
      <x:c r="E23" s="13" t="str">
        <x:f>IF(OR(COUNTA($A23)=0,'Status'!$G$5=""),"",IF(COUNTIFS('Estimates'!$A$5:$A$604,$A23,'Estimates'!$B$5:$B$604,"MPS",'Estimates'!$C$5:$C$604,'Status'!$G$5)=0,"",IF(COUNTIFS('Estimates'!$A$5:$A$604,$A23,'Estimates'!$B$5:$B$604,"MPS",'Estimates'!$C$5:$C$604,'Status'!$G$5)&gt;1,"DUP",SUMIFS('Estimates'!$F$5:$F$604,'Estimates'!$A$5:$A$604,$A23,'Estimates'!$B$5:$B$604,"MPS",'Estimates'!$C$5:$C$604,'Status'!$G$5))))</x:f>
      </x:c>
      <x:c r="F23" s="13" t="str">
        <x:f>IF(COUNT(C23:E23)&lt;2,"",_xlfn.STDEV.S(C23:E23))</x:f>
      </x:c>
      <x:c r="G23" s="13" t="str">
        <x:f>IF(AND(ISNUMBER(D23),ISNUMBER(E23)),ABS(E23-D23),"")</x:f>
      </x:c>
      <x:c r="H23" s="14" t="str">
        <x:f>IF(AND(ISNUMBER(D23),ISNUMBER(E23)),IF(D23=0,"n.a.",ABS(E23-D23)/ABS(D23)),"")</x:f>
      </x:c>
      <x:c r="I23" s="2" t="str">
        <x:f>IF(COUNTA(A23)=0,"",IF('Status'!$B$6="","Set tolerance",IF(COUNT(C23:E23)&lt;3,"Need 3 levels",IF(OR(C23=0,D23=0),"Use abs. Δ",IF(AND(ABS(D23-C23)/ABS(C23)&lt;='Status'!$B$6,H23&lt;='Status'!$B$6),"Yes","No")))))</x:f>
      </x:c>
      <x:c r="J23" s="13" t="str">
        <x:f>IF(OR(COUNTA($A23)=0,'Status'!$E$6=""),"",IF(COUNTIFS('Estimates'!$A$5:$A$604,$A23,'Estimates'!$B$5:$B$604,"PPS",'Estimates'!$D$5:$D$604,'Status'!$E$6,'Estimates'!$E$5:$E$604,'Status'!$E$7)=0,"",IF(COUNTIFS('Estimates'!$A$5:$A$604,$A23,'Estimates'!$B$5:$B$604,"PPS",'Estimates'!$D$5:$D$604,'Status'!$E$6,'Estimates'!$E$5:$E$604,'Status'!$E$7)&gt;1,"DUP",SUMIFS('Estimates'!$F$5:$F$604,'Estimates'!$A$5:$A$604,$A23,'Estimates'!$B$5:$B$604,"PPS",'Estimates'!$D$5:$D$604,'Status'!$E$6,'Estimates'!$E$5:$E$604,'Status'!$E$7))))</x:f>
      </x:c>
      <x:c r="K23" s="13" t="str">
        <x:f>IF(OR(COUNTA($A23)=0,'Status'!$F$6=""),"",IF(COUNTIFS('Estimates'!$A$5:$A$604,$A23,'Estimates'!$B$5:$B$604,"PPS",'Estimates'!$D$5:$D$604,'Status'!$F$6,'Estimates'!$E$5:$E$604,'Status'!$E$7)=0,"",IF(COUNTIFS('Estimates'!$A$5:$A$604,$A23,'Estimates'!$B$5:$B$604,"PPS",'Estimates'!$D$5:$D$604,'Status'!$F$6,'Estimates'!$E$5:$E$604,'Status'!$E$7)&gt;1,"DUP",SUMIFS('Estimates'!$F$5:$F$604,'Estimates'!$A$5:$A$604,$A23,'Estimates'!$B$5:$B$604,"PPS",'Estimates'!$D$5:$D$604,'Status'!$F$6,'Estimates'!$E$5:$E$604,'Status'!$E$7))))</x:f>
      </x:c>
      <x:c r="L23" s="13" t="str">
        <x:f>IF(OR(COUNTA($A23)=0,'Status'!$G$6=""),"",IF(COUNTIFS('Estimates'!$A$5:$A$604,$A23,'Estimates'!$B$5:$B$604,"PPS",'Estimates'!$D$5:$D$604,'Status'!$G$6,'Estimates'!$E$5:$E$604,'Status'!$E$7)=0,"",IF(COUNTIFS('Estimates'!$A$5:$A$604,$A23,'Estimates'!$B$5:$B$604,"PPS",'Estimates'!$D$5:$D$604,'Status'!$G$6,'Estimates'!$E$5:$E$604,'Status'!$E$7)&gt;1,"DUP",SUMIFS('Estimates'!$F$5:$F$604,'Estimates'!$A$5:$A$604,$A23,'Estimates'!$B$5:$B$604,"PPS",'Estimates'!$D$5:$D$604,'Status'!$G$6,'Estimates'!$E$5:$E$604,'Status'!$E$7))))</x:f>
      </x:c>
      <x:c r="M23" s="13" t="str">
        <x:f>IF(COUNT(J23:L23)&lt;2,"",_xlfn.STDEV.S(J23:L23))</x:f>
      </x:c>
      <x:c r="N23" s="13" t="str">
        <x:f>IF(AND(ISNUMBER(K23),ISNUMBER(L23)),ABS(L23-K23),"")</x:f>
      </x:c>
      <x:c r="O23" s="14" t="str">
        <x:f>IF(AND(ISNUMBER(K23),ISNUMBER(L23)),IF(K23=0,"n.a.",ABS(L23-K23)/ABS(K23)),"")</x:f>
      </x:c>
      <x:c r="P23" s="2" t="str">
        <x:f>IF(COUNTA(A23)=0,"",IF('Status'!$B$6="","Set tolerance",IF(COUNT(J23:L23)&lt;3,"Need 3 levels",IF(OR(J23=0,K23=0),"Use abs. Δ",IF(AND(ABS(K23-J23)/ABS(J23)&lt;='Status'!$B$6,O23&lt;='Status'!$B$6),"Yes","No")))))</x:f>
      </x:c>
      <x:c r="Q23" s="13" t="str">
        <x:f>IF(AND(ISNUMBER(E23),ISNUMBER(L23)),ABS(E23-L23),"")</x:f>
      </x:c>
      <x:c r="R23" s="2" t="str">
        <x:f>IF(COUNTA(A23)=0,"",IF(COUNT(C23:E23,J23:L23)&gt;0,1,0))</x:f>
      </x:c>
      <x:c r="S23" s="2" t="str">
        <x:f>IF(COUNTA(A23)=0,"",IF(COUNTIFS($A$6:$A$69,A23)&gt;1,"Duplicate target",""))</x:f>
      </x:c>
    </x:row>
    <x:row r="24">
      <x:c r="A24" s="6"/>
      <x:c r="B24" s="20"/>
      <x:c r="C24" s="13" t="str">
        <x:f>IF(OR(COUNTA($A24)=0,'Status'!$E$5=""),"",IF(COUNTIFS('Estimates'!$A$5:$A$604,$A24,'Estimates'!$B$5:$B$604,"MPS",'Estimates'!$C$5:$C$604,'Status'!$E$5)=0,"",IF(COUNTIFS('Estimates'!$A$5:$A$604,$A24,'Estimates'!$B$5:$B$604,"MPS",'Estimates'!$C$5:$C$604,'Status'!$E$5)&gt;1,"DUP",SUMIFS('Estimates'!$F$5:$F$604,'Estimates'!$A$5:$A$604,$A24,'Estimates'!$B$5:$B$604,"MPS",'Estimates'!$C$5:$C$604,'Status'!$E$5))))</x:f>
      </x:c>
      <x:c r="D24" s="13" t="str">
        <x:f>IF(OR(COUNTA($A24)=0,'Status'!$F$5=""),"",IF(COUNTIFS('Estimates'!$A$5:$A$604,$A24,'Estimates'!$B$5:$B$604,"MPS",'Estimates'!$C$5:$C$604,'Status'!$F$5)=0,"",IF(COUNTIFS('Estimates'!$A$5:$A$604,$A24,'Estimates'!$B$5:$B$604,"MPS",'Estimates'!$C$5:$C$604,'Status'!$F$5)&gt;1,"DUP",SUMIFS('Estimates'!$F$5:$F$604,'Estimates'!$A$5:$A$604,$A24,'Estimates'!$B$5:$B$604,"MPS",'Estimates'!$C$5:$C$604,'Status'!$F$5))))</x:f>
      </x:c>
      <x:c r="E24" s="13" t="str">
        <x:f>IF(OR(COUNTA($A24)=0,'Status'!$G$5=""),"",IF(COUNTIFS('Estimates'!$A$5:$A$604,$A24,'Estimates'!$B$5:$B$604,"MPS",'Estimates'!$C$5:$C$604,'Status'!$G$5)=0,"",IF(COUNTIFS('Estimates'!$A$5:$A$604,$A24,'Estimates'!$B$5:$B$604,"MPS",'Estimates'!$C$5:$C$604,'Status'!$G$5)&gt;1,"DUP",SUMIFS('Estimates'!$F$5:$F$604,'Estimates'!$A$5:$A$604,$A24,'Estimates'!$B$5:$B$604,"MPS",'Estimates'!$C$5:$C$604,'Status'!$G$5))))</x:f>
      </x:c>
      <x:c r="F24" s="13" t="str">
        <x:f>IF(COUNT(C24:E24)&lt;2,"",_xlfn.STDEV.S(C24:E24))</x:f>
      </x:c>
      <x:c r="G24" s="13" t="str">
        <x:f>IF(AND(ISNUMBER(D24),ISNUMBER(E24)),ABS(E24-D24),"")</x:f>
      </x:c>
      <x:c r="H24" s="14" t="str">
        <x:f>IF(AND(ISNUMBER(D24),ISNUMBER(E24)),IF(D24=0,"n.a.",ABS(E24-D24)/ABS(D24)),"")</x:f>
      </x:c>
      <x:c r="I24" s="2" t="str">
        <x:f>IF(COUNTA(A24)=0,"",IF('Status'!$B$6="","Set tolerance",IF(COUNT(C24:E24)&lt;3,"Need 3 levels",IF(OR(C24=0,D24=0),"Use abs. Δ",IF(AND(ABS(D24-C24)/ABS(C24)&lt;='Status'!$B$6,H24&lt;='Status'!$B$6),"Yes","No")))))</x:f>
      </x:c>
      <x:c r="J24" s="13" t="str">
        <x:f>IF(OR(COUNTA($A24)=0,'Status'!$E$6=""),"",IF(COUNTIFS('Estimates'!$A$5:$A$604,$A24,'Estimates'!$B$5:$B$604,"PPS",'Estimates'!$D$5:$D$604,'Status'!$E$6,'Estimates'!$E$5:$E$604,'Status'!$E$7)=0,"",IF(COUNTIFS('Estimates'!$A$5:$A$604,$A24,'Estimates'!$B$5:$B$604,"PPS",'Estimates'!$D$5:$D$604,'Status'!$E$6,'Estimates'!$E$5:$E$604,'Status'!$E$7)&gt;1,"DUP",SUMIFS('Estimates'!$F$5:$F$604,'Estimates'!$A$5:$A$604,$A24,'Estimates'!$B$5:$B$604,"PPS",'Estimates'!$D$5:$D$604,'Status'!$E$6,'Estimates'!$E$5:$E$604,'Status'!$E$7))))</x:f>
      </x:c>
      <x:c r="K24" s="13" t="str">
        <x:f>IF(OR(COUNTA($A24)=0,'Status'!$F$6=""),"",IF(COUNTIFS('Estimates'!$A$5:$A$604,$A24,'Estimates'!$B$5:$B$604,"PPS",'Estimates'!$D$5:$D$604,'Status'!$F$6,'Estimates'!$E$5:$E$604,'Status'!$E$7)=0,"",IF(COUNTIFS('Estimates'!$A$5:$A$604,$A24,'Estimates'!$B$5:$B$604,"PPS",'Estimates'!$D$5:$D$604,'Status'!$F$6,'Estimates'!$E$5:$E$604,'Status'!$E$7)&gt;1,"DUP",SUMIFS('Estimates'!$F$5:$F$604,'Estimates'!$A$5:$A$604,$A24,'Estimates'!$B$5:$B$604,"PPS",'Estimates'!$D$5:$D$604,'Status'!$F$6,'Estimates'!$E$5:$E$604,'Status'!$E$7))))</x:f>
      </x:c>
      <x:c r="L24" s="13" t="str">
        <x:f>IF(OR(COUNTA($A24)=0,'Status'!$G$6=""),"",IF(COUNTIFS('Estimates'!$A$5:$A$604,$A24,'Estimates'!$B$5:$B$604,"PPS",'Estimates'!$D$5:$D$604,'Status'!$G$6,'Estimates'!$E$5:$E$604,'Status'!$E$7)=0,"",IF(COUNTIFS('Estimates'!$A$5:$A$604,$A24,'Estimates'!$B$5:$B$604,"PPS",'Estimates'!$D$5:$D$604,'Status'!$G$6,'Estimates'!$E$5:$E$604,'Status'!$E$7)&gt;1,"DUP",SUMIFS('Estimates'!$F$5:$F$604,'Estimates'!$A$5:$A$604,$A24,'Estimates'!$B$5:$B$604,"PPS",'Estimates'!$D$5:$D$604,'Status'!$G$6,'Estimates'!$E$5:$E$604,'Status'!$E$7))))</x:f>
      </x:c>
      <x:c r="M24" s="13" t="str">
        <x:f>IF(COUNT(J24:L24)&lt;2,"",_xlfn.STDEV.S(J24:L24))</x:f>
      </x:c>
      <x:c r="N24" s="13" t="str">
        <x:f>IF(AND(ISNUMBER(K24),ISNUMBER(L24)),ABS(L24-K24),"")</x:f>
      </x:c>
      <x:c r="O24" s="14" t="str">
        <x:f>IF(AND(ISNUMBER(K24),ISNUMBER(L24)),IF(K24=0,"n.a.",ABS(L24-K24)/ABS(K24)),"")</x:f>
      </x:c>
      <x:c r="P24" s="2" t="str">
        <x:f>IF(COUNTA(A24)=0,"",IF('Status'!$B$6="","Set tolerance",IF(COUNT(J24:L24)&lt;3,"Need 3 levels",IF(OR(J24=0,K24=0),"Use abs. Δ",IF(AND(ABS(K24-J24)/ABS(J24)&lt;='Status'!$B$6,O24&lt;='Status'!$B$6),"Yes","No")))))</x:f>
      </x:c>
      <x:c r="Q24" s="13" t="str">
        <x:f>IF(AND(ISNUMBER(E24),ISNUMBER(L24)),ABS(E24-L24),"")</x:f>
      </x:c>
      <x:c r="R24" s="2" t="str">
        <x:f>IF(COUNTA(A24)=0,"",IF(COUNT(C24:E24,J24:L24)&gt;0,1,0))</x:f>
      </x:c>
      <x:c r="S24" s="2" t="str">
        <x:f>IF(COUNTA(A24)=0,"",IF(COUNTIFS($A$6:$A$69,A24)&gt;1,"Duplicate target",""))</x:f>
      </x:c>
    </x:row>
    <x:row r="25">
      <x:c r="A25" s="6"/>
      <x:c r="B25" s="20"/>
      <x:c r="C25" s="13" t="str">
        <x:f>IF(OR(COUNTA($A25)=0,'Status'!$E$5=""),"",IF(COUNTIFS('Estimates'!$A$5:$A$604,$A25,'Estimates'!$B$5:$B$604,"MPS",'Estimates'!$C$5:$C$604,'Status'!$E$5)=0,"",IF(COUNTIFS('Estimates'!$A$5:$A$604,$A25,'Estimates'!$B$5:$B$604,"MPS",'Estimates'!$C$5:$C$604,'Status'!$E$5)&gt;1,"DUP",SUMIFS('Estimates'!$F$5:$F$604,'Estimates'!$A$5:$A$604,$A25,'Estimates'!$B$5:$B$604,"MPS",'Estimates'!$C$5:$C$604,'Status'!$E$5))))</x:f>
      </x:c>
      <x:c r="D25" s="13" t="str">
        <x:f>IF(OR(COUNTA($A25)=0,'Status'!$F$5=""),"",IF(COUNTIFS('Estimates'!$A$5:$A$604,$A25,'Estimates'!$B$5:$B$604,"MPS",'Estimates'!$C$5:$C$604,'Status'!$F$5)=0,"",IF(COUNTIFS('Estimates'!$A$5:$A$604,$A25,'Estimates'!$B$5:$B$604,"MPS",'Estimates'!$C$5:$C$604,'Status'!$F$5)&gt;1,"DUP",SUMIFS('Estimates'!$F$5:$F$604,'Estimates'!$A$5:$A$604,$A25,'Estimates'!$B$5:$B$604,"MPS",'Estimates'!$C$5:$C$604,'Status'!$F$5))))</x:f>
      </x:c>
      <x:c r="E25" s="13" t="str">
        <x:f>IF(OR(COUNTA($A25)=0,'Status'!$G$5=""),"",IF(COUNTIFS('Estimates'!$A$5:$A$604,$A25,'Estimates'!$B$5:$B$604,"MPS",'Estimates'!$C$5:$C$604,'Status'!$G$5)=0,"",IF(COUNTIFS('Estimates'!$A$5:$A$604,$A25,'Estimates'!$B$5:$B$604,"MPS",'Estimates'!$C$5:$C$604,'Status'!$G$5)&gt;1,"DUP",SUMIFS('Estimates'!$F$5:$F$604,'Estimates'!$A$5:$A$604,$A25,'Estimates'!$B$5:$B$604,"MPS",'Estimates'!$C$5:$C$604,'Status'!$G$5))))</x:f>
      </x:c>
      <x:c r="F25" s="13" t="str">
        <x:f>IF(COUNT(C25:E25)&lt;2,"",_xlfn.STDEV.S(C25:E25))</x:f>
      </x:c>
      <x:c r="G25" s="13" t="str">
        <x:f>IF(AND(ISNUMBER(D25),ISNUMBER(E25)),ABS(E25-D25),"")</x:f>
      </x:c>
      <x:c r="H25" s="14" t="str">
        <x:f>IF(AND(ISNUMBER(D25),ISNUMBER(E25)),IF(D25=0,"n.a.",ABS(E25-D25)/ABS(D25)),"")</x:f>
      </x:c>
      <x:c r="I25" s="2" t="str">
        <x:f>IF(COUNTA(A25)=0,"",IF('Status'!$B$6="","Set tolerance",IF(COUNT(C25:E25)&lt;3,"Need 3 levels",IF(OR(C25=0,D25=0),"Use abs. Δ",IF(AND(ABS(D25-C25)/ABS(C25)&lt;='Status'!$B$6,H25&lt;='Status'!$B$6),"Yes","No")))))</x:f>
      </x:c>
      <x:c r="J25" s="13" t="str">
        <x:f>IF(OR(COUNTA($A25)=0,'Status'!$E$6=""),"",IF(COUNTIFS('Estimates'!$A$5:$A$604,$A25,'Estimates'!$B$5:$B$604,"PPS",'Estimates'!$D$5:$D$604,'Status'!$E$6,'Estimates'!$E$5:$E$604,'Status'!$E$7)=0,"",IF(COUNTIFS('Estimates'!$A$5:$A$604,$A25,'Estimates'!$B$5:$B$604,"PPS",'Estimates'!$D$5:$D$604,'Status'!$E$6,'Estimates'!$E$5:$E$604,'Status'!$E$7)&gt;1,"DUP",SUMIFS('Estimates'!$F$5:$F$604,'Estimates'!$A$5:$A$604,$A25,'Estimates'!$B$5:$B$604,"PPS",'Estimates'!$D$5:$D$604,'Status'!$E$6,'Estimates'!$E$5:$E$604,'Status'!$E$7))))</x:f>
      </x:c>
      <x:c r="K25" s="13" t="str">
        <x:f>IF(OR(COUNTA($A25)=0,'Status'!$F$6=""),"",IF(COUNTIFS('Estimates'!$A$5:$A$604,$A25,'Estimates'!$B$5:$B$604,"PPS",'Estimates'!$D$5:$D$604,'Status'!$F$6,'Estimates'!$E$5:$E$604,'Status'!$E$7)=0,"",IF(COUNTIFS('Estimates'!$A$5:$A$604,$A25,'Estimates'!$B$5:$B$604,"PPS",'Estimates'!$D$5:$D$604,'Status'!$F$6,'Estimates'!$E$5:$E$604,'Status'!$E$7)&gt;1,"DUP",SUMIFS('Estimates'!$F$5:$F$604,'Estimates'!$A$5:$A$604,$A25,'Estimates'!$B$5:$B$604,"PPS",'Estimates'!$D$5:$D$604,'Status'!$F$6,'Estimates'!$E$5:$E$604,'Status'!$E$7))))</x:f>
      </x:c>
      <x:c r="L25" s="13" t="str">
        <x:f>IF(OR(COUNTA($A25)=0,'Status'!$G$6=""),"",IF(COUNTIFS('Estimates'!$A$5:$A$604,$A25,'Estimates'!$B$5:$B$604,"PPS",'Estimates'!$D$5:$D$604,'Status'!$G$6,'Estimates'!$E$5:$E$604,'Status'!$E$7)=0,"",IF(COUNTIFS('Estimates'!$A$5:$A$604,$A25,'Estimates'!$B$5:$B$604,"PPS",'Estimates'!$D$5:$D$604,'Status'!$G$6,'Estimates'!$E$5:$E$604,'Status'!$E$7)&gt;1,"DUP",SUMIFS('Estimates'!$F$5:$F$604,'Estimates'!$A$5:$A$604,$A25,'Estimates'!$B$5:$B$604,"PPS",'Estimates'!$D$5:$D$604,'Status'!$G$6,'Estimates'!$E$5:$E$604,'Status'!$E$7))))</x:f>
      </x:c>
      <x:c r="M25" s="13" t="str">
        <x:f>IF(COUNT(J25:L25)&lt;2,"",_xlfn.STDEV.S(J25:L25))</x:f>
      </x:c>
      <x:c r="N25" s="13" t="str">
        <x:f>IF(AND(ISNUMBER(K25),ISNUMBER(L25)),ABS(L25-K25),"")</x:f>
      </x:c>
      <x:c r="O25" s="14" t="str">
        <x:f>IF(AND(ISNUMBER(K25),ISNUMBER(L25)),IF(K25=0,"n.a.",ABS(L25-K25)/ABS(K25)),"")</x:f>
      </x:c>
      <x:c r="P25" s="2" t="str">
        <x:f>IF(COUNTA(A25)=0,"",IF('Status'!$B$6="","Set tolerance",IF(COUNT(J25:L25)&lt;3,"Need 3 levels",IF(OR(J25=0,K25=0),"Use abs. Δ",IF(AND(ABS(K25-J25)/ABS(J25)&lt;='Status'!$B$6,O25&lt;='Status'!$B$6),"Yes","No")))))</x:f>
      </x:c>
      <x:c r="Q25" s="13" t="str">
        <x:f>IF(AND(ISNUMBER(E25),ISNUMBER(L25)),ABS(E25-L25),"")</x:f>
      </x:c>
      <x:c r="R25" s="2" t="str">
        <x:f>IF(COUNTA(A25)=0,"",IF(COUNT(C25:E25,J25:L25)&gt;0,1,0))</x:f>
      </x:c>
      <x:c r="S25" s="2" t="str">
        <x:f>IF(COUNTA(A25)=0,"",IF(COUNTIFS($A$6:$A$69,A25)&gt;1,"Duplicate target",""))</x:f>
      </x:c>
    </x:row>
    <x:row r="26">
      <x:c r="A26" s="6"/>
      <x:c r="B26" s="20"/>
      <x:c r="C26" s="13" t="str">
        <x:f>IF(OR(COUNTA($A26)=0,'Status'!$E$5=""),"",IF(COUNTIFS('Estimates'!$A$5:$A$604,$A26,'Estimates'!$B$5:$B$604,"MPS",'Estimates'!$C$5:$C$604,'Status'!$E$5)=0,"",IF(COUNTIFS('Estimates'!$A$5:$A$604,$A26,'Estimates'!$B$5:$B$604,"MPS",'Estimates'!$C$5:$C$604,'Status'!$E$5)&gt;1,"DUP",SUMIFS('Estimates'!$F$5:$F$604,'Estimates'!$A$5:$A$604,$A26,'Estimates'!$B$5:$B$604,"MPS",'Estimates'!$C$5:$C$604,'Status'!$E$5))))</x:f>
      </x:c>
      <x:c r="D26" s="13" t="str">
        <x:f>IF(OR(COUNTA($A26)=0,'Status'!$F$5=""),"",IF(COUNTIFS('Estimates'!$A$5:$A$604,$A26,'Estimates'!$B$5:$B$604,"MPS",'Estimates'!$C$5:$C$604,'Status'!$F$5)=0,"",IF(COUNTIFS('Estimates'!$A$5:$A$604,$A26,'Estimates'!$B$5:$B$604,"MPS",'Estimates'!$C$5:$C$604,'Status'!$F$5)&gt;1,"DUP",SUMIFS('Estimates'!$F$5:$F$604,'Estimates'!$A$5:$A$604,$A26,'Estimates'!$B$5:$B$604,"MPS",'Estimates'!$C$5:$C$604,'Status'!$F$5))))</x:f>
      </x:c>
      <x:c r="E26" s="13" t="str">
        <x:f>IF(OR(COUNTA($A26)=0,'Status'!$G$5=""),"",IF(COUNTIFS('Estimates'!$A$5:$A$604,$A26,'Estimates'!$B$5:$B$604,"MPS",'Estimates'!$C$5:$C$604,'Status'!$G$5)=0,"",IF(COUNTIFS('Estimates'!$A$5:$A$604,$A26,'Estimates'!$B$5:$B$604,"MPS",'Estimates'!$C$5:$C$604,'Status'!$G$5)&gt;1,"DUP",SUMIFS('Estimates'!$F$5:$F$604,'Estimates'!$A$5:$A$604,$A26,'Estimates'!$B$5:$B$604,"MPS",'Estimates'!$C$5:$C$604,'Status'!$G$5))))</x:f>
      </x:c>
      <x:c r="F26" s="13" t="str">
        <x:f>IF(COUNT(C26:E26)&lt;2,"",_xlfn.STDEV.S(C26:E26))</x:f>
      </x:c>
      <x:c r="G26" s="13" t="str">
        <x:f>IF(AND(ISNUMBER(D26),ISNUMBER(E26)),ABS(E26-D26),"")</x:f>
      </x:c>
      <x:c r="H26" s="14" t="str">
        <x:f>IF(AND(ISNUMBER(D26),ISNUMBER(E26)),IF(D26=0,"n.a.",ABS(E26-D26)/ABS(D26)),"")</x:f>
      </x:c>
      <x:c r="I26" s="2" t="str">
        <x:f>IF(COUNTA(A26)=0,"",IF('Status'!$B$6="","Set tolerance",IF(COUNT(C26:E26)&lt;3,"Need 3 levels",IF(OR(C26=0,D26=0),"Use abs. Δ",IF(AND(ABS(D26-C26)/ABS(C26)&lt;='Status'!$B$6,H26&lt;='Status'!$B$6),"Yes","No")))))</x:f>
      </x:c>
      <x:c r="J26" s="13" t="str">
        <x:f>IF(OR(COUNTA($A26)=0,'Status'!$E$6=""),"",IF(COUNTIFS('Estimates'!$A$5:$A$604,$A26,'Estimates'!$B$5:$B$604,"PPS",'Estimates'!$D$5:$D$604,'Status'!$E$6,'Estimates'!$E$5:$E$604,'Status'!$E$7)=0,"",IF(COUNTIFS('Estimates'!$A$5:$A$604,$A26,'Estimates'!$B$5:$B$604,"PPS",'Estimates'!$D$5:$D$604,'Status'!$E$6,'Estimates'!$E$5:$E$604,'Status'!$E$7)&gt;1,"DUP",SUMIFS('Estimates'!$F$5:$F$604,'Estimates'!$A$5:$A$604,$A26,'Estimates'!$B$5:$B$604,"PPS",'Estimates'!$D$5:$D$604,'Status'!$E$6,'Estimates'!$E$5:$E$604,'Status'!$E$7))))</x:f>
      </x:c>
      <x:c r="K26" s="13" t="str">
        <x:f>IF(OR(COUNTA($A26)=0,'Status'!$F$6=""),"",IF(COUNTIFS('Estimates'!$A$5:$A$604,$A26,'Estimates'!$B$5:$B$604,"PPS",'Estimates'!$D$5:$D$604,'Status'!$F$6,'Estimates'!$E$5:$E$604,'Status'!$E$7)=0,"",IF(COUNTIFS('Estimates'!$A$5:$A$604,$A26,'Estimates'!$B$5:$B$604,"PPS",'Estimates'!$D$5:$D$604,'Status'!$F$6,'Estimates'!$E$5:$E$604,'Status'!$E$7)&gt;1,"DUP",SUMIFS('Estimates'!$F$5:$F$604,'Estimates'!$A$5:$A$604,$A26,'Estimates'!$B$5:$B$604,"PPS",'Estimates'!$D$5:$D$604,'Status'!$F$6,'Estimates'!$E$5:$E$604,'Status'!$E$7))))</x:f>
      </x:c>
      <x:c r="L26" s="13" t="str">
        <x:f>IF(OR(COUNTA($A26)=0,'Status'!$G$6=""),"",IF(COUNTIFS('Estimates'!$A$5:$A$604,$A26,'Estimates'!$B$5:$B$604,"PPS",'Estimates'!$D$5:$D$604,'Status'!$G$6,'Estimates'!$E$5:$E$604,'Status'!$E$7)=0,"",IF(COUNTIFS('Estimates'!$A$5:$A$604,$A26,'Estimates'!$B$5:$B$604,"PPS",'Estimates'!$D$5:$D$604,'Status'!$G$6,'Estimates'!$E$5:$E$604,'Status'!$E$7)&gt;1,"DUP",SUMIFS('Estimates'!$F$5:$F$604,'Estimates'!$A$5:$A$604,$A26,'Estimates'!$B$5:$B$604,"PPS",'Estimates'!$D$5:$D$604,'Status'!$G$6,'Estimates'!$E$5:$E$604,'Status'!$E$7))))</x:f>
      </x:c>
      <x:c r="M26" s="13" t="str">
        <x:f>IF(COUNT(J26:L26)&lt;2,"",_xlfn.STDEV.S(J26:L26))</x:f>
      </x:c>
      <x:c r="N26" s="13" t="str">
        <x:f>IF(AND(ISNUMBER(K26),ISNUMBER(L26)),ABS(L26-K26),"")</x:f>
      </x:c>
      <x:c r="O26" s="14" t="str">
        <x:f>IF(AND(ISNUMBER(K26),ISNUMBER(L26)),IF(K26=0,"n.a.",ABS(L26-K26)/ABS(K26)),"")</x:f>
      </x:c>
      <x:c r="P26" s="2" t="str">
        <x:f>IF(COUNTA(A26)=0,"",IF('Status'!$B$6="","Set tolerance",IF(COUNT(J26:L26)&lt;3,"Need 3 levels",IF(OR(J26=0,K26=0),"Use abs. Δ",IF(AND(ABS(K26-J26)/ABS(J26)&lt;='Status'!$B$6,O26&lt;='Status'!$B$6),"Yes","No")))))</x:f>
      </x:c>
      <x:c r="Q26" s="13" t="str">
        <x:f>IF(AND(ISNUMBER(E26),ISNUMBER(L26)),ABS(E26-L26),"")</x:f>
      </x:c>
      <x:c r="R26" s="2" t="str">
        <x:f>IF(COUNTA(A26)=0,"",IF(COUNT(C26:E26,J26:L26)&gt;0,1,0))</x:f>
      </x:c>
      <x:c r="S26" s="2" t="str">
        <x:f>IF(COUNTA(A26)=0,"",IF(COUNTIFS($A$6:$A$69,A26)&gt;1,"Duplicate target",""))</x:f>
      </x:c>
    </x:row>
    <x:row r="27">
      <x:c r="A27" s="6"/>
      <x:c r="B27" s="20"/>
      <x:c r="C27" s="13" t="str">
        <x:f>IF(OR(COUNTA($A27)=0,'Status'!$E$5=""),"",IF(COUNTIFS('Estimates'!$A$5:$A$604,$A27,'Estimates'!$B$5:$B$604,"MPS",'Estimates'!$C$5:$C$604,'Status'!$E$5)=0,"",IF(COUNTIFS('Estimates'!$A$5:$A$604,$A27,'Estimates'!$B$5:$B$604,"MPS",'Estimates'!$C$5:$C$604,'Status'!$E$5)&gt;1,"DUP",SUMIFS('Estimates'!$F$5:$F$604,'Estimates'!$A$5:$A$604,$A27,'Estimates'!$B$5:$B$604,"MPS",'Estimates'!$C$5:$C$604,'Status'!$E$5))))</x:f>
      </x:c>
      <x:c r="D27" s="13" t="str">
        <x:f>IF(OR(COUNTA($A27)=0,'Status'!$F$5=""),"",IF(COUNTIFS('Estimates'!$A$5:$A$604,$A27,'Estimates'!$B$5:$B$604,"MPS",'Estimates'!$C$5:$C$604,'Status'!$F$5)=0,"",IF(COUNTIFS('Estimates'!$A$5:$A$604,$A27,'Estimates'!$B$5:$B$604,"MPS",'Estimates'!$C$5:$C$604,'Status'!$F$5)&gt;1,"DUP",SUMIFS('Estimates'!$F$5:$F$604,'Estimates'!$A$5:$A$604,$A27,'Estimates'!$B$5:$B$604,"MPS",'Estimates'!$C$5:$C$604,'Status'!$F$5))))</x:f>
      </x:c>
      <x:c r="E27" s="13" t="str">
        <x:f>IF(OR(COUNTA($A27)=0,'Status'!$G$5=""),"",IF(COUNTIFS('Estimates'!$A$5:$A$604,$A27,'Estimates'!$B$5:$B$604,"MPS",'Estimates'!$C$5:$C$604,'Status'!$G$5)=0,"",IF(COUNTIFS('Estimates'!$A$5:$A$604,$A27,'Estimates'!$B$5:$B$604,"MPS",'Estimates'!$C$5:$C$604,'Status'!$G$5)&gt;1,"DUP",SUMIFS('Estimates'!$F$5:$F$604,'Estimates'!$A$5:$A$604,$A27,'Estimates'!$B$5:$B$604,"MPS",'Estimates'!$C$5:$C$604,'Status'!$G$5))))</x:f>
      </x:c>
      <x:c r="F27" s="13" t="str">
        <x:f>IF(COUNT(C27:E27)&lt;2,"",_xlfn.STDEV.S(C27:E27))</x:f>
      </x:c>
      <x:c r="G27" s="13" t="str">
        <x:f>IF(AND(ISNUMBER(D27),ISNUMBER(E27)),ABS(E27-D27),"")</x:f>
      </x:c>
      <x:c r="H27" s="14" t="str">
        <x:f>IF(AND(ISNUMBER(D27),ISNUMBER(E27)),IF(D27=0,"n.a.",ABS(E27-D27)/ABS(D27)),"")</x:f>
      </x:c>
      <x:c r="I27" s="2" t="str">
        <x:f>IF(COUNTA(A27)=0,"",IF('Status'!$B$6="","Set tolerance",IF(COUNT(C27:E27)&lt;3,"Need 3 levels",IF(OR(C27=0,D27=0),"Use abs. Δ",IF(AND(ABS(D27-C27)/ABS(C27)&lt;='Status'!$B$6,H27&lt;='Status'!$B$6),"Yes","No")))))</x:f>
      </x:c>
      <x:c r="J27" s="13" t="str">
        <x:f>IF(OR(COUNTA($A27)=0,'Status'!$E$6=""),"",IF(COUNTIFS('Estimates'!$A$5:$A$604,$A27,'Estimates'!$B$5:$B$604,"PPS",'Estimates'!$D$5:$D$604,'Status'!$E$6,'Estimates'!$E$5:$E$604,'Status'!$E$7)=0,"",IF(COUNTIFS('Estimates'!$A$5:$A$604,$A27,'Estimates'!$B$5:$B$604,"PPS",'Estimates'!$D$5:$D$604,'Status'!$E$6,'Estimates'!$E$5:$E$604,'Status'!$E$7)&gt;1,"DUP",SUMIFS('Estimates'!$F$5:$F$604,'Estimates'!$A$5:$A$604,$A27,'Estimates'!$B$5:$B$604,"PPS",'Estimates'!$D$5:$D$604,'Status'!$E$6,'Estimates'!$E$5:$E$604,'Status'!$E$7))))</x:f>
      </x:c>
      <x:c r="K27" s="13" t="str">
        <x:f>IF(OR(COUNTA($A27)=0,'Status'!$F$6=""),"",IF(COUNTIFS('Estimates'!$A$5:$A$604,$A27,'Estimates'!$B$5:$B$604,"PPS",'Estimates'!$D$5:$D$604,'Status'!$F$6,'Estimates'!$E$5:$E$604,'Status'!$E$7)=0,"",IF(COUNTIFS('Estimates'!$A$5:$A$604,$A27,'Estimates'!$B$5:$B$604,"PPS",'Estimates'!$D$5:$D$604,'Status'!$F$6,'Estimates'!$E$5:$E$604,'Status'!$E$7)&gt;1,"DUP",SUMIFS('Estimates'!$F$5:$F$604,'Estimates'!$A$5:$A$604,$A27,'Estimates'!$B$5:$B$604,"PPS",'Estimates'!$D$5:$D$604,'Status'!$F$6,'Estimates'!$E$5:$E$604,'Status'!$E$7))))</x:f>
      </x:c>
      <x:c r="L27" s="13" t="str">
        <x:f>IF(OR(COUNTA($A27)=0,'Status'!$G$6=""),"",IF(COUNTIFS('Estimates'!$A$5:$A$604,$A27,'Estimates'!$B$5:$B$604,"PPS",'Estimates'!$D$5:$D$604,'Status'!$G$6,'Estimates'!$E$5:$E$604,'Status'!$E$7)=0,"",IF(COUNTIFS('Estimates'!$A$5:$A$604,$A27,'Estimates'!$B$5:$B$604,"PPS",'Estimates'!$D$5:$D$604,'Status'!$G$6,'Estimates'!$E$5:$E$604,'Status'!$E$7)&gt;1,"DUP",SUMIFS('Estimates'!$F$5:$F$604,'Estimates'!$A$5:$A$604,$A27,'Estimates'!$B$5:$B$604,"PPS",'Estimates'!$D$5:$D$604,'Status'!$G$6,'Estimates'!$E$5:$E$604,'Status'!$E$7))))</x:f>
      </x:c>
      <x:c r="M27" s="13" t="str">
        <x:f>IF(COUNT(J27:L27)&lt;2,"",_xlfn.STDEV.S(J27:L27))</x:f>
      </x:c>
      <x:c r="N27" s="13" t="str">
        <x:f>IF(AND(ISNUMBER(K27),ISNUMBER(L27)),ABS(L27-K27),"")</x:f>
      </x:c>
      <x:c r="O27" s="14" t="str">
        <x:f>IF(AND(ISNUMBER(K27),ISNUMBER(L27)),IF(K27=0,"n.a.",ABS(L27-K27)/ABS(K27)),"")</x:f>
      </x:c>
      <x:c r="P27" s="2" t="str">
        <x:f>IF(COUNTA(A27)=0,"",IF('Status'!$B$6="","Set tolerance",IF(COUNT(J27:L27)&lt;3,"Need 3 levels",IF(OR(J27=0,K27=0),"Use abs. Δ",IF(AND(ABS(K27-J27)/ABS(J27)&lt;='Status'!$B$6,O27&lt;='Status'!$B$6),"Yes","No")))))</x:f>
      </x:c>
      <x:c r="Q27" s="13" t="str">
        <x:f>IF(AND(ISNUMBER(E27),ISNUMBER(L27)),ABS(E27-L27),"")</x:f>
      </x:c>
      <x:c r="R27" s="2" t="str">
        <x:f>IF(COUNTA(A27)=0,"",IF(COUNT(C27:E27,J27:L27)&gt;0,1,0))</x:f>
      </x:c>
      <x:c r="S27" s="2" t="str">
        <x:f>IF(COUNTA(A27)=0,"",IF(COUNTIFS($A$6:$A$69,A27)&gt;1,"Duplicate target",""))</x:f>
      </x:c>
    </x:row>
    <x:row r="28">
      <x:c r="A28" s="6"/>
      <x:c r="B28" s="20"/>
      <x:c r="C28" s="13" t="str">
        <x:f>IF(OR(COUNTA($A28)=0,'Status'!$E$5=""),"",IF(COUNTIFS('Estimates'!$A$5:$A$604,$A28,'Estimates'!$B$5:$B$604,"MPS",'Estimates'!$C$5:$C$604,'Status'!$E$5)=0,"",IF(COUNTIFS('Estimates'!$A$5:$A$604,$A28,'Estimates'!$B$5:$B$604,"MPS",'Estimates'!$C$5:$C$604,'Status'!$E$5)&gt;1,"DUP",SUMIFS('Estimates'!$F$5:$F$604,'Estimates'!$A$5:$A$604,$A28,'Estimates'!$B$5:$B$604,"MPS",'Estimates'!$C$5:$C$604,'Status'!$E$5))))</x:f>
      </x:c>
      <x:c r="D28" s="13" t="str">
        <x:f>IF(OR(COUNTA($A28)=0,'Status'!$F$5=""),"",IF(COUNTIFS('Estimates'!$A$5:$A$604,$A28,'Estimates'!$B$5:$B$604,"MPS",'Estimates'!$C$5:$C$604,'Status'!$F$5)=0,"",IF(COUNTIFS('Estimates'!$A$5:$A$604,$A28,'Estimates'!$B$5:$B$604,"MPS",'Estimates'!$C$5:$C$604,'Status'!$F$5)&gt;1,"DUP",SUMIFS('Estimates'!$F$5:$F$604,'Estimates'!$A$5:$A$604,$A28,'Estimates'!$B$5:$B$604,"MPS",'Estimates'!$C$5:$C$604,'Status'!$F$5))))</x:f>
      </x:c>
      <x:c r="E28" s="13" t="str">
        <x:f>IF(OR(COUNTA($A28)=0,'Status'!$G$5=""),"",IF(COUNTIFS('Estimates'!$A$5:$A$604,$A28,'Estimates'!$B$5:$B$604,"MPS",'Estimates'!$C$5:$C$604,'Status'!$G$5)=0,"",IF(COUNTIFS('Estimates'!$A$5:$A$604,$A28,'Estimates'!$B$5:$B$604,"MPS",'Estimates'!$C$5:$C$604,'Status'!$G$5)&gt;1,"DUP",SUMIFS('Estimates'!$F$5:$F$604,'Estimates'!$A$5:$A$604,$A28,'Estimates'!$B$5:$B$604,"MPS",'Estimates'!$C$5:$C$604,'Status'!$G$5))))</x:f>
      </x:c>
      <x:c r="F28" s="13" t="str">
        <x:f>IF(COUNT(C28:E28)&lt;2,"",_xlfn.STDEV.S(C28:E28))</x:f>
      </x:c>
      <x:c r="G28" s="13" t="str">
        <x:f>IF(AND(ISNUMBER(D28),ISNUMBER(E28)),ABS(E28-D28),"")</x:f>
      </x:c>
      <x:c r="H28" s="14" t="str">
        <x:f>IF(AND(ISNUMBER(D28),ISNUMBER(E28)),IF(D28=0,"n.a.",ABS(E28-D28)/ABS(D28)),"")</x:f>
      </x:c>
      <x:c r="I28" s="2" t="str">
        <x:f>IF(COUNTA(A28)=0,"",IF('Status'!$B$6="","Set tolerance",IF(COUNT(C28:E28)&lt;3,"Need 3 levels",IF(OR(C28=0,D28=0),"Use abs. Δ",IF(AND(ABS(D28-C28)/ABS(C28)&lt;='Status'!$B$6,H28&lt;='Status'!$B$6),"Yes","No")))))</x:f>
      </x:c>
      <x:c r="J28" s="13" t="str">
        <x:f>IF(OR(COUNTA($A28)=0,'Status'!$E$6=""),"",IF(COUNTIFS('Estimates'!$A$5:$A$604,$A28,'Estimates'!$B$5:$B$604,"PPS",'Estimates'!$D$5:$D$604,'Status'!$E$6,'Estimates'!$E$5:$E$604,'Status'!$E$7)=0,"",IF(COUNTIFS('Estimates'!$A$5:$A$604,$A28,'Estimates'!$B$5:$B$604,"PPS",'Estimates'!$D$5:$D$604,'Status'!$E$6,'Estimates'!$E$5:$E$604,'Status'!$E$7)&gt;1,"DUP",SUMIFS('Estimates'!$F$5:$F$604,'Estimates'!$A$5:$A$604,$A28,'Estimates'!$B$5:$B$604,"PPS",'Estimates'!$D$5:$D$604,'Status'!$E$6,'Estimates'!$E$5:$E$604,'Status'!$E$7))))</x:f>
      </x:c>
      <x:c r="K28" s="13" t="str">
        <x:f>IF(OR(COUNTA($A28)=0,'Status'!$F$6=""),"",IF(COUNTIFS('Estimates'!$A$5:$A$604,$A28,'Estimates'!$B$5:$B$604,"PPS",'Estimates'!$D$5:$D$604,'Status'!$F$6,'Estimates'!$E$5:$E$604,'Status'!$E$7)=0,"",IF(COUNTIFS('Estimates'!$A$5:$A$604,$A28,'Estimates'!$B$5:$B$604,"PPS",'Estimates'!$D$5:$D$604,'Status'!$F$6,'Estimates'!$E$5:$E$604,'Status'!$E$7)&gt;1,"DUP",SUMIFS('Estimates'!$F$5:$F$604,'Estimates'!$A$5:$A$604,$A28,'Estimates'!$B$5:$B$604,"PPS",'Estimates'!$D$5:$D$604,'Status'!$F$6,'Estimates'!$E$5:$E$604,'Status'!$E$7))))</x:f>
      </x:c>
      <x:c r="L28" s="13" t="str">
        <x:f>IF(OR(COUNTA($A28)=0,'Status'!$G$6=""),"",IF(COUNTIFS('Estimates'!$A$5:$A$604,$A28,'Estimates'!$B$5:$B$604,"PPS",'Estimates'!$D$5:$D$604,'Status'!$G$6,'Estimates'!$E$5:$E$604,'Status'!$E$7)=0,"",IF(COUNTIFS('Estimates'!$A$5:$A$604,$A28,'Estimates'!$B$5:$B$604,"PPS",'Estimates'!$D$5:$D$604,'Status'!$G$6,'Estimates'!$E$5:$E$604,'Status'!$E$7)&gt;1,"DUP",SUMIFS('Estimates'!$F$5:$F$604,'Estimates'!$A$5:$A$604,$A28,'Estimates'!$B$5:$B$604,"PPS",'Estimates'!$D$5:$D$604,'Status'!$G$6,'Estimates'!$E$5:$E$604,'Status'!$E$7))))</x:f>
      </x:c>
      <x:c r="M28" s="13" t="str">
        <x:f>IF(COUNT(J28:L28)&lt;2,"",_xlfn.STDEV.S(J28:L28))</x:f>
      </x:c>
      <x:c r="N28" s="13" t="str">
        <x:f>IF(AND(ISNUMBER(K28),ISNUMBER(L28)),ABS(L28-K28),"")</x:f>
      </x:c>
      <x:c r="O28" s="14" t="str">
        <x:f>IF(AND(ISNUMBER(K28),ISNUMBER(L28)),IF(K28=0,"n.a.",ABS(L28-K28)/ABS(K28)),"")</x:f>
      </x:c>
      <x:c r="P28" s="2" t="str">
        <x:f>IF(COUNTA(A28)=0,"",IF('Status'!$B$6="","Set tolerance",IF(COUNT(J28:L28)&lt;3,"Need 3 levels",IF(OR(J28=0,K28=0),"Use abs. Δ",IF(AND(ABS(K28-J28)/ABS(J28)&lt;='Status'!$B$6,O28&lt;='Status'!$B$6),"Yes","No")))))</x:f>
      </x:c>
      <x:c r="Q28" s="13" t="str">
        <x:f>IF(AND(ISNUMBER(E28),ISNUMBER(L28)),ABS(E28-L28),"")</x:f>
      </x:c>
      <x:c r="R28" s="2" t="str">
        <x:f>IF(COUNTA(A28)=0,"",IF(COUNT(C28:E28,J28:L28)&gt;0,1,0))</x:f>
      </x:c>
      <x:c r="S28" s="2" t="str">
        <x:f>IF(COUNTA(A28)=0,"",IF(COUNTIFS($A$6:$A$69,A28)&gt;1,"Duplicate target",""))</x:f>
      </x:c>
    </x:row>
    <x:row r="29">
      <x:c r="A29" s="6"/>
      <x:c r="B29" s="20"/>
      <x:c r="C29" s="13" t="str">
        <x:f>IF(OR(COUNTA($A29)=0,'Status'!$E$5=""),"",IF(COUNTIFS('Estimates'!$A$5:$A$604,$A29,'Estimates'!$B$5:$B$604,"MPS",'Estimates'!$C$5:$C$604,'Status'!$E$5)=0,"",IF(COUNTIFS('Estimates'!$A$5:$A$604,$A29,'Estimates'!$B$5:$B$604,"MPS",'Estimates'!$C$5:$C$604,'Status'!$E$5)&gt;1,"DUP",SUMIFS('Estimates'!$F$5:$F$604,'Estimates'!$A$5:$A$604,$A29,'Estimates'!$B$5:$B$604,"MPS",'Estimates'!$C$5:$C$604,'Status'!$E$5))))</x:f>
      </x:c>
      <x:c r="D29" s="13" t="str">
        <x:f>IF(OR(COUNTA($A29)=0,'Status'!$F$5=""),"",IF(COUNTIFS('Estimates'!$A$5:$A$604,$A29,'Estimates'!$B$5:$B$604,"MPS",'Estimates'!$C$5:$C$604,'Status'!$F$5)=0,"",IF(COUNTIFS('Estimates'!$A$5:$A$604,$A29,'Estimates'!$B$5:$B$604,"MPS",'Estimates'!$C$5:$C$604,'Status'!$F$5)&gt;1,"DUP",SUMIFS('Estimates'!$F$5:$F$604,'Estimates'!$A$5:$A$604,$A29,'Estimates'!$B$5:$B$604,"MPS",'Estimates'!$C$5:$C$604,'Status'!$F$5))))</x:f>
      </x:c>
      <x:c r="E29" s="13" t="str">
        <x:f>IF(OR(COUNTA($A29)=0,'Status'!$G$5=""),"",IF(COUNTIFS('Estimates'!$A$5:$A$604,$A29,'Estimates'!$B$5:$B$604,"MPS",'Estimates'!$C$5:$C$604,'Status'!$G$5)=0,"",IF(COUNTIFS('Estimates'!$A$5:$A$604,$A29,'Estimates'!$B$5:$B$604,"MPS",'Estimates'!$C$5:$C$604,'Status'!$G$5)&gt;1,"DUP",SUMIFS('Estimates'!$F$5:$F$604,'Estimates'!$A$5:$A$604,$A29,'Estimates'!$B$5:$B$604,"MPS",'Estimates'!$C$5:$C$604,'Status'!$G$5))))</x:f>
      </x:c>
      <x:c r="F29" s="13" t="str">
        <x:f>IF(COUNT(C29:E29)&lt;2,"",_xlfn.STDEV.S(C29:E29))</x:f>
      </x:c>
      <x:c r="G29" s="13" t="str">
        <x:f>IF(AND(ISNUMBER(D29),ISNUMBER(E29)),ABS(E29-D29),"")</x:f>
      </x:c>
      <x:c r="H29" s="14" t="str">
        <x:f>IF(AND(ISNUMBER(D29),ISNUMBER(E29)),IF(D29=0,"n.a.",ABS(E29-D29)/ABS(D29)),"")</x:f>
      </x:c>
      <x:c r="I29" s="2" t="str">
        <x:f>IF(COUNTA(A29)=0,"",IF('Status'!$B$6="","Set tolerance",IF(COUNT(C29:E29)&lt;3,"Need 3 levels",IF(OR(C29=0,D29=0),"Use abs. Δ",IF(AND(ABS(D29-C29)/ABS(C29)&lt;='Status'!$B$6,H29&lt;='Status'!$B$6),"Yes","No")))))</x:f>
      </x:c>
      <x:c r="J29" s="13" t="str">
        <x:f>IF(OR(COUNTA($A29)=0,'Status'!$E$6=""),"",IF(COUNTIFS('Estimates'!$A$5:$A$604,$A29,'Estimates'!$B$5:$B$604,"PPS",'Estimates'!$D$5:$D$604,'Status'!$E$6,'Estimates'!$E$5:$E$604,'Status'!$E$7)=0,"",IF(COUNTIFS('Estimates'!$A$5:$A$604,$A29,'Estimates'!$B$5:$B$604,"PPS",'Estimates'!$D$5:$D$604,'Status'!$E$6,'Estimates'!$E$5:$E$604,'Status'!$E$7)&gt;1,"DUP",SUMIFS('Estimates'!$F$5:$F$604,'Estimates'!$A$5:$A$604,$A29,'Estimates'!$B$5:$B$604,"PPS",'Estimates'!$D$5:$D$604,'Status'!$E$6,'Estimates'!$E$5:$E$604,'Status'!$E$7))))</x:f>
      </x:c>
      <x:c r="K29" s="13" t="str">
        <x:f>IF(OR(COUNTA($A29)=0,'Status'!$F$6=""),"",IF(COUNTIFS('Estimates'!$A$5:$A$604,$A29,'Estimates'!$B$5:$B$604,"PPS",'Estimates'!$D$5:$D$604,'Status'!$F$6,'Estimates'!$E$5:$E$604,'Status'!$E$7)=0,"",IF(COUNTIFS('Estimates'!$A$5:$A$604,$A29,'Estimates'!$B$5:$B$604,"PPS",'Estimates'!$D$5:$D$604,'Status'!$F$6,'Estimates'!$E$5:$E$604,'Status'!$E$7)&gt;1,"DUP",SUMIFS('Estimates'!$F$5:$F$604,'Estimates'!$A$5:$A$604,$A29,'Estimates'!$B$5:$B$604,"PPS",'Estimates'!$D$5:$D$604,'Status'!$F$6,'Estimates'!$E$5:$E$604,'Status'!$E$7))))</x:f>
      </x:c>
      <x:c r="L29" s="13" t="str">
        <x:f>IF(OR(COUNTA($A29)=0,'Status'!$G$6=""),"",IF(COUNTIFS('Estimates'!$A$5:$A$604,$A29,'Estimates'!$B$5:$B$604,"PPS",'Estimates'!$D$5:$D$604,'Status'!$G$6,'Estimates'!$E$5:$E$604,'Status'!$E$7)=0,"",IF(COUNTIFS('Estimates'!$A$5:$A$604,$A29,'Estimates'!$B$5:$B$604,"PPS",'Estimates'!$D$5:$D$604,'Status'!$G$6,'Estimates'!$E$5:$E$604,'Status'!$E$7)&gt;1,"DUP",SUMIFS('Estimates'!$F$5:$F$604,'Estimates'!$A$5:$A$604,$A29,'Estimates'!$B$5:$B$604,"PPS",'Estimates'!$D$5:$D$604,'Status'!$G$6,'Estimates'!$E$5:$E$604,'Status'!$E$7))))</x:f>
      </x:c>
      <x:c r="M29" s="13" t="str">
        <x:f>IF(COUNT(J29:L29)&lt;2,"",_xlfn.STDEV.S(J29:L29))</x:f>
      </x:c>
      <x:c r="N29" s="13" t="str">
        <x:f>IF(AND(ISNUMBER(K29),ISNUMBER(L29)),ABS(L29-K29),"")</x:f>
      </x:c>
      <x:c r="O29" s="14" t="str">
        <x:f>IF(AND(ISNUMBER(K29),ISNUMBER(L29)),IF(K29=0,"n.a.",ABS(L29-K29)/ABS(K29)),"")</x:f>
      </x:c>
      <x:c r="P29" s="2" t="str">
        <x:f>IF(COUNTA(A29)=0,"",IF('Status'!$B$6="","Set tolerance",IF(COUNT(J29:L29)&lt;3,"Need 3 levels",IF(OR(J29=0,K29=0),"Use abs. Δ",IF(AND(ABS(K29-J29)/ABS(J29)&lt;='Status'!$B$6,O29&lt;='Status'!$B$6),"Yes","No")))))</x:f>
      </x:c>
      <x:c r="Q29" s="13" t="str">
        <x:f>IF(AND(ISNUMBER(E29),ISNUMBER(L29)),ABS(E29-L29),"")</x:f>
      </x:c>
      <x:c r="R29" s="2" t="str">
        <x:f>IF(COUNTA(A29)=0,"",IF(COUNT(C29:E29,J29:L29)&gt;0,1,0))</x:f>
      </x:c>
      <x:c r="S29" s="2" t="str">
        <x:f>IF(COUNTA(A29)=0,"",IF(COUNTIFS($A$6:$A$69,A29)&gt;1,"Duplicate target",""))</x:f>
      </x:c>
    </x:row>
    <x:row r="30">
      <x:c r="A30" s="6"/>
      <x:c r="B30" s="20"/>
      <x:c r="C30" s="13" t="str">
        <x:f>IF(OR(COUNTA($A30)=0,'Status'!$E$5=""),"",IF(COUNTIFS('Estimates'!$A$5:$A$604,$A30,'Estimates'!$B$5:$B$604,"MPS",'Estimates'!$C$5:$C$604,'Status'!$E$5)=0,"",IF(COUNTIFS('Estimates'!$A$5:$A$604,$A30,'Estimates'!$B$5:$B$604,"MPS",'Estimates'!$C$5:$C$604,'Status'!$E$5)&gt;1,"DUP",SUMIFS('Estimates'!$F$5:$F$604,'Estimates'!$A$5:$A$604,$A30,'Estimates'!$B$5:$B$604,"MPS",'Estimates'!$C$5:$C$604,'Status'!$E$5))))</x:f>
      </x:c>
      <x:c r="D30" s="13" t="str">
        <x:f>IF(OR(COUNTA($A30)=0,'Status'!$F$5=""),"",IF(COUNTIFS('Estimates'!$A$5:$A$604,$A30,'Estimates'!$B$5:$B$604,"MPS",'Estimates'!$C$5:$C$604,'Status'!$F$5)=0,"",IF(COUNTIFS('Estimates'!$A$5:$A$604,$A30,'Estimates'!$B$5:$B$604,"MPS",'Estimates'!$C$5:$C$604,'Status'!$F$5)&gt;1,"DUP",SUMIFS('Estimates'!$F$5:$F$604,'Estimates'!$A$5:$A$604,$A30,'Estimates'!$B$5:$B$604,"MPS",'Estimates'!$C$5:$C$604,'Status'!$F$5))))</x:f>
      </x:c>
      <x:c r="E30" s="13" t="str">
        <x:f>IF(OR(COUNTA($A30)=0,'Status'!$G$5=""),"",IF(COUNTIFS('Estimates'!$A$5:$A$604,$A30,'Estimates'!$B$5:$B$604,"MPS",'Estimates'!$C$5:$C$604,'Status'!$G$5)=0,"",IF(COUNTIFS('Estimates'!$A$5:$A$604,$A30,'Estimates'!$B$5:$B$604,"MPS",'Estimates'!$C$5:$C$604,'Status'!$G$5)&gt;1,"DUP",SUMIFS('Estimates'!$F$5:$F$604,'Estimates'!$A$5:$A$604,$A30,'Estimates'!$B$5:$B$604,"MPS",'Estimates'!$C$5:$C$604,'Status'!$G$5))))</x:f>
      </x:c>
      <x:c r="F30" s="13" t="str">
        <x:f>IF(COUNT(C30:E30)&lt;2,"",_xlfn.STDEV.S(C30:E30))</x:f>
      </x:c>
      <x:c r="G30" s="13" t="str">
        <x:f>IF(AND(ISNUMBER(D30),ISNUMBER(E30)),ABS(E30-D30),"")</x:f>
      </x:c>
      <x:c r="H30" s="14" t="str">
        <x:f>IF(AND(ISNUMBER(D30),ISNUMBER(E30)),IF(D30=0,"n.a.",ABS(E30-D30)/ABS(D30)),"")</x:f>
      </x:c>
      <x:c r="I30" s="2" t="str">
        <x:f>IF(COUNTA(A30)=0,"",IF('Status'!$B$6="","Set tolerance",IF(COUNT(C30:E30)&lt;3,"Need 3 levels",IF(OR(C30=0,D30=0),"Use abs. Δ",IF(AND(ABS(D30-C30)/ABS(C30)&lt;='Status'!$B$6,H30&lt;='Status'!$B$6),"Yes","No")))))</x:f>
      </x:c>
      <x:c r="J30" s="13" t="str">
        <x:f>IF(OR(COUNTA($A30)=0,'Status'!$E$6=""),"",IF(COUNTIFS('Estimates'!$A$5:$A$604,$A30,'Estimates'!$B$5:$B$604,"PPS",'Estimates'!$D$5:$D$604,'Status'!$E$6,'Estimates'!$E$5:$E$604,'Status'!$E$7)=0,"",IF(COUNTIFS('Estimates'!$A$5:$A$604,$A30,'Estimates'!$B$5:$B$604,"PPS",'Estimates'!$D$5:$D$604,'Status'!$E$6,'Estimates'!$E$5:$E$604,'Status'!$E$7)&gt;1,"DUP",SUMIFS('Estimates'!$F$5:$F$604,'Estimates'!$A$5:$A$604,$A30,'Estimates'!$B$5:$B$604,"PPS",'Estimates'!$D$5:$D$604,'Status'!$E$6,'Estimates'!$E$5:$E$604,'Status'!$E$7))))</x:f>
      </x:c>
      <x:c r="K30" s="13" t="str">
        <x:f>IF(OR(COUNTA($A30)=0,'Status'!$F$6=""),"",IF(COUNTIFS('Estimates'!$A$5:$A$604,$A30,'Estimates'!$B$5:$B$604,"PPS",'Estimates'!$D$5:$D$604,'Status'!$F$6,'Estimates'!$E$5:$E$604,'Status'!$E$7)=0,"",IF(COUNTIFS('Estimates'!$A$5:$A$604,$A30,'Estimates'!$B$5:$B$604,"PPS",'Estimates'!$D$5:$D$604,'Status'!$F$6,'Estimates'!$E$5:$E$604,'Status'!$E$7)&gt;1,"DUP",SUMIFS('Estimates'!$F$5:$F$604,'Estimates'!$A$5:$A$604,$A30,'Estimates'!$B$5:$B$604,"PPS",'Estimates'!$D$5:$D$604,'Status'!$F$6,'Estimates'!$E$5:$E$604,'Status'!$E$7))))</x:f>
      </x:c>
      <x:c r="L30" s="13" t="str">
        <x:f>IF(OR(COUNTA($A30)=0,'Status'!$G$6=""),"",IF(COUNTIFS('Estimates'!$A$5:$A$604,$A30,'Estimates'!$B$5:$B$604,"PPS",'Estimates'!$D$5:$D$604,'Status'!$G$6,'Estimates'!$E$5:$E$604,'Status'!$E$7)=0,"",IF(COUNTIFS('Estimates'!$A$5:$A$604,$A30,'Estimates'!$B$5:$B$604,"PPS",'Estimates'!$D$5:$D$604,'Status'!$G$6,'Estimates'!$E$5:$E$604,'Status'!$E$7)&gt;1,"DUP",SUMIFS('Estimates'!$F$5:$F$604,'Estimates'!$A$5:$A$604,$A30,'Estimates'!$B$5:$B$604,"PPS",'Estimates'!$D$5:$D$604,'Status'!$G$6,'Estimates'!$E$5:$E$604,'Status'!$E$7))))</x:f>
      </x:c>
      <x:c r="M30" s="13" t="str">
        <x:f>IF(COUNT(J30:L30)&lt;2,"",_xlfn.STDEV.S(J30:L30))</x:f>
      </x:c>
      <x:c r="N30" s="13" t="str">
        <x:f>IF(AND(ISNUMBER(K30),ISNUMBER(L30)),ABS(L30-K30),"")</x:f>
      </x:c>
      <x:c r="O30" s="14" t="str">
        <x:f>IF(AND(ISNUMBER(K30),ISNUMBER(L30)),IF(K30=0,"n.a.",ABS(L30-K30)/ABS(K30)),"")</x:f>
      </x:c>
      <x:c r="P30" s="2" t="str">
        <x:f>IF(COUNTA(A30)=0,"",IF('Status'!$B$6="","Set tolerance",IF(COUNT(J30:L30)&lt;3,"Need 3 levels",IF(OR(J30=0,K30=0),"Use abs. Δ",IF(AND(ABS(K30-J30)/ABS(J30)&lt;='Status'!$B$6,O30&lt;='Status'!$B$6),"Yes","No")))))</x:f>
      </x:c>
      <x:c r="Q30" s="13" t="str">
        <x:f>IF(AND(ISNUMBER(E30),ISNUMBER(L30)),ABS(E30-L30),"")</x:f>
      </x:c>
      <x:c r="R30" s="2" t="str">
        <x:f>IF(COUNTA(A30)=0,"",IF(COUNT(C30:E30,J30:L30)&gt;0,1,0))</x:f>
      </x:c>
      <x:c r="S30" s="2" t="str">
        <x:f>IF(COUNTA(A30)=0,"",IF(COUNTIFS($A$6:$A$69,A30)&gt;1,"Duplicate target",""))</x:f>
      </x:c>
    </x:row>
    <x:row r="31">
      <x:c r="A31" s="6"/>
      <x:c r="B31" s="20"/>
      <x:c r="C31" s="13" t="str">
        <x:f>IF(OR(COUNTA($A31)=0,'Status'!$E$5=""),"",IF(COUNTIFS('Estimates'!$A$5:$A$604,$A31,'Estimates'!$B$5:$B$604,"MPS",'Estimates'!$C$5:$C$604,'Status'!$E$5)=0,"",IF(COUNTIFS('Estimates'!$A$5:$A$604,$A31,'Estimates'!$B$5:$B$604,"MPS",'Estimates'!$C$5:$C$604,'Status'!$E$5)&gt;1,"DUP",SUMIFS('Estimates'!$F$5:$F$604,'Estimates'!$A$5:$A$604,$A31,'Estimates'!$B$5:$B$604,"MPS",'Estimates'!$C$5:$C$604,'Status'!$E$5))))</x:f>
      </x:c>
      <x:c r="D31" s="13" t="str">
        <x:f>IF(OR(COUNTA($A31)=0,'Status'!$F$5=""),"",IF(COUNTIFS('Estimates'!$A$5:$A$604,$A31,'Estimates'!$B$5:$B$604,"MPS",'Estimates'!$C$5:$C$604,'Status'!$F$5)=0,"",IF(COUNTIFS('Estimates'!$A$5:$A$604,$A31,'Estimates'!$B$5:$B$604,"MPS",'Estimates'!$C$5:$C$604,'Status'!$F$5)&gt;1,"DUP",SUMIFS('Estimates'!$F$5:$F$604,'Estimates'!$A$5:$A$604,$A31,'Estimates'!$B$5:$B$604,"MPS",'Estimates'!$C$5:$C$604,'Status'!$F$5))))</x:f>
      </x:c>
      <x:c r="E31" s="13" t="str">
        <x:f>IF(OR(COUNTA($A31)=0,'Status'!$G$5=""),"",IF(COUNTIFS('Estimates'!$A$5:$A$604,$A31,'Estimates'!$B$5:$B$604,"MPS",'Estimates'!$C$5:$C$604,'Status'!$G$5)=0,"",IF(COUNTIFS('Estimates'!$A$5:$A$604,$A31,'Estimates'!$B$5:$B$604,"MPS",'Estimates'!$C$5:$C$604,'Status'!$G$5)&gt;1,"DUP",SUMIFS('Estimates'!$F$5:$F$604,'Estimates'!$A$5:$A$604,$A31,'Estimates'!$B$5:$B$604,"MPS",'Estimates'!$C$5:$C$604,'Status'!$G$5))))</x:f>
      </x:c>
      <x:c r="F31" s="13" t="str">
        <x:f>IF(COUNT(C31:E31)&lt;2,"",_xlfn.STDEV.S(C31:E31))</x:f>
      </x:c>
      <x:c r="G31" s="13" t="str">
        <x:f>IF(AND(ISNUMBER(D31),ISNUMBER(E31)),ABS(E31-D31),"")</x:f>
      </x:c>
      <x:c r="H31" s="14" t="str">
        <x:f>IF(AND(ISNUMBER(D31),ISNUMBER(E31)),IF(D31=0,"n.a.",ABS(E31-D31)/ABS(D31)),"")</x:f>
      </x:c>
      <x:c r="I31" s="2" t="str">
        <x:f>IF(COUNTA(A31)=0,"",IF('Status'!$B$6="","Set tolerance",IF(COUNT(C31:E31)&lt;3,"Need 3 levels",IF(OR(C31=0,D31=0),"Use abs. Δ",IF(AND(ABS(D31-C31)/ABS(C31)&lt;='Status'!$B$6,H31&lt;='Status'!$B$6),"Yes","No")))))</x:f>
      </x:c>
      <x:c r="J31" s="13" t="str">
        <x:f>IF(OR(COUNTA($A31)=0,'Status'!$E$6=""),"",IF(COUNTIFS('Estimates'!$A$5:$A$604,$A31,'Estimates'!$B$5:$B$604,"PPS",'Estimates'!$D$5:$D$604,'Status'!$E$6,'Estimates'!$E$5:$E$604,'Status'!$E$7)=0,"",IF(COUNTIFS('Estimates'!$A$5:$A$604,$A31,'Estimates'!$B$5:$B$604,"PPS",'Estimates'!$D$5:$D$604,'Status'!$E$6,'Estimates'!$E$5:$E$604,'Status'!$E$7)&gt;1,"DUP",SUMIFS('Estimates'!$F$5:$F$604,'Estimates'!$A$5:$A$604,$A31,'Estimates'!$B$5:$B$604,"PPS",'Estimates'!$D$5:$D$604,'Status'!$E$6,'Estimates'!$E$5:$E$604,'Status'!$E$7))))</x:f>
      </x:c>
      <x:c r="K31" s="13" t="str">
        <x:f>IF(OR(COUNTA($A31)=0,'Status'!$F$6=""),"",IF(COUNTIFS('Estimates'!$A$5:$A$604,$A31,'Estimates'!$B$5:$B$604,"PPS",'Estimates'!$D$5:$D$604,'Status'!$F$6,'Estimates'!$E$5:$E$604,'Status'!$E$7)=0,"",IF(COUNTIFS('Estimates'!$A$5:$A$604,$A31,'Estimates'!$B$5:$B$604,"PPS",'Estimates'!$D$5:$D$604,'Status'!$F$6,'Estimates'!$E$5:$E$604,'Status'!$E$7)&gt;1,"DUP",SUMIFS('Estimates'!$F$5:$F$604,'Estimates'!$A$5:$A$604,$A31,'Estimates'!$B$5:$B$604,"PPS",'Estimates'!$D$5:$D$604,'Status'!$F$6,'Estimates'!$E$5:$E$604,'Status'!$E$7))))</x:f>
      </x:c>
      <x:c r="L31" s="13" t="str">
        <x:f>IF(OR(COUNTA($A31)=0,'Status'!$G$6=""),"",IF(COUNTIFS('Estimates'!$A$5:$A$604,$A31,'Estimates'!$B$5:$B$604,"PPS",'Estimates'!$D$5:$D$604,'Status'!$G$6,'Estimates'!$E$5:$E$604,'Status'!$E$7)=0,"",IF(COUNTIFS('Estimates'!$A$5:$A$604,$A31,'Estimates'!$B$5:$B$604,"PPS",'Estimates'!$D$5:$D$604,'Status'!$G$6,'Estimates'!$E$5:$E$604,'Status'!$E$7)&gt;1,"DUP",SUMIFS('Estimates'!$F$5:$F$604,'Estimates'!$A$5:$A$604,$A31,'Estimates'!$B$5:$B$604,"PPS",'Estimates'!$D$5:$D$604,'Status'!$G$6,'Estimates'!$E$5:$E$604,'Status'!$E$7))))</x:f>
      </x:c>
      <x:c r="M31" s="13" t="str">
        <x:f>IF(COUNT(J31:L31)&lt;2,"",_xlfn.STDEV.S(J31:L31))</x:f>
      </x:c>
      <x:c r="N31" s="13" t="str">
        <x:f>IF(AND(ISNUMBER(K31),ISNUMBER(L31)),ABS(L31-K31),"")</x:f>
      </x:c>
      <x:c r="O31" s="14" t="str">
        <x:f>IF(AND(ISNUMBER(K31),ISNUMBER(L31)),IF(K31=0,"n.a.",ABS(L31-K31)/ABS(K31)),"")</x:f>
      </x:c>
      <x:c r="P31" s="2" t="str">
        <x:f>IF(COUNTA(A31)=0,"",IF('Status'!$B$6="","Set tolerance",IF(COUNT(J31:L31)&lt;3,"Need 3 levels",IF(OR(J31=0,K31=0),"Use abs. Δ",IF(AND(ABS(K31-J31)/ABS(J31)&lt;='Status'!$B$6,O31&lt;='Status'!$B$6),"Yes","No")))))</x:f>
      </x:c>
      <x:c r="Q31" s="13" t="str">
        <x:f>IF(AND(ISNUMBER(E31),ISNUMBER(L31)),ABS(E31-L31),"")</x:f>
      </x:c>
      <x:c r="R31" s="2" t="str">
        <x:f>IF(COUNTA(A31)=0,"",IF(COUNT(C31:E31,J31:L31)&gt;0,1,0))</x:f>
      </x:c>
      <x:c r="S31" s="2" t="str">
        <x:f>IF(COUNTA(A31)=0,"",IF(COUNTIFS($A$6:$A$69,A31)&gt;1,"Duplicate target",""))</x:f>
      </x:c>
    </x:row>
    <x:row r="32">
      <x:c r="A32" s="6"/>
      <x:c r="B32" s="20"/>
      <x:c r="C32" s="13" t="str">
        <x:f>IF(OR(COUNTA($A32)=0,'Status'!$E$5=""),"",IF(COUNTIFS('Estimates'!$A$5:$A$604,$A32,'Estimates'!$B$5:$B$604,"MPS",'Estimates'!$C$5:$C$604,'Status'!$E$5)=0,"",IF(COUNTIFS('Estimates'!$A$5:$A$604,$A32,'Estimates'!$B$5:$B$604,"MPS",'Estimates'!$C$5:$C$604,'Status'!$E$5)&gt;1,"DUP",SUMIFS('Estimates'!$F$5:$F$604,'Estimates'!$A$5:$A$604,$A32,'Estimates'!$B$5:$B$604,"MPS",'Estimates'!$C$5:$C$604,'Status'!$E$5))))</x:f>
      </x:c>
      <x:c r="D32" s="13" t="str">
        <x:f>IF(OR(COUNTA($A32)=0,'Status'!$F$5=""),"",IF(COUNTIFS('Estimates'!$A$5:$A$604,$A32,'Estimates'!$B$5:$B$604,"MPS",'Estimates'!$C$5:$C$604,'Status'!$F$5)=0,"",IF(COUNTIFS('Estimates'!$A$5:$A$604,$A32,'Estimates'!$B$5:$B$604,"MPS",'Estimates'!$C$5:$C$604,'Status'!$F$5)&gt;1,"DUP",SUMIFS('Estimates'!$F$5:$F$604,'Estimates'!$A$5:$A$604,$A32,'Estimates'!$B$5:$B$604,"MPS",'Estimates'!$C$5:$C$604,'Status'!$F$5))))</x:f>
      </x:c>
      <x:c r="E32" s="13" t="str">
        <x:f>IF(OR(COUNTA($A32)=0,'Status'!$G$5=""),"",IF(COUNTIFS('Estimates'!$A$5:$A$604,$A32,'Estimates'!$B$5:$B$604,"MPS",'Estimates'!$C$5:$C$604,'Status'!$G$5)=0,"",IF(COUNTIFS('Estimates'!$A$5:$A$604,$A32,'Estimates'!$B$5:$B$604,"MPS",'Estimates'!$C$5:$C$604,'Status'!$G$5)&gt;1,"DUP",SUMIFS('Estimates'!$F$5:$F$604,'Estimates'!$A$5:$A$604,$A32,'Estimates'!$B$5:$B$604,"MPS",'Estimates'!$C$5:$C$604,'Status'!$G$5))))</x:f>
      </x:c>
      <x:c r="F32" s="13" t="str">
        <x:f>IF(COUNT(C32:E32)&lt;2,"",_xlfn.STDEV.S(C32:E32))</x:f>
      </x:c>
      <x:c r="G32" s="13" t="str">
        <x:f>IF(AND(ISNUMBER(D32),ISNUMBER(E32)),ABS(E32-D32),"")</x:f>
      </x:c>
      <x:c r="H32" s="14" t="str">
        <x:f>IF(AND(ISNUMBER(D32),ISNUMBER(E32)),IF(D32=0,"n.a.",ABS(E32-D32)/ABS(D32)),"")</x:f>
      </x:c>
      <x:c r="I32" s="2" t="str">
        <x:f>IF(COUNTA(A32)=0,"",IF('Status'!$B$6="","Set tolerance",IF(COUNT(C32:E32)&lt;3,"Need 3 levels",IF(OR(C32=0,D32=0),"Use abs. Δ",IF(AND(ABS(D32-C32)/ABS(C32)&lt;='Status'!$B$6,H32&lt;='Status'!$B$6),"Yes","No")))))</x:f>
      </x:c>
      <x:c r="J32" s="13" t="str">
        <x:f>IF(OR(COUNTA($A32)=0,'Status'!$E$6=""),"",IF(COUNTIFS('Estimates'!$A$5:$A$604,$A32,'Estimates'!$B$5:$B$604,"PPS",'Estimates'!$D$5:$D$604,'Status'!$E$6,'Estimates'!$E$5:$E$604,'Status'!$E$7)=0,"",IF(COUNTIFS('Estimates'!$A$5:$A$604,$A32,'Estimates'!$B$5:$B$604,"PPS",'Estimates'!$D$5:$D$604,'Status'!$E$6,'Estimates'!$E$5:$E$604,'Status'!$E$7)&gt;1,"DUP",SUMIFS('Estimates'!$F$5:$F$604,'Estimates'!$A$5:$A$604,$A32,'Estimates'!$B$5:$B$604,"PPS",'Estimates'!$D$5:$D$604,'Status'!$E$6,'Estimates'!$E$5:$E$604,'Status'!$E$7))))</x:f>
      </x:c>
      <x:c r="K32" s="13" t="str">
        <x:f>IF(OR(COUNTA($A32)=0,'Status'!$F$6=""),"",IF(COUNTIFS('Estimates'!$A$5:$A$604,$A32,'Estimates'!$B$5:$B$604,"PPS",'Estimates'!$D$5:$D$604,'Status'!$F$6,'Estimates'!$E$5:$E$604,'Status'!$E$7)=0,"",IF(COUNTIFS('Estimates'!$A$5:$A$604,$A32,'Estimates'!$B$5:$B$604,"PPS",'Estimates'!$D$5:$D$604,'Status'!$F$6,'Estimates'!$E$5:$E$604,'Status'!$E$7)&gt;1,"DUP",SUMIFS('Estimates'!$F$5:$F$604,'Estimates'!$A$5:$A$604,$A32,'Estimates'!$B$5:$B$604,"PPS",'Estimates'!$D$5:$D$604,'Status'!$F$6,'Estimates'!$E$5:$E$604,'Status'!$E$7))))</x:f>
      </x:c>
      <x:c r="L32" s="13" t="str">
        <x:f>IF(OR(COUNTA($A32)=0,'Status'!$G$6=""),"",IF(COUNTIFS('Estimates'!$A$5:$A$604,$A32,'Estimates'!$B$5:$B$604,"PPS",'Estimates'!$D$5:$D$604,'Status'!$G$6,'Estimates'!$E$5:$E$604,'Status'!$E$7)=0,"",IF(COUNTIFS('Estimates'!$A$5:$A$604,$A32,'Estimates'!$B$5:$B$604,"PPS",'Estimates'!$D$5:$D$604,'Status'!$G$6,'Estimates'!$E$5:$E$604,'Status'!$E$7)&gt;1,"DUP",SUMIFS('Estimates'!$F$5:$F$604,'Estimates'!$A$5:$A$604,$A32,'Estimates'!$B$5:$B$604,"PPS",'Estimates'!$D$5:$D$604,'Status'!$G$6,'Estimates'!$E$5:$E$604,'Status'!$E$7))))</x:f>
      </x:c>
      <x:c r="M32" s="13" t="str">
        <x:f>IF(COUNT(J32:L32)&lt;2,"",_xlfn.STDEV.S(J32:L32))</x:f>
      </x:c>
      <x:c r="N32" s="13" t="str">
        <x:f>IF(AND(ISNUMBER(K32),ISNUMBER(L32)),ABS(L32-K32),"")</x:f>
      </x:c>
      <x:c r="O32" s="14" t="str">
        <x:f>IF(AND(ISNUMBER(K32),ISNUMBER(L32)),IF(K32=0,"n.a.",ABS(L32-K32)/ABS(K32)),"")</x:f>
      </x:c>
      <x:c r="P32" s="2" t="str">
        <x:f>IF(COUNTA(A32)=0,"",IF('Status'!$B$6="","Set tolerance",IF(COUNT(J32:L32)&lt;3,"Need 3 levels",IF(OR(J32=0,K32=0),"Use abs. Δ",IF(AND(ABS(K32-J32)/ABS(J32)&lt;='Status'!$B$6,O32&lt;='Status'!$B$6),"Yes","No")))))</x:f>
      </x:c>
      <x:c r="Q32" s="13" t="str">
        <x:f>IF(AND(ISNUMBER(E32),ISNUMBER(L32)),ABS(E32-L32),"")</x:f>
      </x:c>
      <x:c r="R32" s="2" t="str">
        <x:f>IF(COUNTA(A32)=0,"",IF(COUNT(C32:E32,J32:L32)&gt;0,1,0))</x:f>
      </x:c>
      <x:c r="S32" s="2" t="str">
        <x:f>IF(COUNTA(A32)=0,"",IF(COUNTIFS($A$6:$A$69,A32)&gt;1,"Duplicate target",""))</x:f>
      </x:c>
    </x:row>
    <x:row r="33">
      <x:c r="A33" s="6"/>
      <x:c r="B33" s="20"/>
      <x:c r="C33" s="13" t="str">
        <x:f>IF(OR(COUNTA($A33)=0,'Status'!$E$5=""),"",IF(COUNTIFS('Estimates'!$A$5:$A$604,$A33,'Estimates'!$B$5:$B$604,"MPS",'Estimates'!$C$5:$C$604,'Status'!$E$5)=0,"",IF(COUNTIFS('Estimates'!$A$5:$A$604,$A33,'Estimates'!$B$5:$B$604,"MPS",'Estimates'!$C$5:$C$604,'Status'!$E$5)&gt;1,"DUP",SUMIFS('Estimates'!$F$5:$F$604,'Estimates'!$A$5:$A$604,$A33,'Estimates'!$B$5:$B$604,"MPS",'Estimates'!$C$5:$C$604,'Status'!$E$5))))</x:f>
      </x:c>
      <x:c r="D33" s="13" t="str">
        <x:f>IF(OR(COUNTA($A33)=0,'Status'!$F$5=""),"",IF(COUNTIFS('Estimates'!$A$5:$A$604,$A33,'Estimates'!$B$5:$B$604,"MPS",'Estimates'!$C$5:$C$604,'Status'!$F$5)=0,"",IF(COUNTIFS('Estimates'!$A$5:$A$604,$A33,'Estimates'!$B$5:$B$604,"MPS",'Estimates'!$C$5:$C$604,'Status'!$F$5)&gt;1,"DUP",SUMIFS('Estimates'!$F$5:$F$604,'Estimates'!$A$5:$A$604,$A33,'Estimates'!$B$5:$B$604,"MPS",'Estimates'!$C$5:$C$604,'Status'!$F$5))))</x:f>
      </x:c>
      <x:c r="E33" s="13" t="str">
        <x:f>IF(OR(COUNTA($A33)=0,'Status'!$G$5=""),"",IF(COUNTIFS('Estimates'!$A$5:$A$604,$A33,'Estimates'!$B$5:$B$604,"MPS",'Estimates'!$C$5:$C$604,'Status'!$G$5)=0,"",IF(COUNTIFS('Estimates'!$A$5:$A$604,$A33,'Estimates'!$B$5:$B$604,"MPS",'Estimates'!$C$5:$C$604,'Status'!$G$5)&gt;1,"DUP",SUMIFS('Estimates'!$F$5:$F$604,'Estimates'!$A$5:$A$604,$A33,'Estimates'!$B$5:$B$604,"MPS",'Estimates'!$C$5:$C$604,'Status'!$G$5))))</x:f>
      </x:c>
      <x:c r="F33" s="13" t="str">
        <x:f>IF(COUNT(C33:E33)&lt;2,"",_xlfn.STDEV.S(C33:E33))</x:f>
      </x:c>
      <x:c r="G33" s="13" t="str">
        <x:f>IF(AND(ISNUMBER(D33),ISNUMBER(E33)),ABS(E33-D33),"")</x:f>
      </x:c>
      <x:c r="H33" s="14" t="str">
        <x:f>IF(AND(ISNUMBER(D33),ISNUMBER(E33)),IF(D33=0,"n.a.",ABS(E33-D33)/ABS(D33)),"")</x:f>
      </x:c>
      <x:c r="I33" s="2" t="str">
        <x:f>IF(COUNTA(A33)=0,"",IF('Status'!$B$6="","Set tolerance",IF(COUNT(C33:E33)&lt;3,"Need 3 levels",IF(OR(C33=0,D33=0),"Use abs. Δ",IF(AND(ABS(D33-C33)/ABS(C33)&lt;='Status'!$B$6,H33&lt;='Status'!$B$6),"Yes","No")))))</x:f>
      </x:c>
      <x:c r="J33" s="13" t="str">
        <x:f>IF(OR(COUNTA($A33)=0,'Status'!$E$6=""),"",IF(COUNTIFS('Estimates'!$A$5:$A$604,$A33,'Estimates'!$B$5:$B$604,"PPS",'Estimates'!$D$5:$D$604,'Status'!$E$6,'Estimates'!$E$5:$E$604,'Status'!$E$7)=0,"",IF(COUNTIFS('Estimates'!$A$5:$A$604,$A33,'Estimates'!$B$5:$B$604,"PPS",'Estimates'!$D$5:$D$604,'Status'!$E$6,'Estimates'!$E$5:$E$604,'Status'!$E$7)&gt;1,"DUP",SUMIFS('Estimates'!$F$5:$F$604,'Estimates'!$A$5:$A$604,$A33,'Estimates'!$B$5:$B$604,"PPS",'Estimates'!$D$5:$D$604,'Status'!$E$6,'Estimates'!$E$5:$E$604,'Status'!$E$7))))</x:f>
      </x:c>
      <x:c r="K33" s="13" t="str">
        <x:f>IF(OR(COUNTA($A33)=0,'Status'!$F$6=""),"",IF(COUNTIFS('Estimates'!$A$5:$A$604,$A33,'Estimates'!$B$5:$B$604,"PPS",'Estimates'!$D$5:$D$604,'Status'!$F$6,'Estimates'!$E$5:$E$604,'Status'!$E$7)=0,"",IF(COUNTIFS('Estimates'!$A$5:$A$604,$A33,'Estimates'!$B$5:$B$604,"PPS",'Estimates'!$D$5:$D$604,'Status'!$F$6,'Estimates'!$E$5:$E$604,'Status'!$E$7)&gt;1,"DUP",SUMIFS('Estimates'!$F$5:$F$604,'Estimates'!$A$5:$A$604,$A33,'Estimates'!$B$5:$B$604,"PPS",'Estimates'!$D$5:$D$604,'Status'!$F$6,'Estimates'!$E$5:$E$604,'Status'!$E$7))))</x:f>
      </x:c>
      <x:c r="L33" s="13" t="str">
        <x:f>IF(OR(COUNTA($A33)=0,'Status'!$G$6=""),"",IF(COUNTIFS('Estimates'!$A$5:$A$604,$A33,'Estimates'!$B$5:$B$604,"PPS",'Estimates'!$D$5:$D$604,'Status'!$G$6,'Estimates'!$E$5:$E$604,'Status'!$E$7)=0,"",IF(COUNTIFS('Estimates'!$A$5:$A$604,$A33,'Estimates'!$B$5:$B$604,"PPS",'Estimates'!$D$5:$D$604,'Status'!$G$6,'Estimates'!$E$5:$E$604,'Status'!$E$7)&gt;1,"DUP",SUMIFS('Estimates'!$F$5:$F$604,'Estimates'!$A$5:$A$604,$A33,'Estimates'!$B$5:$B$604,"PPS",'Estimates'!$D$5:$D$604,'Status'!$G$6,'Estimates'!$E$5:$E$604,'Status'!$E$7))))</x:f>
      </x:c>
      <x:c r="M33" s="13" t="str">
        <x:f>IF(COUNT(J33:L33)&lt;2,"",_xlfn.STDEV.S(J33:L33))</x:f>
      </x:c>
      <x:c r="N33" s="13" t="str">
        <x:f>IF(AND(ISNUMBER(K33),ISNUMBER(L33)),ABS(L33-K33),"")</x:f>
      </x:c>
      <x:c r="O33" s="14" t="str">
        <x:f>IF(AND(ISNUMBER(K33),ISNUMBER(L33)),IF(K33=0,"n.a.",ABS(L33-K33)/ABS(K33)),"")</x:f>
      </x:c>
      <x:c r="P33" s="2" t="str">
        <x:f>IF(COUNTA(A33)=0,"",IF('Status'!$B$6="","Set tolerance",IF(COUNT(J33:L33)&lt;3,"Need 3 levels",IF(OR(J33=0,K33=0),"Use abs. Δ",IF(AND(ABS(K33-J33)/ABS(J33)&lt;='Status'!$B$6,O33&lt;='Status'!$B$6),"Yes","No")))))</x:f>
      </x:c>
      <x:c r="Q33" s="13" t="str">
        <x:f>IF(AND(ISNUMBER(E33),ISNUMBER(L33)),ABS(E33-L33),"")</x:f>
      </x:c>
      <x:c r="R33" s="2" t="str">
        <x:f>IF(COUNTA(A33)=0,"",IF(COUNT(C33:E33,J33:L33)&gt;0,1,0))</x:f>
      </x:c>
      <x:c r="S33" s="2" t="str">
        <x:f>IF(COUNTA(A33)=0,"",IF(COUNTIFS($A$6:$A$69,A33)&gt;1,"Duplicate target",""))</x:f>
      </x:c>
    </x:row>
    <x:row r="34">
      <x:c r="A34" s="6"/>
      <x:c r="B34" s="20"/>
      <x:c r="C34" s="13" t="str">
        <x:f>IF(OR(COUNTA($A34)=0,'Status'!$E$5=""),"",IF(COUNTIFS('Estimates'!$A$5:$A$604,$A34,'Estimates'!$B$5:$B$604,"MPS",'Estimates'!$C$5:$C$604,'Status'!$E$5)=0,"",IF(COUNTIFS('Estimates'!$A$5:$A$604,$A34,'Estimates'!$B$5:$B$604,"MPS",'Estimates'!$C$5:$C$604,'Status'!$E$5)&gt;1,"DUP",SUMIFS('Estimates'!$F$5:$F$604,'Estimates'!$A$5:$A$604,$A34,'Estimates'!$B$5:$B$604,"MPS",'Estimates'!$C$5:$C$604,'Status'!$E$5))))</x:f>
      </x:c>
      <x:c r="D34" s="13" t="str">
        <x:f>IF(OR(COUNTA($A34)=0,'Status'!$F$5=""),"",IF(COUNTIFS('Estimates'!$A$5:$A$604,$A34,'Estimates'!$B$5:$B$604,"MPS",'Estimates'!$C$5:$C$604,'Status'!$F$5)=0,"",IF(COUNTIFS('Estimates'!$A$5:$A$604,$A34,'Estimates'!$B$5:$B$604,"MPS",'Estimates'!$C$5:$C$604,'Status'!$F$5)&gt;1,"DUP",SUMIFS('Estimates'!$F$5:$F$604,'Estimates'!$A$5:$A$604,$A34,'Estimates'!$B$5:$B$604,"MPS",'Estimates'!$C$5:$C$604,'Status'!$F$5))))</x:f>
      </x:c>
      <x:c r="E34" s="13" t="str">
        <x:f>IF(OR(COUNTA($A34)=0,'Status'!$G$5=""),"",IF(COUNTIFS('Estimates'!$A$5:$A$604,$A34,'Estimates'!$B$5:$B$604,"MPS",'Estimates'!$C$5:$C$604,'Status'!$G$5)=0,"",IF(COUNTIFS('Estimates'!$A$5:$A$604,$A34,'Estimates'!$B$5:$B$604,"MPS",'Estimates'!$C$5:$C$604,'Status'!$G$5)&gt;1,"DUP",SUMIFS('Estimates'!$F$5:$F$604,'Estimates'!$A$5:$A$604,$A34,'Estimates'!$B$5:$B$604,"MPS",'Estimates'!$C$5:$C$604,'Status'!$G$5))))</x:f>
      </x:c>
      <x:c r="F34" s="13" t="str">
        <x:f>IF(COUNT(C34:E34)&lt;2,"",_xlfn.STDEV.S(C34:E34))</x:f>
      </x:c>
      <x:c r="G34" s="13" t="str">
        <x:f>IF(AND(ISNUMBER(D34),ISNUMBER(E34)),ABS(E34-D34),"")</x:f>
      </x:c>
      <x:c r="H34" s="14" t="str">
        <x:f>IF(AND(ISNUMBER(D34),ISNUMBER(E34)),IF(D34=0,"n.a.",ABS(E34-D34)/ABS(D34)),"")</x:f>
      </x:c>
      <x:c r="I34" s="2" t="str">
        <x:f>IF(COUNTA(A34)=0,"",IF('Status'!$B$6="","Set tolerance",IF(COUNT(C34:E34)&lt;3,"Need 3 levels",IF(OR(C34=0,D34=0),"Use abs. Δ",IF(AND(ABS(D34-C34)/ABS(C34)&lt;='Status'!$B$6,H34&lt;='Status'!$B$6),"Yes","No")))))</x:f>
      </x:c>
      <x:c r="J34" s="13" t="str">
        <x:f>IF(OR(COUNTA($A34)=0,'Status'!$E$6=""),"",IF(COUNTIFS('Estimates'!$A$5:$A$604,$A34,'Estimates'!$B$5:$B$604,"PPS",'Estimates'!$D$5:$D$604,'Status'!$E$6,'Estimates'!$E$5:$E$604,'Status'!$E$7)=0,"",IF(COUNTIFS('Estimates'!$A$5:$A$604,$A34,'Estimates'!$B$5:$B$604,"PPS",'Estimates'!$D$5:$D$604,'Status'!$E$6,'Estimates'!$E$5:$E$604,'Status'!$E$7)&gt;1,"DUP",SUMIFS('Estimates'!$F$5:$F$604,'Estimates'!$A$5:$A$604,$A34,'Estimates'!$B$5:$B$604,"PPS",'Estimates'!$D$5:$D$604,'Status'!$E$6,'Estimates'!$E$5:$E$604,'Status'!$E$7))))</x:f>
      </x:c>
      <x:c r="K34" s="13" t="str">
        <x:f>IF(OR(COUNTA($A34)=0,'Status'!$F$6=""),"",IF(COUNTIFS('Estimates'!$A$5:$A$604,$A34,'Estimates'!$B$5:$B$604,"PPS",'Estimates'!$D$5:$D$604,'Status'!$F$6,'Estimates'!$E$5:$E$604,'Status'!$E$7)=0,"",IF(COUNTIFS('Estimates'!$A$5:$A$604,$A34,'Estimates'!$B$5:$B$604,"PPS",'Estimates'!$D$5:$D$604,'Status'!$F$6,'Estimates'!$E$5:$E$604,'Status'!$E$7)&gt;1,"DUP",SUMIFS('Estimates'!$F$5:$F$604,'Estimates'!$A$5:$A$604,$A34,'Estimates'!$B$5:$B$604,"PPS",'Estimates'!$D$5:$D$604,'Status'!$F$6,'Estimates'!$E$5:$E$604,'Status'!$E$7))))</x:f>
      </x:c>
      <x:c r="L34" s="13" t="str">
        <x:f>IF(OR(COUNTA($A34)=0,'Status'!$G$6=""),"",IF(COUNTIFS('Estimates'!$A$5:$A$604,$A34,'Estimates'!$B$5:$B$604,"PPS",'Estimates'!$D$5:$D$604,'Status'!$G$6,'Estimates'!$E$5:$E$604,'Status'!$E$7)=0,"",IF(COUNTIFS('Estimates'!$A$5:$A$604,$A34,'Estimates'!$B$5:$B$604,"PPS",'Estimates'!$D$5:$D$604,'Status'!$G$6,'Estimates'!$E$5:$E$604,'Status'!$E$7)&gt;1,"DUP",SUMIFS('Estimates'!$F$5:$F$604,'Estimates'!$A$5:$A$604,$A34,'Estimates'!$B$5:$B$604,"PPS",'Estimates'!$D$5:$D$604,'Status'!$G$6,'Estimates'!$E$5:$E$604,'Status'!$E$7))))</x:f>
      </x:c>
      <x:c r="M34" s="13" t="str">
        <x:f>IF(COUNT(J34:L34)&lt;2,"",_xlfn.STDEV.S(J34:L34))</x:f>
      </x:c>
      <x:c r="N34" s="13" t="str">
        <x:f>IF(AND(ISNUMBER(K34),ISNUMBER(L34)),ABS(L34-K34),"")</x:f>
      </x:c>
      <x:c r="O34" s="14" t="str">
        <x:f>IF(AND(ISNUMBER(K34),ISNUMBER(L34)),IF(K34=0,"n.a.",ABS(L34-K34)/ABS(K34)),"")</x:f>
      </x:c>
      <x:c r="P34" s="2" t="str">
        <x:f>IF(COUNTA(A34)=0,"",IF('Status'!$B$6="","Set tolerance",IF(COUNT(J34:L34)&lt;3,"Need 3 levels",IF(OR(J34=0,K34=0),"Use abs. Δ",IF(AND(ABS(K34-J34)/ABS(J34)&lt;='Status'!$B$6,O34&lt;='Status'!$B$6),"Yes","No")))))</x:f>
      </x:c>
      <x:c r="Q34" s="13" t="str">
        <x:f>IF(AND(ISNUMBER(E34),ISNUMBER(L34)),ABS(E34-L34),"")</x:f>
      </x:c>
      <x:c r="R34" s="2" t="str">
        <x:f>IF(COUNTA(A34)=0,"",IF(COUNT(C34:E34,J34:L34)&gt;0,1,0))</x:f>
      </x:c>
      <x:c r="S34" s="2" t="str">
        <x:f>IF(COUNTA(A34)=0,"",IF(COUNTIFS($A$6:$A$69,A34)&gt;1,"Duplicate target",""))</x:f>
      </x:c>
    </x:row>
    <x:row r="35">
      <x:c r="A35" s="6"/>
      <x:c r="B35" s="20"/>
      <x:c r="C35" s="13" t="str">
        <x:f>IF(OR(COUNTA($A35)=0,'Status'!$E$5=""),"",IF(COUNTIFS('Estimates'!$A$5:$A$604,$A35,'Estimates'!$B$5:$B$604,"MPS",'Estimates'!$C$5:$C$604,'Status'!$E$5)=0,"",IF(COUNTIFS('Estimates'!$A$5:$A$604,$A35,'Estimates'!$B$5:$B$604,"MPS",'Estimates'!$C$5:$C$604,'Status'!$E$5)&gt;1,"DUP",SUMIFS('Estimates'!$F$5:$F$604,'Estimates'!$A$5:$A$604,$A35,'Estimates'!$B$5:$B$604,"MPS",'Estimates'!$C$5:$C$604,'Status'!$E$5))))</x:f>
      </x:c>
      <x:c r="D35" s="13" t="str">
        <x:f>IF(OR(COUNTA($A35)=0,'Status'!$F$5=""),"",IF(COUNTIFS('Estimates'!$A$5:$A$604,$A35,'Estimates'!$B$5:$B$604,"MPS",'Estimates'!$C$5:$C$604,'Status'!$F$5)=0,"",IF(COUNTIFS('Estimates'!$A$5:$A$604,$A35,'Estimates'!$B$5:$B$604,"MPS",'Estimates'!$C$5:$C$604,'Status'!$F$5)&gt;1,"DUP",SUMIFS('Estimates'!$F$5:$F$604,'Estimates'!$A$5:$A$604,$A35,'Estimates'!$B$5:$B$604,"MPS",'Estimates'!$C$5:$C$604,'Status'!$F$5))))</x:f>
      </x:c>
      <x:c r="E35" s="13" t="str">
        <x:f>IF(OR(COUNTA($A35)=0,'Status'!$G$5=""),"",IF(COUNTIFS('Estimates'!$A$5:$A$604,$A35,'Estimates'!$B$5:$B$604,"MPS",'Estimates'!$C$5:$C$604,'Status'!$G$5)=0,"",IF(COUNTIFS('Estimates'!$A$5:$A$604,$A35,'Estimates'!$B$5:$B$604,"MPS",'Estimates'!$C$5:$C$604,'Status'!$G$5)&gt;1,"DUP",SUMIFS('Estimates'!$F$5:$F$604,'Estimates'!$A$5:$A$604,$A35,'Estimates'!$B$5:$B$604,"MPS",'Estimates'!$C$5:$C$604,'Status'!$G$5))))</x:f>
      </x:c>
      <x:c r="F35" s="13" t="str">
        <x:f>IF(COUNT(C35:E35)&lt;2,"",_xlfn.STDEV.S(C35:E35))</x:f>
      </x:c>
      <x:c r="G35" s="13" t="str">
        <x:f>IF(AND(ISNUMBER(D35),ISNUMBER(E35)),ABS(E35-D35),"")</x:f>
      </x:c>
      <x:c r="H35" s="14" t="str">
        <x:f>IF(AND(ISNUMBER(D35),ISNUMBER(E35)),IF(D35=0,"n.a.",ABS(E35-D35)/ABS(D35)),"")</x:f>
      </x:c>
      <x:c r="I35" s="2" t="str">
        <x:f>IF(COUNTA(A35)=0,"",IF('Status'!$B$6="","Set tolerance",IF(COUNT(C35:E35)&lt;3,"Need 3 levels",IF(OR(C35=0,D35=0),"Use abs. Δ",IF(AND(ABS(D35-C35)/ABS(C35)&lt;='Status'!$B$6,H35&lt;='Status'!$B$6),"Yes","No")))))</x:f>
      </x:c>
      <x:c r="J35" s="13" t="str">
        <x:f>IF(OR(COUNTA($A35)=0,'Status'!$E$6=""),"",IF(COUNTIFS('Estimates'!$A$5:$A$604,$A35,'Estimates'!$B$5:$B$604,"PPS",'Estimates'!$D$5:$D$604,'Status'!$E$6,'Estimates'!$E$5:$E$604,'Status'!$E$7)=0,"",IF(COUNTIFS('Estimates'!$A$5:$A$604,$A35,'Estimates'!$B$5:$B$604,"PPS",'Estimates'!$D$5:$D$604,'Status'!$E$6,'Estimates'!$E$5:$E$604,'Status'!$E$7)&gt;1,"DUP",SUMIFS('Estimates'!$F$5:$F$604,'Estimates'!$A$5:$A$604,$A35,'Estimates'!$B$5:$B$604,"PPS",'Estimates'!$D$5:$D$604,'Status'!$E$6,'Estimates'!$E$5:$E$604,'Status'!$E$7))))</x:f>
      </x:c>
      <x:c r="K35" s="13" t="str">
        <x:f>IF(OR(COUNTA($A35)=0,'Status'!$F$6=""),"",IF(COUNTIFS('Estimates'!$A$5:$A$604,$A35,'Estimates'!$B$5:$B$604,"PPS",'Estimates'!$D$5:$D$604,'Status'!$F$6,'Estimates'!$E$5:$E$604,'Status'!$E$7)=0,"",IF(COUNTIFS('Estimates'!$A$5:$A$604,$A35,'Estimates'!$B$5:$B$604,"PPS",'Estimates'!$D$5:$D$604,'Status'!$F$6,'Estimates'!$E$5:$E$604,'Status'!$E$7)&gt;1,"DUP",SUMIFS('Estimates'!$F$5:$F$604,'Estimates'!$A$5:$A$604,$A35,'Estimates'!$B$5:$B$604,"PPS",'Estimates'!$D$5:$D$604,'Status'!$F$6,'Estimates'!$E$5:$E$604,'Status'!$E$7))))</x:f>
      </x:c>
      <x:c r="L35" s="13" t="str">
        <x:f>IF(OR(COUNTA($A35)=0,'Status'!$G$6=""),"",IF(COUNTIFS('Estimates'!$A$5:$A$604,$A35,'Estimates'!$B$5:$B$604,"PPS",'Estimates'!$D$5:$D$604,'Status'!$G$6,'Estimates'!$E$5:$E$604,'Status'!$E$7)=0,"",IF(COUNTIFS('Estimates'!$A$5:$A$604,$A35,'Estimates'!$B$5:$B$604,"PPS",'Estimates'!$D$5:$D$604,'Status'!$G$6,'Estimates'!$E$5:$E$604,'Status'!$E$7)&gt;1,"DUP",SUMIFS('Estimates'!$F$5:$F$604,'Estimates'!$A$5:$A$604,$A35,'Estimates'!$B$5:$B$604,"PPS",'Estimates'!$D$5:$D$604,'Status'!$G$6,'Estimates'!$E$5:$E$604,'Status'!$E$7))))</x:f>
      </x:c>
      <x:c r="M35" s="13" t="str">
        <x:f>IF(COUNT(J35:L35)&lt;2,"",_xlfn.STDEV.S(J35:L35))</x:f>
      </x:c>
      <x:c r="N35" s="13" t="str">
        <x:f>IF(AND(ISNUMBER(K35),ISNUMBER(L35)),ABS(L35-K35),"")</x:f>
      </x:c>
      <x:c r="O35" s="14" t="str">
        <x:f>IF(AND(ISNUMBER(K35),ISNUMBER(L35)),IF(K35=0,"n.a.",ABS(L35-K35)/ABS(K35)),"")</x:f>
      </x:c>
      <x:c r="P35" s="2" t="str">
        <x:f>IF(COUNTA(A35)=0,"",IF('Status'!$B$6="","Set tolerance",IF(COUNT(J35:L35)&lt;3,"Need 3 levels",IF(OR(J35=0,K35=0),"Use abs. Δ",IF(AND(ABS(K35-J35)/ABS(J35)&lt;='Status'!$B$6,O35&lt;='Status'!$B$6),"Yes","No")))))</x:f>
      </x:c>
      <x:c r="Q35" s="13" t="str">
        <x:f>IF(AND(ISNUMBER(E35),ISNUMBER(L35)),ABS(E35-L35),"")</x:f>
      </x:c>
      <x:c r="R35" s="2" t="str">
        <x:f>IF(COUNTA(A35)=0,"",IF(COUNT(C35:E35,J35:L35)&gt;0,1,0))</x:f>
      </x:c>
      <x:c r="S35" s="2" t="str">
        <x:f>IF(COUNTA(A35)=0,"",IF(COUNTIFS($A$6:$A$69,A35)&gt;1,"Duplicate target",""))</x:f>
      </x:c>
    </x:row>
    <x:row r="36">
      <x:c r="A36" s="6"/>
      <x:c r="B36" s="20"/>
      <x:c r="C36" s="13" t="str">
        <x:f>IF(OR(COUNTA($A36)=0,'Status'!$E$5=""),"",IF(COUNTIFS('Estimates'!$A$5:$A$604,$A36,'Estimates'!$B$5:$B$604,"MPS",'Estimates'!$C$5:$C$604,'Status'!$E$5)=0,"",IF(COUNTIFS('Estimates'!$A$5:$A$604,$A36,'Estimates'!$B$5:$B$604,"MPS",'Estimates'!$C$5:$C$604,'Status'!$E$5)&gt;1,"DUP",SUMIFS('Estimates'!$F$5:$F$604,'Estimates'!$A$5:$A$604,$A36,'Estimates'!$B$5:$B$604,"MPS",'Estimates'!$C$5:$C$604,'Status'!$E$5))))</x:f>
      </x:c>
      <x:c r="D36" s="13" t="str">
        <x:f>IF(OR(COUNTA($A36)=0,'Status'!$F$5=""),"",IF(COUNTIFS('Estimates'!$A$5:$A$604,$A36,'Estimates'!$B$5:$B$604,"MPS",'Estimates'!$C$5:$C$604,'Status'!$F$5)=0,"",IF(COUNTIFS('Estimates'!$A$5:$A$604,$A36,'Estimates'!$B$5:$B$604,"MPS",'Estimates'!$C$5:$C$604,'Status'!$F$5)&gt;1,"DUP",SUMIFS('Estimates'!$F$5:$F$604,'Estimates'!$A$5:$A$604,$A36,'Estimates'!$B$5:$B$604,"MPS",'Estimates'!$C$5:$C$604,'Status'!$F$5))))</x:f>
      </x:c>
      <x:c r="E36" s="13" t="str">
        <x:f>IF(OR(COUNTA($A36)=0,'Status'!$G$5=""),"",IF(COUNTIFS('Estimates'!$A$5:$A$604,$A36,'Estimates'!$B$5:$B$604,"MPS",'Estimates'!$C$5:$C$604,'Status'!$G$5)=0,"",IF(COUNTIFS('Estimates'!$A$5:$A$604,$A36,'Estimates'!$B$5:$B$604,"MPS",'Estimates'!$C$5:$C$604,'Status'!$G$5)&gt;1,"DUP",SUMIFS('Estimates'!$F$5:$F$604,'Estimates'!$A$5:$A$604,$A36,'Estimates'!$B$5:$B$604,"MPS",'Estimates'!$C$5:$C$604,'Status'!$G$5))))</x:f>
      </x:c>
      <x:c r="F36" s="13" t="str">
        <x:f>IF(COUNT(C36:E36)&lt;2,"",_xlfn.STDEV.S(C36:E36))</x:f>
      </x:c>
      <x:c r="G36" s="13" t="str">
        <x:f>IF(AND(ISNUMBER(D36),ISNUMBER(E36)),ABS(E36-D36),"")</x:f>
      </x:c>
      <x:c r="H36" s="14" t="str">
        <x:f>IF(AND(ISNUMBER(D36),ISNUMBER(E36)),IF(D36=0,"n.a.",ABS(E36-D36)/ABS(D36)),"")</x:f>
      </x:c>
      <x:c r="I36" s="2" t="str">
        <x:f>IF(COUNTA(A36)=0,"",IF('Status'!$B$6="","Set tolerance",IF(COUNT(C36:E36)&lt;3,"Need 3 levels",IF(OR(C36=0,D36=0),"Use abs. Δ",IF(AND(ABS(D36-C36)/ABS(C36)&lt;='Status'!$B$6,H36&lt;='Status'!$B$6),"Yes","No")))))</x:f>
      </x:c>
      <x:c r="J36" s="13" t="str">
        <x:f>IF(OR(COUNTA($A36)=0,'Status'!$E$6=""),"",IF(COUNTIFS('Estimates'!$A$5:$A$604,$A36,'Estimates'!$B$5:$B$604,"PPS",'Estimates'!$D$5:$D$604,'Status'!$E$6,'Estimates'!$E$5:$E$604,'Status'!$E$7)=0,"",IF(COUNTIFS('Estimates'!$A$5:$A$604,$A36,'Estimates'!$B$5:$B$604,"PPS",'Estimates'!$D$5:$D$604,'Status'!$E$6,'Estimates'!$E$5:$E$604,'Status'!$E$7)&gt;1,"DUP",SUMIFS('Estimates'!$F$5:$F$604,'Estimates'!$A$5:$A$604,$A36,'Estimates'!$B$5:$B$604,"PPS",'Estimates'!$D$5:$D$604,'Status'!$E$6,'Estimates'!$E$5:$E$604,'Status'!$E$7))))</x:f>
      </x:c>
      <x:c r="K36" s="13" t="str">
        <x:f>IF(OR(COUNTA($A36)=0,'Status'!$F$6=""),"",IF(COUNTIFS('Estimates'!$A$5:$A$604,$A36,'Estimates'!$B$5:$B$604,"PPS",'Estimates'!$D$5:$D$604,'Status'!$F$6,'Estimates'!$E$5:$E$604,'Status'!$E$7)=0,"",IF(COUNTIFS('Estimates'!$A$5:$A$604,$A36,'Estimates'!$B$5:$B$604,"PPS",'Estimates'!$D$5:$D$604,'Status'!$F$6,'Estimates'!$E$5:$E$604,'Status'!$E$7)&gt;1,"DUP",SUMIFS('Estimates'!$F$5:$F$604,'Estimates'!$A$5:$A$604,$A36,'Estimates'!$B$5:$B$604,"PPS",'Estimates'!$D$5:$D$604,'Status'!$F$6,'Estimates'!$E$5:$E$604,'Status'!$E$7))))</x:f>
      </x:c>
      <x:c r="L36" s="13" t="str">
        <x:f>IF(OR(COUNTA($A36)=0,'Status'!$G$6=""),"",IF(COUNTIFS('Estimates'!$A$5:$A$604,$A36,'Estimates'!$B$5:$B$604,"PPS",'Estimates'!$D$5:$D$604,'Status'!$G$6,'Estimates'!$E$5:$E$604,'Status'!$E$7)=0,"",IF(COUNTIFS('Estimates'!$A$5:$A$604,$A36,'Estimates'!$B$5:$B$604,"PPS",'Estimates'!$D$5:$D$604,'Status'!$G$6,'Estimates'!$E$5:$E$604,'Status'!$E$7)&gt;1,"DUP",SUMIFS('Estimates'!$F$5:$F$604,'Estimates'!$A$5:$A$604,$A36,'Estimates'!$B$5:$B$604,"PPS",'Estimates'!$D$5:$D$604,'Status'!$G$6,'Estimates'!$E$5:$E$604,'Status'!$E$7))))</x:f>
      </x:c>
      <x:c r="M36" s="13" t="str">
        <x:f>IF(COUNT(J36:L36)&lt;2,"",_xlfn.STDEV.S(J36:L36))</x:f>
      </x:c>
      <x:c r="N36" s="13" t="str">
        <x:f>IF(AND(ISNUMBER(K36),ISNUMBER(L36)),ABS(L36-K36),"")</x:f>
      </x:c>
      <x:c r="O36" s="14" t="str">
        <x:f>IF(AND(ISNUMBER(K36),ISNUMBER(L36)),IF(K36=0,"n.a.",ABS(L36-K36)/ABS(K36)),"")</x:f>
      </x:c>
      <x:c r="P36" s="2" t="str">
        <x:f>IF(COUNTA(A36)=0,"",IF('Status'!$B$6="","Set tolerance",IF(COUNT(J36:L36)&lt;3,"Need 3 levels",IF(OR(J36=0,K36=0),"Use abs. Δ",IF(AND(ABS(K36-J36)/ABS(J36)&lt;='Status'!$B$6,O36&lt;='Status'!$B$6),"Yes","No")))))</x:f>
      </x:c>
      <x:c r="Q36" s="13" t="str">
        <x:f>IF(AND(ISNUMBER(E36),ISNUMBER(L36)),ABS(E36-L36),"")</x:f>
      </x:c>
      <x:c r="R36" s="2" t="str">
        <x:f>IF(COUNTA(A36)=0,"",IF(COUNT(C36:E36,J36:L36)&gt;0,1,0))</x:f>
      </x:c>
      <x:c r="S36" s="2" t="str">
        <x:f>IF(COUNTA(A36)=0,"",IF(COUNTIFS($A$6:$A$69,A36)&gt;1,"Duplicate target",""))</x:f>
      </x:c>
    </x:row>
    <x:row r="37">
      <x:c r="A37" s="6"/>
      <x:c r="B37" s="20"/>
      <x:c r="C37" s="13" t="str">
        <x:f>IF(OR(COUNTA($A37)=0,'Status'!$E$5=""),"",IF(COUNTIFS('Estimates'!$A$5:$A$604,$A37,'Estimates'!$B$5:$B$604,"MPS",'Estimates'!$C$5:$C$604,'Status'!$E$5)=0,"",IF(COUNTIFS('Estimates'!$A$5:$A$604,$A37,'Estimates'!$B$5:$B$604,"MPS",'Estimates'!$C$5:$C$604,'Status'!$E$5)&gt;1,"DUP",SUMIFS('Estimates'!$F$5:$F$604,'Estimates'!$A$5:$A$604,$A37,'Estimates'!$B$5:$B$604,"MPS",'Estimates'!$C$5:$C$604,'Status'!$E$5))))</x:f>
      </x:c>
      <x:c r="D37" s="13" t="str">
        <x:f>IF(OR(COUNTA($A37)=0,'Status'!$F$5=""),"",IF(COUNTIFS('Estimates'!$A$5:$A$604,$A37,'Estimates'!$B$5:$B$604,"MPS",'Estimates'!$C$5:$C$604,'Status'!$F$5)=0,"",IF(COUNTIFS('Estimates'!$A$5:$A$604,$A37,'Estimates'!$B$5:$B$604,"MPS",'Estimates'!$C$5:$C$604,'Status'!$F$5)&gt;1,"DUP",SUMIFS('Estimates'!$F$5:$F$604,'Estimates'!$A$5:$A$604,$A37,'Estimates'!$B$5:$B$604,"MPS",'Estimates'!$C$5:$C$604,'Status'!$F$5))))</x:f>
      </x:c>
      <x:c r="E37" s="13" t="str">
        <x:f>IF(OR(COUNTA($A37)=0,'Status'!$G$5=""),"",IF(COUNTIFS('Estimates'!$A$5:$A$604,$A37,'Estimates'!$B$5:$B$604,"MPS",'Estimates'!$C$5:$C$604,'Status'!$G$5)=0,"",IF(COUNTIFS('Estimates'!$A$5:$A$604,$A37,'Estimates'!$B$5:$B$604,"MPS",'Estimates'!$C$5:$C$604,'Status'!$G$5)&gt;1,"DUP",SUMIFS('Estimates'!$F$5:$F$604,'Estimates'!$A$5:$A$604,$A37,'Estimates'!$B$5:$B$604,"MPS",'Estimates'!$C$5:$C$604,'Status'!$G$5))))</x:f>
      </x:c>
      <x:c r="F37" s="13" t="str">
        <x:f>IF(COUNT(C37:E37)&lt;2,"",_xlfn.STDEV.S(C37:E37))</x:f>
      </x:c>
      <x:c r="G37" s="13" t="str">
        <x:f>IF(AND(ISNUMBER(D37),ISNUMBER(E37)),ABS(E37-D37),"")</x:f>
      </x:c>
      <x:c r="H37" s="14" t="str">
        <x:f>IF(AND(ISNUMBER(D37),ISNUMBER(E37)),IF(D37=0,"n.a.",ABS(E37-D37)/ABS(D37)),"")</x:f>
      </x:c>
      <x:c r="I37" s="2" t="str">
        <x:f>IF(COUNTA(A37)=0,"",IF('Status'!$B$6="","Set tolerance",IF(COUNT(C37:E37)&lt;3,"Need 3 levels",IF(OR(C37=0,D37=0),"Use abs. Δ",IF(AND(ABS(D37-C37)/ABS(C37)&lt;='Status'!$B$6,H37&lt;='Status'!$B$6),"Yes","No")))))</x:f>
      </x:c>
      <x:c r="J37" s="13" t="str">
        <x:f>IF(OR(COUNTA($A37)=0,'Status'!$E$6=""),"",IF(COUNTIFS('Estimates'!$A$5:$A$604,$A37,'Estimates'!$B$5:$B$604,"PPS",'Estimates'!$D$5:$D$604,'Status'!$E$6,'Estimates'!$E$5:$E$604,'Status'!$E$7)=0,"",IF(COUNTIFS('Estimates'!$A$5:$A$604,$A37,'Estimates'!$B$5:$B$604,"PPS",'Estimates'!$D$5:$D$604,'Status'!$E$6,'Estimates'!$E$5:$E$604,'Status'!$E$7)&gt;1,"DUP",SUMIFS('Estimates'!$F$5:$F$604,'Estimates'!$A$5:$A$604,$A37,'Estimates'!$B$5:$B$604,"PPS",'Estimates'!$D$5:$D$604,'Status'!$E$6,'Estimates'!$E$5:$E$604,'Status'!$E$7))))</x:f>
      </x:c>
      <x:c r="K37" s="13" t="str">
        <x:f>IF(OR(COUNTA($A37)=0,'Status'!$F$6=""),"",IF(COUNTIFS('Estimates'!$A$5:$A$604,$A37,'Estimates'!$B$5:$B$604,"PPS",'Estimates'!$D$5:$D$604,'Status'!$F$6,'Estimates'!$E$5:$E$604,'Status'!$E$7)=0,"",IF(COUNTIFS('Estimates'!$A$5:$A$604,$A37,'Estimates'!$B$5:$B$604,"PPS",'Estimates'!$D$5:$D$604,'Status'!$F$6,'Estimates'!$E$5:$E$604,'Status'!$E$7)&gt;1,"DUP",SUMIFS('Estimates'!$F$5:$F$604,'Estimates'!$A$5:$A$604,$A37,'Estimates'!$B$5:$B$604,"PPS",'Estimates'!$D$5:$D$604,'Status'!$F$6,'Estimates'!$E$5:$E$604,'Status'!$E$7))))</x:f>
      </x:c>
      <x:c r="L37" s="13" t="str">
        <x:f>IF(OR(COUNTA($A37)=0,'Status'!$G$6=""),"",IF(COUNTIFS('Estimates'!$A$5:$A$604,$A37,'Estimates'!$B$5:$B$604,"PPS",'Estimates'!$D$5:$D$604,'Status'!$G$6,'Estimates'!$E$5:$E$604,'Status'!$E$7)=0,"",IF(COUNTIFS('Estimates'!$A$5:$A$604,$A37,'Estimates'!$B$5:$B$604,"PPS",'Estimates'!$D$5:$D$604,'Status'!$G$6,'Estimates'!$E$5:$E$604,'Status'!$E$7)&gt;1,"DUP",SUMIFS('Estimates'!$F$5:$F$604,'Estimates'!$A$5:$A$604,$A37,'Estimates'!$B$5:$B$604,"PPS",'Estimates'!$D$5:$D$604,'Status'!$G$6,'Estimates'!$E$5:$E$604,'Status'!$E$7))))</x:f>
      </x:c>
      <x:c r="M37" s="13" t="str">
        <x:f>IF(COUNT(J37:L37)&lt;2,"",_xlfn.STDEV.S(J37:L37))</x:f>
      </x:c>
      <x:c r="N37" s="13" t="str">
        <x:f>IF(AND(ISNUMBER(K37),ISNUMBER(L37)),ABS(L37-K37),"")</x:f>
      </x:c>
      <x:c r="O37" s="14" t="str">
        <x:f>IF(AND(ISNUMBER(K37),ISNUMBER(L37)),IF(K37=0,"n.a.",ABS(L37-K37)/ABS(K37)),"")</x:f>
      </x:c>
      <x:c r="P37" s="2" t="str">
        <x:f>IF(COUNTA(A37)=0,"",IF('Status'!$B$6="","Set tolerance",IF(COUNT(J37:L37)&lt;3,"Need 3 levels",IF(OR(J37=0,K37=0),"Use abs. Δ",IF(AND(ABS(K37-J37)/ABS(J37)&lt;='Status'!$B$6,O37&lt;='Status'!$B$6),"Yes","No")))))</x:f>
      </x:c>
      <x:c r="Q37" s="13" t="str">
        <x:f>IF(AND(ISNUMBER(E37),ISNUMBER(L37)),ABS(E37-L37),"")</x:f>
      </x:c>
      <x:c r="R37" s="2" t="str">
        <x:f>IF(COUNTA(A37)=0,"",IF(COUNT(C37:E37,J37:L37)&gt;0,1,0))</x:f>
      </x:c>
      <x:c r="S37" s="2" t="str">
        <x:f>IF(COUNTA(A37)=0,"",IF(COUNTIFS($A$6:$A$69,A37)&gt;1,"Duplicate target",""))</x:f>
      </x:c>
    </x:row>
    <x:row r="38">
      <x:c r="A38" s="6"/>
      <x:c r="B38" s="20"/>
      <x:c r="C38" s="13" t="str">
        <x:f>IF(OR(COUNTA($A38)=0,'Status'!$E$5=""),"",IF(COUNTIFS('Estimates'!$A$5:$A$604,$A38,'Estimates'!$B$5:$B$604,"MPS",'Estimates'!$C$5:$C$604,'Status'!$E$5)=0,"",IF(COUNTIFS('Estimates'!$A$5:$A$604,$A38,'Estimates'!$B$5:$B$604,"MPS",'Estimates'!$C$5:$C$604,'Status'!$E$5)&gt;1,"DUP",SUMIFS('Estimates'!$F$5:$F$604,'Estimates'!$A$5:$A$604,$A38,'Estimates'!$B$5:$B$604,"MPS",'Estimates'!$C$5:$C$604,'Status'!$E$5))))</x:f>
      </x:c>
      <x:c r="D38" s="13" t="str">
        <x:f>IF(OR(COUNTA($A38)=0,'Status'!$F$5=""),"",IF(COUNTIFS('Estimates'!$A$5:$A$604,$A38,'Estimates'!$B$5:$B$604,"MPS",'Estimates'!$C$5:$C$604,'Status'!$F$5)=0,"",IF(COUNTIFS('Estimates'!$A$5:$A$604,$A38,'Estimates'!$B$5:$B$604,"MPS",'Estimates'!$C$5:$C$604,'Status'!$F$5)&gt;1,"DUP",SUMIFS('Estimates'!$F$5:$F$604,'Estimates'!$A$5:$A$604,$A38,'Estimates'!$B$5:$B$604,"MPS",'Estimates'!$C$5:$C$604,'Status'!$F$5))))</x:f>
      </x:c>
      <x:c r="E38" s="13" t="str">
        <x:f>IF(OR(COUNTA($A38)=0,'Status'!$G$5=""),"",IF(COUNTIFS('Estimates'!$A$5:$A$604,$A38,'Estimates'!$B$5:$B$604,"MPS",'Estimates'!$C$5:$C$604,'Status'!$G$5)=0,"",IF(COUNTIFS('Estimates'!$A$5:$A$604,$A38,'Estimates'!$B$5:$B$604,"MPS",'Estimates'!$C$5:$C$604,'Status'!$G$5)&gt;1,"DUP",SUMIFS('Estimates'!$F$5:$F$604,'Estimates'!$A$5:$A$604,$A38,'Estimates'!$B$5:$B$604,"MPS",'Estimates'!$C$5:$C$604,'Status'!$G$5))))</x:f>
      </x:c>
      <x:c r="F38" s="13" t="str">
        <x:f>IF(COUNT(C38:E38)&lt;2,"",_xlfn.STDEV.S(C38:E38))</x:f>
      </x:c>
      <x:c r="G38" s="13" t="str">
        <x:f>IF(AND(ISNUMBER(D38),ISNUMBER(E38)),ABS(E38-D38),"")</x:f>
      </x:c>
      <x:c r="H38" s="14" t="str">
        <x:f>IF(AND(ISNUMBER(D38),ISNUMBER(E38)),IF(D38=0,"n.a.",ABS(E38-D38)/ABS(D38)),"")</x:f>
      </x:c>
      <x:c r="I38" s="2" t="str">
        <x:f>IF(COUNTA(A38)=0,"",IF('Status'!$B$6="","Set tolerance",IF(COUNT(C38:E38)&lt;3,"Need 3 levels",IF(OR(C38=0,D38=0),"Use abs. Δ",IF(AND(ABS(D38-C38)/ABS(C38)&lt;='Status'!$B$6,H38&lt;='Status'!$B$6),"Yes","No")))))</x:f>
      </x:c>
      <x:c r="J38" s="13" t="str">
        <x:f>IF(OR(COUNTA($A38)=0,'Status'!$E$6=""),"",IF(COUNTIFS('Estimates'!$A$5:$A$604,$A38,'Estimates'!$B$5:$B$604,"PPS",'Estimates'!$D$5:$D$604,'Status'!$E$6,'Estimates'!$E$5:$E$604,'Status'!$E$7)=0,"",IF(COUNTIFS('Estimates'!$A$5:$A$604,$A38,'Estimates'!$B$5:$B$604,"PPS",'Estimates'!$D$5:$D$604,'Status'!$E$6,'Estimates'!$E$5:$E$604,'Status'!$E$7)&gt;1,"DUP",SUMIFS('Estimates'!$F$5:$F$604,'Estimates'!$A$5:$A$604,$A38,'Estimates'!$B$5:$B$604,"PPS",'Estimates'!$D$5:$D$604,'Status'!$E$6,'Estimates'!$E$5:$E$604,'Status'!$E$7))))</x:f>
      </x:c>
      <x:c r="K38" s="13" t="str">
        <x:f>IF(OR(COUNTA($A38)=0,'Status'!$F$6=""),"",IF(COUNTIFS('Estimates'!$A$5:$A$604,$A38,'Estimates'!$B$5:$B$604,"PPS",'Estimates'!$D$5:$D$604,'Status'!$F$6,'Estimates'!$E$5:$E$604,'Status'!$E$7)=0,"",IF(COUNTIFS('Estimates'!$A$5:$A$604,$A38,'Estimates'!$B$5:$B$604,"PPS",'Estimates'!$D$5:$D$604,'Status'!$F$6,'Estimates'!$E$5:$E$604,'Status'!$E$7)&gt;1,"DUP",SUMIFS('Estimates'!$F$5:$F$604,'Estimates'!$A$5:$A$604,$A38,'Estimates'!$B$5:$B$604,"PPS",'Estimates'!$D$5:$D$604,'Status'!$F$6,'Estimates'!$E$5:$E$604,'Status'!$E$7))))</x:f>
      </x:c>
      <x:c r="L38" s="13" t="str">
        <x:f>IF(OR(COUNTA($A38)=0,'Status'!$G$6=""),"",IF(COUNTIFS('Estimates'!$A$5:$A$604,$A38,'Estimates'!$B$5:$B$604,"PPS",'Estimates'!$D$5:$D$604,'Status'!$G$6,'Estimates'!$E$5:$E$604,'Status'!$E$7)=0,"",IF(COUNTIFS('Estimates'!$A$5:$A$604,$A38,'Estimates'!$B$5:$B$604,"PPS",'Estimates'!$D$5:$D$604,'Status'!$G$6,'Estimates'!$E$5:$E$604,'Status'!$E$7)&gt;1,"DUP",SUMIFS('Estimates'!$F$5:$F$604,'Estimates'!$A$5:$A$604,$A38,'Estimates'!$B$5:$B$604,"PPS",'Estimates'!$D$5:$D$604,'Status'!$G$6,'Estimates'!$E$5:$E$604,'Status'!$E$7))))</x:f>
      </x:c>
      <x:c r="M38" s="13" t="str">
        <x:f>IF(COUNT(J38:L38)&lt;2,"",_xlfn.STDEV.S(J38:L38))</x:f>
      </x:c>
      <x:c r="N38" s="13" t="str">
        <x:f>IF(AND(ISNUMBER(K38),ISNUMBER(L38)),ABS(L38-K38),"")</x:f>
      </x:c>
      <x:c r="O38" s="14" t="str">
        <x:f>IF(AND(ISNUMBER(K38),ISNUMBER(L38)),IF(K38=0,"n.a.",ABS(L38-K38)/ABS(K38)),"")</x:f>
      </x:c>
      <x:c r="P38" s="2" t="str">
        <x:f>IF(COUNTA(A38)=0,"",IF('Status'!$B$6="","Set tolerance",IF(COUNT(J38:L38)&lt;3,"Need 3 levels",IF(OR(J38=0,K38=0),"Use abs. Δ",IF(AND(ABS(K38-J38)/ABS(J38)&lt;='Status'!$B$6,O38&lt;='Status'!$B$6),"Yes","No")))))</x:f>
      </x:c>
      <x:c r="Q38" s="13" t="str">
        <x:f>IF(AND(ISNUMBER(E38),ISNUMBER(L38)),ABS(E38-L38),"")</x:f>
      </x:c>
      <x:c r="R38" s="2" t="str">
        <x:f>IF(COUNTA(A38)=0,"",IF(COUNT(C38:E38,J38:L38)&gt;0,1,0))</x:f>
      </x:c>
      <x:c r="S38" s="2" t="str">
        <x:f>IF(COUNTA(A38)=0,"",IF(COUNTIFS($A$6:$A$69,A38)&gt;1,"Duplicate target",""))</x:f>
      </x:c>
    </x:row>
    <x:row r="39">
      <x:c r="A39" s="6"/>
      <x:c r="B39" s="20"/>
      <x:c r="C39" s="13" t="str">
        <x:f>IF(OR(COUNTA($A39)=0,'Status'!$E$5=""),"",IF(COUNTIFS('Estimates'!$A$5:$A$604,$A39,'Estimates'!$B$5:$B$604,"MPS",'Estimates'!$C$5:$C$604,'Status'!$E$5)=0,"",IF(COUNTIFS('Estimates'!$A$5:$A$604,$A39,'Estimates'!$B$5:$B$604,"MPS",'Estimates'!$C$5:$C$604,'Status'!$E$5)&gt;1,"DUP",SUMIFS('Estimates'!$F$5:$F$604,'Estimates'!$A$5:$A$604,$A39,'Estimates'!$B$5:$B$604,"MPS",'Estimates'!$C$5:$C$604,'Status'!$E$5))))</x:f>
      </x:c>
      <x:c r="D39" s="13" t="str">
        <x:f>IF(OR(COUNTA($A39)=0,'Status'!$F$5=""),"",IF(COUNTIFS('Estimates'!$A$5:$A$604,$A39,'Estimates'!$B$5:$B$604,"MPS",'Estimates'!$C$5:$C$604,'Status'!$F$5)=0,"",IF(COUNTIFS('Estimates'!$A$5:$A$604,$A39,'Estimates'!$B$5:$B$604,"MPS",'Estimates'!$C$5:$C$604,'Status'!$F$5)&gt;1,"DUP",SUMIFS('Estimates'!$F$5:$F$604,'Estimates'!$A$5:$A$604,$A39,'Estimates'!$B$5:$B$604,"MPS",'Estimates'!$C$5:$C$604,'Status'!$F$5))))</x:f>
      </x:c>
      <x:c r="E39" s="13" t="str">
        <x:f>IF(OR(COUNTA($A39)=0,'Status'!$G$5=""),"",IF(COUNTIFS('Estimates'!$A$5:$A$604,$A39,'Estimates'!$B$5:$B$604,"MPS",'Estimates'!$C$5:$C$604,'Status'!$G$5)=0,"",IF(COUNTIFS('Estimates'!$A$5:$A$604,$A39,'Estimates'!$B$5:$B$604,"MPS",'Estimates'!$C$5:$C$604,'Status'!$G$5)&gt;1,"DUP",SUMIFS('Estimates'!$F$5:$F$604,'Estimates'!$A$5:$A$604,$A39,'Estimates'!$B$5:$B$604,"MPS",'Estimates'!$C$5:$C$604,'Status'!$G$5))))</x:f>
      </x:c>
      <x:c r="F39" s="13" t="str">
        <x:f>IF(COUNT(C39:E39)&lt;2,"",_xlfn.STDEV.S(C39:E39))</x:f>
      </x:c>
      <x:c r="G39" s="13" t="str">
        <x:f>IF(AND(ISNUMBER(D39),ISNUMBER(E39)),ABS(E39-D39),"")</x:f>
      </x:c>
      <x:c r="H39" s="14" t="str">
        <x:f>IF(AND(ISNUMBER(D39),ISNUMBER(E39)),IF(D39=0,"n.a.",ABS(E39-D39)/ABS(D39)),"")</x:f>
      </x:c>
      <x:c r="I39" s="2" t="str">
        <x:f>IF(COUNTA(A39)=0,"",IF('Status'!$B$6="","Set tolerance",IF(COUNT(C39:E39)&lt;3,"Need 3 levels",IF(OR(C39=0,D39=0),"Use abs. Δ",IF(AND(ABS(D39-C39)/ABS(C39)&lt;='Status'!$B$6,H39&lt;='Status'!$B$6),"Yes","No")))))</x:f>
      </x:c>
      <x:c r="J39" s="13" t="str">
        <x:f>IF(OR(COUNTA($A39)=0,'Status'!$E$6=""),"",IF(COUNTIFS('Estimates'!$A$5:$A$604,$A39,'Estimates'!$B$5:$B$604,"PPS",'Estimates'!$D$5:$D$604,'Status'!$E$6,'Estimates'!$E$5:$E$604,'Status'!$E$7)=0,"",IF(COUNTIFS('Estimates'!$A$5:$A$604,$A39,'Estimates'!$B$5:$B$604,"PPS",'Estimates'!$D$5:$D$604,'Status'!$E$6,'Estimates'!$E$5:$E$604,'Status'!$E$7)&gt;1,"DUP",SUMIFS('Estimates'!$F$5:$F$604,'Estimates'!$A$5:$A$604,$A39,'Estimates'!$B$5:$B$604,"PPS",'Estimates'!$D$5:$D$604,'Status'!$E$6,'Estimates'!$E$5:$E$604,'Status'!$E$7))))</x:f>
      </x:c>
      <x:c r="K39" s="13" t="str">
        <x:f>IF(OR(COUNTA($A39)=0,'Status'!$F$6=""),"",IF(COUNTIFS('Estimates'!$A$5:$A$604,$A39,'Estimates'!$B$5:$B$604,"PPS",'Estimates'!$D$5:$D$604,'Status'!$F$6,'Estimates'!$E$5:$E$604,'Status'!$E$7)=0,"",IF(COUNTIFS('Estimates'!$A$5:$A$604,$A39,'Estimates'!$B$5:$B$604,"PPS",'Estimates'!$D$5:$D$604,'Status'!$F$6,'Estimates'!$E$5:$E$604,'Status'!$E$7)&gt;1,"DUP",SUMIFS('Estimates'!$F$5:$F$604,'Estimates'!$A$5:$A$604,$A39,'Estimates'!$B$5:$B$604,"PPS",'Estimates'!$D$5:$D$604,'Status'!$F$6,'Estimates'!$E$5:$E$604,'Status'!$E$7))))</x:f>
      </x:c>
      <x:c r="L39" s="13" t="str">
        <x:f>IF(OR(COUNTA($A39)=0,'Status'!$G$6=""),"",IF(COUNTIFS('Estimates'!$A$5:$A$604,$A39,'Estimates'!$B$5:$B$604,"PPS",'Estimates'!$D$5:$D$604,'Status'!$G$6,'Estimates'!$E$5:$E$604,'Status'!$E$7)=0,"",IF(COUNTIFS('Estimates'!$A$5:$A$604,$A39,'Estimates'!$B$5:$B$604,"PPS",'Estimates'!$D$5:$D$604,'Status'!$G$6,'Estimates'!$E$5:$E$604,'Status'!$E$7)&gt;1,"DUP",SUMIFS('Estimates'!$F$5:$F$604,'Estimates'!$A$5:$A$604,$A39,'Estimates'!$B$5:$B$604,"PPS",'Estimates'!$D$5:$D$604,'Status'!$G$6,'Estimates'!$E$5:$E$604,'Status'!$E$7))))</x:f>
      </x:c>
      <x:c r="M39" s="13" t="str">
        <x:f>IF(COUNT(J39:L39)&lt;2,"",_xlfn.STDEV.S(J39:L39))</x:f>
      </x:c>
      <x:c r="N39" s="13" t="str">
        <x:f>IF(AND(ISNUMBER(K39),ISNUMBER(L39)),ABS(L39-K39),"")</x:f>
      </x:c>
      <x:c r="O39" s="14" t="str">
        <x:f>IF(AND(ISNUMBER(K39),ISNUMBER(L39)),IF(K39=0,"n.a.",ABS(L39-K39)/ABS(K39)),"")</x:f>
      </x:c>
      <x:c r="P39" s="2" t="str">
        <x:f>IF(COUNTA(A39)=0,"",IF('Status'!$B$6="","Set tolerance",IF(COUNT(J39:L39)&lt;3,"Need 3 levels",IF(OR(J39=0,K39=0),"Use abs. Δ",IF(AND(ABS(K39-J39)/ABS(J39)&lt;='Status'!$B$6,O39&lt;='Status'!$B$6),"Yes","No")))))</x:f>
      </x:c>
      <x:c r="Q39" s="13" t="str">
        <x:f>IF(AND(ISNUMBER(E39),ISNUMBER(L39)),ABS(E39-L39),"")</x:f>
      </x:c>
      <x:c r="R39" s="2" t="str">
        <x:f>IF(COUNTA(A39)=0,"",IF(COUNT(C39:E39,J39:L39)&gt;0,1,0))</x:f>
      </x:c>
      <x:c r="S39" s="2" t="str">
        <x:f>IF(COUNTA(A39)=0,"",IF(COUNTIFS($A$6:$A$69,A39)&gt;1,"Duplicate target",""))</x:f>
      </x:c>
    </x:row>
    <x:row r="40">
      <x:c r="A40" s="6"/>
      <x:c r="B40" s="20"/>
      <x:c r="C40" s="13" t="str">
        <x:f>IF(OR(COUNTA($A40)=0,'Status'!$E$5=""),"",IF(COUNTIFS('Estimates'!$A$5:$A$604,$A40,'Estimates'!$B$5:$B$604,"MPS",'Estimates'!$C$5:$C$604,'Status'!$E$5)=0,"",IF(COUNTIFS('Estimates'!$A$5:$A$604,$A40,'Estimates'!$B$5:$B$604,"MPS",'Estimates'!$C$5:$C$604,'Status'!$E$5)&gt;1,"DUP",SUMIFS('Estimates'!$F$5:$F$604,'Estimates'!$A$5:$A$604,$A40,'Estimates'!$B$5:$B$604,"MPS",'Estimates'!$C$5:$C$604,'Status'!$E$5))))</x:f>
      </x:c>
      <x:c r="D40" s="13" t="str">
        <x:f>IF(OR(COUNTA($A40)=0,'Status'!$F$5=""),"",IF(COUNTIFS('Estimates'!$A$5:$A$604,$A40,'Estimates'!$B$5:$B$604,"MPS",'Estimates'!$C$5:$C$604,'Status'!$F$5)=0,"",IF(COUNTIFS('Estimates'!$A$5:$A$604,$A40,'Estimates'!$B$5:$B$604,"MPS",'Estimates'!$C$5:$C$604,'Status'!$F$5)&gt;1,"DUP",SUMIFS('Estimates'!$F$5:$F$604,'Estimates'!$A$5:$A$604,$A40,'Estimates'!$B$5:$B$604,"MPS",'Estimates'!$C$5:$C$604,'Status'!$F$5))))</x:f>
      </x:c>
      <x:c r="E40" s="13" t="str">
        <x:f>IF(OR(COUNTA($A40)=0,'Status'!$G$5=""),"",IF(COUNTIFS('Estimates'!$A$5:$A$604,$A40,'Estimates'!$B$5:$B$604,"MPS",'Estimates'!$C$5:$C$604,'Status'!$G$5)=0,"",IF(COUNTIFS('Estimates'!$A$5:$A$604,$A40,'Estimates'!$B$5:$B$604,"MPS",'Estimates'!$C$5:$C$604,'Status'!$G$5)&gt;1,"DUP",SUMIFS('Estimates'!$F$5:$F$604,'Estimates'!$A$5:$A$604,$A40,'Estimates'!$B$5:$B$604,"MPS",'Estimates'!$C$5:$C$604,'Status'!$G$5))))</x:f>
      </x:c>
      <x:c r="F40" s="13" t="str">
        <x:f>IF(COUNT(C40:E40)&lt;2,"",_xlfn.STDEV.S(C40:E40))</x:f>
      </x:c>
      <x:c r="G40" s="13" t="str">
        <x:f>IF(AND(ISNUMBER(D40),ISNUMBER(E40)),ABS(E40-D40),"")</x:f>
      </x:c>
      <x:c r="H40" s="14" t="str">
        <x:f>IF(AND(ISNUMBER(D40),ISNUMBER(E40)),IF(D40=0,"n.a.",ABS(E40-D40)/ABS(D40)),"")</x:f>
      </x:c>
      <x:c r="I40" s="2" t="str">
        <x:f>IF(COUNTA(A40)=0,"",IF('Status'!$B$6="","Set tolerance",IF(COUNT(C40:E40)&lt;3,"Need 3 levels",IF(OR(C40=0,D40=0),"Use abs. Δ",IF(AND(ABS(D40-C40)/ABS(C40)&lt;='Status'!$B$6,H40&lt;='Status'!$B$6),"Yes","No")))))</x:f>
      </x:c>
      <x:c r="J40" s="13" t="str">
        <x:f>IF(OR(COUNTA($A40)=0,'Status'!$E$6=""),"",IF(COUNTIFS('Estimates'!$A$5:$A$604,$A40,'Estimates'!$B$5:$B$604,"PPS",'Estimates'!$D$5:$D$604,'Status'!$E$6,'Estimates'!$E$5:$E$604,'Status'!$E$7)=0,"",IF(COUNTIFS('Estimates'!$A$5:$A$604,$A40,'Estimates'!$B$5:$B$604,"PPS",'Estimates'!$D$5:$D$604,'Status'!$E$6,'Estimates'!$E$5:$E$604,'Status'!$E$7)&gt;1,"DUP",SUMIFS('Estimates'!$F$5:$F$604,'Estimates'!$A$5:$A$604,$A40,'Estimates'!$B$5:$B$604,"PPS",'Estimates'!$D$5:$D$604,'Status'!$E$6,'Estimates'!$E$5:$E$604,'Status'!$E$7))))</x:f>
      </x:c>
      <x:c r="K40" s="13" t="str">
        <x:f>IF(OR(COUNTA($A40)=0,'Status'!$F$6=""),"",IF(COUNTIFS('Estimates'!$A$5:$A$604,$A40,'Estimates'!$B$5:$B$604,"PPS",'Estimates'!$D$5:$D$604,'Status'!$F$6,'Estimates'!$E$5:$E$604,'Status'!$E$7)=0,"",IF(COUNTIFS('Estimates'!$A$5:$A$604,$A40,'Estimates'!$B$5:$B$604,"PPS",'Estimates'!$D$5:$D$604,'Status'!$F$6,'Estimates'!$E$5:$E$604,'Status'!$E$7)&gt;1,"DUP",SUMIFS('Estimates'!$F$5:$F$604,'Estimates'!$A$5:$A$604,$A40,'Estimates'!$B$5:$B$604,"PPS",'Estimates'!$D$5:$D$604,'Status'!$F$6,'Estimates'!$E$5:$E$604,'Status'!$E$7))))</x:f>
      </x:c>
      <x:c r="L40" s="13" t="str">
        <x:f>IF(OR(COUNTA($A40)=0,'Status'!$G$6=""),"",IF(COUNTIFS('Estimates'!$A$5:$A$604,$A40,'Estimates'!$B$5:$B$604,"PPS",'Estimates'!$D$5:$D$604,'Status'!$G$6,'Estimates'!$E$5:$E$604,'Status'!$E$7)=0,"",IF(COUNTIFS('Estimates'!$A$5:$A$604,$A40,'Estimates'!$B$5:$B$604,"PPS",'Estimates'!$D$5:$D$604,'Status'!$G$6,'Estimates'!$E$5:$E$604,'Status'!$E$7)&gt;1,"DUP",SUMIFS('Estimates'!$F$5:$F$604,'Estimates'!$A$5:$A$604,$A40,'Estimates'!$B$5:$B$604,"PPS",'Estimates'!$D$5:$D$604,'Status'!$G$6,'Estimates'!$E$5:$E$604,'Status'!$E$7))))</x:f>
      </x:c>
      <x:c r="M40" s="13" t="str">
        <x:f>IF(COUNT(J40:L40)&lt;2,"",_xlfn.STDEV.S(J40:L40))</x:f>
      </x:c>
      <x:c r="N40" s="13" t="str">
        <x:f>IF(AND(ISNUMBER(K40),ISNUMBER(L40)),ABS(L40-K40),"")</x:f>
      </x:c>
      <x:c r="O40" s="14" t="str">
        <x:f>IF(AND(ISNUMBER(K40),ISNUMBER(L40)),IF(K40=0,"n.a.",ABS(L40-K40)/ABS(K40)),"")</x:f>
      </x:c>
      <x:c r="P40" s="2" t="str">
        <x:f>IF(COUNTA(A40)=0,"",IF('Status'!$B$6="","Set tolerance",IF(COUNT(J40:L40)&lt;3,"Need 3 levels",IF(OR(J40=0,K40=0),"Use abs. Δ",IF(AND(ABS(K40-J40)/ABS(J40)&lt;='Status'!$B$6,O40&lt;='Status'!$B$6),"Yes","No")))))</x:f>
      </x:c>
      <x:c r="Q40" s="13" t="str">
        <x:f>IF(AND(ISNUMBER(E40),ISNUMBER(L40)),ABS(E40-L40),"")</x:f>
      </x:c>
      <x:c r="R40" s="2" t="str">
        <x:f>IF(COUNTA(A40)=0,"",IF(COUNT(C40:E40,J40:L40)&gt;0,1,0))</x:f>
      </x:c>
      <x:c r="S40" s="2" t="str">
        <x:f>IF(COUNTA(A40)=0,"",IF(COUNTIFS($A$6:$A$69,A40)&gt;1,"Duplicate target",""))</x:f>
      </x:c>
    </x:row>
    <x:row r="41">
      <x:c r="A41" s="6"/>
      <x:c r="B41" s="20"/>
      <x:c r="C41" s="13" t="str">
        <x:f>IF(OR(COUNTA($A41)=0,'Status'!$E$5=""),"",IF(COUNTIFS('Estimates'!$A$5:$A$604,$A41,'Estimates'!$B$5:$B$604,"MPS",'Estimates'!$C$5:$C$604,'Status'!$E$5)=0,"",IF(COUNTIFS('Estimates'!$A$5:$A$604,$A41,'Estimates'!$B$5:$B$604,"MPS",'Estimates'!$C$5:$C$604,'Status'!$E$5)&gt;1,"DUP",SUMIFS('Estimates'!$F$5:$F$604,'Estimates'!$A$5:$A$604,$A41,'Estimates'!$B$5:$B$604,"MPS",'Estimates'!$C$5:$C$604,'Status'!$E$5))))</x:f>
      </x:c>
      <x:c r="D41" s="13" t="str">
        <x:f>IF(OR(COUNTA($A41)=0,'Status'!$F$5=""),"",IF(COUNTIFS('Estimates'!$A$5:$A$604,$A41,'Estimates'!$B$5:$B$604,"MPS",'Estimates'!$C$5:$C$604,'Status'!$F$5)=0,"",IF(COUNTIFS('Estimates'!$A$5:$A$604,$A41,'Estimates'!$B$5:$B$604,"MPS",'Estimates'!$C$5:$C$604,'Status'!$F$5)&gt;1,"DUP",SUMIFS('Estimates'!$F$5:$F$604,'Estimates'!$A$5:$A$604,$A41,'Estimates'!$B$5:$B$604,"MPS",'Estimates'!$C$5:$C$604,'Status'!$F$5))))</x:f>
      </x:c>
      <x:c r="E41" s="13" t="str">
        <x:f>IF(OR(COUNTA($A41)=0,'Status'!$G$5=""),"",IF(COUNTIFS('Estimates'!$A$5:$A$604,$A41,'Estimates'!$B$5:$B$604,"MPS",'Estimates'!$C$5:$C$604,'Status'!$G$5)=0,"",IF(COUNTIFS('Estimates'!$A$5:$A$604,$A41,'Estimates'!$B$5:$B$604,"MPS",'Estimates'!$C$5:$C$604,'Status'!$G$5)&gt;1,"DUP",SUMIFS('Estimates'!$F$5:$F$604,'Estimates'!$A$5:$A$604,$A41,'Estimates'!$B$5:$B$604,"MPS",'Estimates'!$C$5:$C$604,'Status'!$G$5))))</x:f>
      </x:c>
      <x:c r="F41" s="13" t="str">
        <x:f>IF(COUNT(C41:E41)&lt;2,"",_xlfn.STDEV.S(C41:E41))</x:f>
      </x:c>
      <x:c r="G41" s="13" t="str">
        <x:f>IF(AND(ISNUMBER(D41),ISNUMBER(E41)),ABS(E41-D41),"")</x:f>
      </x:c>
      <x:c r="H41" s="14" t="str">
        <x:f>IF(AND(ISNUMBER(D41),ISNUMBER(E41)),IF(D41=0,"n.a.",ABS(E41-D41)/ABS(D41)),"")</x:f>
      </x:c>
      <x:c r="I41" s="2" t="str">
        <x:f>IF(COUNTA(A41)=0,"",IF('Status'!$B$6="","Set tolerance",IF(COUNT(C41:E41)&lt;3,"Need 3 levels",IF(OR(C41=0,D41=0),"Use abs. Δ",IF(AND(ABS(D41-C41)/ABS(C41)&lt;='Status'!$B$6,H41&lt;='Status'!$B$6),"Yes","No")))))</x:f>
      </x:c>
      <x:c r="J41" s="13" t="str">
        <x:f>IF(OR(COUNTA($A41)=0,'Status'!$E$6=""),"",IF(COUNTIFS('Estimates'!$A$5:$A$604,$A41,'Estimates'!$B$5:$B$604,"PPS",'Estimates'!$D$5:$D$604,'Status'!$E$6,'Estimates'!$E$5:$E$604,'Status'!$E$7)=0,"",IF(COUNTIFS('Estimates'!$A$5:$A$604,$A41,'Estimates'!$B$5:$B$604,"PPS",'Estimates'!$D$5:$D$604,'Status'!$E$6,'Estimates'!$E$5:$E$604,'Status'!$E$7)&gt;1,"DUP",SUMIFS('Estimates'!$F$5:$F$604,'Estimates'!$A$5:$A$604,$A41,'Estimates'!$B$5:$B$604,"PPS",'Estimates'!$D$5:$D$604,'Status'!$E$6,'Estimates'!$E$5:$E$604,'Status'!$E$7))))</x:f>
      </x:c>
      <x:c r="K41" s="13" t="str">
        <x:f>IF(OR(COUNTA($A41)=0,'Status'!$F$6=""),"",IF(COUNTIFS('Estimates'!$A$5:$A$604,$A41,'Estimates'!$B$5:$B$604,"PPS",'Estimates'!$D$5:$D$604,'Status'!$F$6,'Estimates'!$E$5:$E$604,'Status'!$E$7)=0,"",IF(COUNTIFS('Estimates'!$A$5:$A$604,$A41,'Estimates'!$B$5:$B$604,"PPS",'Estimates'!$D$5:$D$604,'Status'!$F$6,'Estimates'!$E$5:$E$604,'Status'!$E$7)&gt;1,"DUP",SUMIFS('Estimates'!$F$5:$F$604,'Estimates'!$A$5:$A$604,$A41,'Estimates'!$B$5:$B$604,"PPS",'Estimates'!$D$5:$D$604,'Status'!$F$6,'Estimates'!$E$5:$E$604,'Status'!$E$7))))</x:f>
      </x:c>
      <x:c r="L41" s="13" t="str">
        <x:f>IF(OR(COUNTA($A41)=0,'Status'!$G$6=""),"",IF(COUNTIFS('Estimates'!$A$5:$A$604,$A41,'Estimates'!$B$5:$B$604,"PPS",'Estimates'!$D$5:$D$604,'Status'!$G$6,'Estimates'!$E$5:$E$604,'Status'!$E$7)=0,"",IF(COUNTIFS('Estimates'!$A$5:$A$604,$A41,'Estimates'!$B$5:$B$604,"PPS",'Estimates'!$D$5:$D$604,'Status'!$G$6,'Estimates'!$E$5:$E$604,'Status'!$E$7)&gt;1,"DUP",SUMIFS('Estimates'!$F$5:$F$604,'Estimates'!$A$5:$A$604,$A41,'Estimates'!$B$5:$B$604,"PPS",'Estimates'!$D$5:$D$604,'Status'!$G$6,'Estimates'!$E$5:$E$604,'Status'!$E$7))))</x:f>
      </x:c>
      <x:c r="M41" s="13" t="str">
        <x:f>IF(COUNT(J41:L41)&lt;2,"",_xlfn.STDEV.S(J41:L41))</x:f>
      </x:c>
      <x:c r="N41" s="13" t="str">
        <x:f>IF(AND(ISNUMBER(K41),ISNUMBER(L41)),ABS(L41-K41),"")</x:f>
      </x:c>
      <x:c r="O41" s="14" t="str">
        <x:f>IF(AND(ISNUMBER(K41),ISNUMBER(L41)),IF(K41=0,"n.a.",ABS(L41-K41)/ABS(K41)),"")</x:f>
      </x:c>
      <x:c r="P41" s="2" t="str">
        <x:f>IF(COUNTA(A41)=0,"",IF('Status'!$B$6="","Set tolerance",IF(COUNT(J41:L41)&lt;3,"Need 3 levels",IF(OR(J41=0,K41=0),"Use abs. Δ",IF(AND(ABS(K41-J41)/ABS(J41)&lt;='Status'!$B$6,O41&lt;='Status'!$B$6),"Yes","No")))))</x:f>
      </x:c>
      <x:c r="Q41" s="13" t="str">
        <x:f>IF(AND(ISNUMBER(E41),ISNUMBER(L41)),ABS(E41-L41),"")</x:f>
      </x:c>
      <x:c r="R41" s="2" t="str">
        <x:f>IF(COUNTA(A41)=0,"",IF(COUNT(C41:E41,J41:L41)&gt;0,1,0))</x:f>
      </x:c>
      <x:c r="S41" s="2" t="str">
        <x:f>IF(COUNTA(A41)=0,"",IF(COUNTIFS($A$6:$A$69,A41)&gt;1,"Duplicate target",""))</x:f>
      </x:c>
    </x:row>
    <x:row r="42">
      <x:c r="A42" s="6"/>
      <x:c r="B42" s="20"/>
      <x:c r="C42" s="13" t="str">
        <x:f>IF(OR(COUNTA($A42)=0,'Status'!$E$5=""),"",IF(COUNTIFS('Estimates'!$A$5:$A$604,$A42,'Estimates'!$B$5:$B$604,"MPS",'Estimates'!$C$5:$C$604,'Status'!$E$5)=0,"",IF(COUNTIFS('Estimates'!$A$5:$A$604,$A42,'Estimates'!$B$5:$B$604,"MPS",'Estimates'!$C$5:$C$604,'Status'!$E$5)&gt;1,"DUP",SUMIFS('Estimates'!$F$5:$F$604,'Estimates'!$A$5:$A$604,$A42,'Estimates'!$B$5:$B$604,"MPS",'Estimates'!$C$5:$C$604,'Status'!$E$5))))</x:f>
      </x:c>
      <x:c r="D42" s="13" t="str">
        <x:f>IF(OR(COUNTA($A42)=0,'Status'!$F$5=""),"",IF(COUNTIFS('Estimates'!$A$5:$A$604,$A42,'Estimates'!$B$5:$B$604,"MPS",'Estimates'!$C$5:$C$604,'Status'!$F$5)=0,"",IF(COUNTIFS('Estimates'!$A$5:$A$604,$A42,'Estimates'!$B$5:$B$604,"MPS",'Estimates'!$C$5:$C$604,'Status'!$F$5)&gt;1,"DUP",SUMIFS('Estimates'!$F$5:$F$604,'Estimates'!$A$5:$A$604,$A42,'Estimates'!$B$5:$B$604,"MPS",'Estimates'!$C$5:$C$604,'Status'!$F$5))))</x:f>
      </x:c>
      <x:c r="E42" s="13" t="str">
        <x:f>IF(OR(COUNTA($A42)=0,'Status'!$G$5=""),"",IF(COUNTIFS('Estimates'!$A$5:$A$604,$A42,'Estimates'!$B$5:$B$604,"MPS",'Estimates'!$C$5:$C$604,'Status'!$G$5)=0,"",IF(COUNTIFS('Estimates'!$A$5:$A$604,$A42,'Estimates'!$B$5:$B$604,"MPS",'Estimates'!$C$5:$C$604,'Status'!$G$5)&gt;1,"DUP",SUMIFS('Estimates'!$F$5:$F$604,'Estimates'!$A$5:$A$604,$A42,'Estimates'!$B$5:$B$604,"MPS",'Estimates'!$C$5:$C$604,'Status'!$G$5))))</x:f>
      </x:c>
      <x:c r="F42" s="13" t="str">
        <x:f>IF(COUNT(C42:E42)&lt;2,"",_xlfn.STDEV.S(C42:E42))</x:f>
      </x:c>
      <x:c r="G42" s="13" t="str">
        <x:f>IF(AND(ISNUMBER(D42),ISNUMBER(E42)),ABS(E42-D42),"")</x:f>
      </x:c>
      <x:c r="H42" s="14" t="str">
        <x:f>IF(AND(ISNUMBER(D42),ISNUMBER(E42)),IF(D42=0,"n.a.",ABS(E42-D42)/ABS(D42)),"")</x:f>
      </x:c>
      <x:c r="I42" s="2" t="str">
        <x:f>IF(COUNTA(A42)=0,"",IF('Status'!$B$6="","Set tolerance",IF(COUNT(C42:E42)&lt;3,"Need 3 levels",IF(OR(C42=0,D42=0),"Use abs. Δ",IF(AND(ABS(D42-C42)/ABS(C42)&lt;='Status'!$B$6,H42&lt;='Status'!$B$6),"Yes","No")))))</x:f>
      </x:c>
      <x:c r="J42" s="13" t="str">
        <x:f>IF(OR(COUNTA($A42)=0,'Status'!$E$6=""),"",IF(COUNTIFS('Estimates'!$A$5:$A$604,$A42,'Estimates'!$B$5:$B$604,"PPS",'Estimates'!$D$5:$D$604,'Status'!$E$6,'Estimates'!$E$5:$E$604,'Status'!$E$7)=0,"",IF(COUNTIFS('Estimates'!$A$5:$A$604,$A42,'Estimates'!$B$5:$B$604,"PPS",'Estimates'!$D$5:$D$604,'Status'!$E$6,'Estimates'!$E$5:$E$604,'Status'!$E$7)&gt;1,"DUP",SUMIFS('Estimates'!$F$5:$F$604,'Estimates'!$A$5:$A$604,$A42,'Estimates'!$B$5:$B$604,"PPS",'Estimates'!$D$5:$D$604,'Status'!$E$6,'Estimates'!$E$5:$E$604,'Status'!$E$7))))</x:f>
      </x:c>
      <x:c r="K42" s="13" t="str">
        <x:f>IF(OR(COUNTA($A42)=0,'Status'!$F$6=""),"",IF(COUNTIFS('Estimates'!$A$5:$A$604,$A42,'Estimates'!$B$5:$B$604,"PPS",'Estimates'!$D$5:$D$604,'Status'!$F$6,'Estimates'!$E$5:$E$604,'Status'!$E$7)=0,"",IF(COUNTIFS('Estimates'!$A$5:$A$604,$A42,'Estimates'!$B$5:$B$604,"PPS",'Estimates'!$D$5:$D$604,'Status'!$F$6,'Estimates'!$E$5:$E$604,'Status'!$E$7)&gt;1,"DUP",SUMIFS('Estimates'!$F$5:$F$604,'Estimates'!$A$5:$A$604,$A42,'Estimates'!$B$5:$B$604,"PPS",'Estimates'!$D$5:$D$604,'Status'!$F$6,'Estimates'!$E$5:$E$604,'Status'!$E$7))))</x:f>
      </x:c>
      <x:c r="L42" s="13" t="str">
        <x:f>IF(OR(COUNTA($A42)=0,'Status'!$G$6=""),"",IF(COUNTIFS('Estimates'!$A$5:$A$604,$A42,'Estimates'!$B$5:$B$604,"PPS",'Estimates'!$D$5:$D$604,'Status'!$G$6,'Estimates'!$E$5:$E$604,'Status'!$E$7)=0,"",IF(COUNTIFS('Estimates'!$A$5:$A$604,$A42,'Estimates'!$B$5:$B$604,"PPS",'Estimates'!$D$5:$D$604,'Status'!$G$6,'Estimates'!$E$5:$E$604,'Status'!$E$7)&gt;1,"DUP",SUMIFS('Estimates'!$F$5:$F$604,'Estimates'!$A$5:$A$604,$A42,'Estimates'!$B$5:$B$604,"PPS",'Estimates'!$D$5:$D$604,'Status'!$G$6,'Estimates'!$E$5:$E$604,'Status'!$E$7))))</x:f>
      </x:c>
      <x:c r="M42" s="13" t="str">
        <x:f>IF(COUNT(J42:L42)&lt;2,"",_xlfn.STDEV.S(J42:L42))</x:f>
      </x:c>
      <x:c r="N42" s="13" t="str">
        <x:f>IF(AND(ISNUMBER(K42),ISNUMBER(L42)),ABS(L42-K42),"")</x:f>
      </x:c>
      <x:c r="O42" s="14" t="str">
        <x:f>IF(AND(ISNUMBER(K42),ISNUMBER(L42)),IF(K42=0,"n.a.",ABS(L42-K42)/ABS(K42)),"")</x:f>
      </x:c>
      <x:c r="P42" s="2" t="str">
        <x:f>IF(COUNTA(A42)=0,"",IF('Status'!$B$6="","Set tolerance",IF(COUNT(J42:L42)&lt;3,"Need 3 levels",IF(OR(J42=0,K42=0),"Use abs. Δ",IF(AND(ABS(K42-J42)/ABS(J42)&lt;='Status'!$B$6,O42&lt;='Status'!$B$6),"Yes","No")))))</x:f>
      </x:c>
      <x:c r="Q42" s="13" t="str">
        <x:f>IF(AND(ISNUMBER(E42),ISNUMBER(L42)),ABS(E42-L42),"")</x:f>
      </x:c>
      <x:c r="R42" s="2" t="str">
        <x:f>IF(COUNTA(A42)=0,"",IF(COUNT(C42:E42,J42:L42)&gt;0,1,0))</x:f>
      </x:c>
      <x:c r="S42" s="2" t="str">
        <x:f>IF(COUNTA(A42)=0,"",IF(COUNTIFS($A$6:$A$69,A42)&gt;1,"Duplicate target",""))</x:f>
      </x:c>
    </x:row>
    <x:row r="43">
      <x:c r="A43" s="6"/>
      <x:c r="B43" s="20"/>
      <x:c r="C43" s="13" t="str">
        <x:f>IF(OR(COUNTA($A43)=0,'Status'!$E$5=""),"",IF(COUNTIFS('Estimates'!$A$5:$A$604,$A43,'Estimates'!$B$5:$B$604,"MPS",'Estimates'!$C$5:$C$604,'Status'!$E$5)=0,"",IF(COUNTIFS('Estimates'!$A$5:$A$604,$A43,'Estimates'!$B$5:$B$604,"MPS",'Estimates'!$C$5:$C$604,'Status'!$E$5)&gt;1,"DUP",SUMIFS('Estimates'!$F$5:$F$604,'Estimates'!$A$5:$A$604,$A43,'Estimates'!$B$5:$B$604,"MPS",'Estimates'!$C$5:$C$604,'Status'!$E$5))))</x:f>
      </x:c>
      <x:c r="D43" s="13" t="str">
        <x:f>IF(OR(COUNTA($A43)=0,'Status'!$F$5=""),"",IF(COUNTIFS('Estimates'!$A$5:$A$604,$A43,'Estimates'!$B$5:$B$604,"MPS",'Estimates'!$C$5:$C$604,'Status'!$F$5)=0,"",IF(COUNTIFS('Estimates'!$A$5:$A$604,$A43,'Estimates'!$B$5:$B$604,"MPS",'Estimates'!$C$5:$C$604,'Status'!$F$5)&gt;1,"DUP",SUMIFS('Estimates'!$F$5:$F$604,'Estimates'!$A$5:$A$604,$A43,'Estimates'!$B$5:$B$604,"MPS",'Estimates'!$C$5:$C$604,'Status'!$F$5))))</x:f>
      </x:c>
      <x:c r="E43" s="13" t="str">
        <x:f>IF(OR(COUNTA($A43)=0,'Status'!$G$5=""),"",IF(COUNTIFS('Estimates'!$A$5:$A$604,$A43,'Estimates'!$B$5:$B$604,"MPS",'Estimates'!$C$5:$C$604,'Status'!$G$5)=0,"",IF(COUNTIFS('Estimates'!$A$5:$A$604,$A43,'Estimates'!$B$5:$B$604,"MPS",'Estimates'!$C$5:$C$604,'Status'!$G$5)&gt;1,"DUP",SUMIFS('Estimates'!$F$5:$F$604,'Estimates'!$A$5:$A$604,$A43,'Estimates'!$B$5:$B$604,"MPS",'Estimates'!$C$5:$C$604,'Status'!$G$5))))</x:f>
      </x:c>
      <x:c r="F43" s="13" t="str">
        <x:f>IF(COUNT(C43:E43)&lt;2,"",_xlfn.STDEV.S(C43:E43))</x:f>
      </x:c>
      <x:c r="G43" s="13" t="str">
        <x:f>IF(AND(ISNUMBER(D43),ISNUMBER(E43)),ABS(E43-D43),"")</x:f>
      </x:c>
      <x:c r="H43" s="14" t="str">
        <x:f>IF(AND(ISNUMBER(D43),ISNUMBER(E43)),IF(D43=0,"n.a.",ABS(E43-D43)/ABS(D43)),"")</x:f>
      </x:c>
      <x:c r="I43" s="2" t="str">
        <x:f>IF(COUNTA(A43)=0,"",IF('Status'!$B$6="","Set tolerance",IF(COUNT(C43:E43)&lt;3,"Need 3 levels",IF(OR(C43=0,D43=0),"Use abs. Δ",IF(AND(ABS(D43-C43)/ABS(C43)&lt;='Status'!$B$6,H43&lt;='Status'!$B$6),"Yes","No")))))</x:f>
      </x:c>
      <x:c r="J43" s="13" t="str">
        <x:f>IF(OR(COUNTA($A43)=0,'Status'!$E$6=""),"",IF(COUNTIFS('Estimates'!$A$5:$A$604,$A43,'Estimates'!$B$5:$B$604,"PPS",'Estimates'!$D$5:$D$604,'Status'!$E$6,'Estimates'!$E$5:$E$604,'Status'!$E$7)=0,"",IF(COUNTIFS('Estimates'!$A$5:$A$604,$A43,'Estimates'!$B$5:$B$604,"PPS",'Estimates'!$D$5:$D$604,'Status'!$E$6,'Estimates'!$E$5:$E$604,'Status'!$E$7)&gt;1,"DUP",SUMIFS('Estimates'!$F$5:$F$604,'Estimates'!$A$5:$A$604,$A43,'Estimates'!$B$5:$B$604,"PPS",'Estimates'!$D$5:$D$604,'Status'!$E$6,'Estimates'!$E$5:$E$604,'Status'!$E$7))))</x:f>
      </x:c>
      <x:c r="K43" s="13" t="str">
        <x:f>IF(OR(COUNTA($A43)=0,'Status'!$F$6=""),"",IF(COUNTIFS('Estimates'!$A$5:$A$604,$A43,'Estimates'!$B$5:$B$604,"PPS",'Estimates'!$D$5:$D$604,'Status'!$F$6,'Estimates'!$E$5:$E$604,'Status'!$E$7)=0,"",IF(COUNTIFS('Estimates'!$A$5:$A$604,$A43,'Estimates'!$B$5:$B$604,"PPS",'Estimates'!$D$5:$D$604,'Status'!$F$6,'Estimates'!$E$5:$E$604,'Status'!$E$7)&gt;1,"DUP",SUMIFS('Estimates'!$F$5:$F$604,'Estimates'!$A$5:$A$604,$A43,'Estimates'!$B$5:$B$604,"PPS",'Estimates'!$D$5:$D$604,'Status'!$F$6,'Estimates'!$E$5:$E$604,'Status'!$E$7))))</x:f>
      </x:c>
      <x:c r="L43" s="13" t="str">
        <x:f>IF(OR(COUNTA($A43)=0,'Status'!$G$6=""),"",IF(COUNTIFS('Estimates'!$A$5:$A$604,$A43,'Estimates'!$B$5:$B$604,"PPS",'Estimates'!$D$5:$D$604,'Status'!$G$6,'Estimates'!$E$5:$E$604,'Status'!$E$7)=0,"",IF(COUNTIFS('Estimates'!$A$5:$A$604,$A43,'Estimates'!$B$5:$B$604,"PPS",'Estimates'!$D$5:$D$604,'Status'!$G$6,'Estimates'!$E$5:$E$604,'Status'!$E$7)&gt;1,"DUP",SUMIFS('Estimates'!$F$5:$F$604,'Estimates'!$A$5:$A$604,$A43,'Estimates'!$B$5:$B$604,"PPS",'Estimates'!$D$5:$D$604,'Status'!$G$6,'Estimates'!$E$5:$E$604,'Status'!$E$7))))</x:f>
      </x:c>
      <x:c r="M43" s="13" t="str">
        <x:f>IF(COUNT(J43:L43)&lt;2,"",_xlfn.STDEV.S(J43:L43))</x:f>
      </x:c>
      <x:c r="N43" s="13" t="str">
        <x:f>IF(AND(ISNUMBER(K43),ISNUMBER(L43)),ABS(L43-K43),"")</x:f>
      </x:c>
      <x:c r="O43" s="14" t="str">
        <x:f>IF(AND(ISNUMBER(K43),ISNUMBER(L43)),IF(K43=0,"n.a.",ABS(L43-K43)/ABS(K43)),"")</x:f>
      </x:c>
      <x:c r="P43" s="2" t="str">
        <x:f>IF(COUNTA(A43)=0,"",IF('Status'!$B$6="","Set tolerance",IF(COUNT(J43:L43)&lt;3,"Need 3 levels",IF(OR(J43=0,K43=0),"Use abs. Δ",IF(AND(ABS(K43-J43)/ABS(J43)&lt;='Status'!$B$6,O43&lt;='Status'!$B$6),"Yes","No")))))</x:f>
      </x:c>
      <x:c r="Q43" s="13" t="str">
        <x:f>IF(AND(ISNUMBER(E43),ISNUMBER(L43)),ABS(E43-L43),"")</x:f>
      </x:c>
      <x:c r="R43" s="2" t="str">
        <x:f>IF(COUNTA(A43)=0,"",IF(COUNT(C43:E43,J43:L43)&gt;0,1,0))</x:f>
      </x:c>
      <x:c r="S43" s="2" t="str">
        <x:f>IF(COUNTA(A43)=0,"",IF(COUNTIFS($A$6:$A$69,A43)&gt;1,"Duplicate target",""))</x:f>
      </x:c>
    </x:row>
    <x:row r="44">
      <x:c r="A44" s="6"/>
      <x:c r="B44" s="20"/>
      <x:c r="C44" s="13" t="str">
        <x:f>IF(OR(COUNTA($A44)=0,'Status'!$E$5=""),"",IF(COUNTIFS('Estimates'!$A$5:$A$604,$A44,'Estimates'!$B$5:$B$604,"MPS",'Estimates'!$C$5:$C$604,'Status'!$E$5)=0,"",IF(COUNTIFS('Estimates'!$A$5:$A$604,$A44,'Estimates'!$B$5:$B$604,"MPS",'Estimates'!$C$5:$C$604,'Status'!$E$5)&gt;1,"DUP",SUMIFS('Estimates'!$F$5:$F$604,'Estimates'!$A$5:$A$604,$A44,'Estimates'!$B$5:$B$604,"MPS",'Estimates'!$C$5:$C$604,'Status'!$E$5))))</x:f>
      </x:c>
      <x:c r="D44" s="13" t="str">
        <x:f>IF(OR(COUNTA($A44)=0,'Status'!$F$5=""),"",IF(COUNTIFS('Estimates'!$A$5:$A$604,$A44,'Estimates'!$B$5:$B$604,"MPS",'Estimates'!$C$5:$C$604,'Status'!$F$5)=0,"",IF(COUNTIFS('Estimates'!$A$5:$A$604,$A44,'Estimates'!$B$5:$B$604,"MPS",'Estimates'!$C$5:$C$604,'Status'!$F$5)&gt;1,"DUP",SUMIFS('Estimates'!$F$5:$F$604,'Estimates'!$A$5:$A$604,$A44,'Estimates'!$B$5:$B$604,"MPS",'Estimates'!$C$5:$C$604,'Status'!$F$5))))</x:f>
      </x:c>
      <x:c r="E44" s="13" t="str">
        <x:f>IF(OR(COUNTA($A44)=0,'Status'!$G$5=""),"",IF(COUNTIFS('Estimates'!$A$5:$A$604,$A44,'Estimates'!$B$5:$B$604,"MPS",'Estimates'!$C$5:$C$604,'Status'!$G$5)=0,"",IF(COUNTIFS('Estimates'!$A$5:$A$604,$A44,'Estimates'!$B$5:$B$604,"MPS",'Estimates'!$C$5:$C$604,'Status'!$G$5)&gt;1,"DUP",SUMIFS('Estimates'!$F$5:$F$604,'Estimates'!$A$5:$A$604,$A44,'Estimates'!$B$5:$B$604,"MPS",'Estimates'!$C$5:$C$604,'Status'!$G$5))))</x:f>
      </x:c>
      <x:c r="F44" s="13" t="str">
        <x:f>IF(COUNT(C44:E44)&lt;2,"",_xlfn.STDEV.S(C44:E44))</x:f>
      </x:c>
      <x:c r="G44" s="13" t="str">
        <x:f>IF(AND(ISNUMBER(D44),ISNUMBER(E44)),ABS(E44-D44),"")</x:f>
      </x:c>
      <x:c r="H44" s="14" t="str">
        <x:f>IF(AND(ISNUMBER(D44),ISNUMBER(E44)),IF(D44=0,"n.a.",ABS(E44-D44)/ABS(D44)),"")</x:f>
      </x:c>
      <x:c r="I44" s="2" t="str">
        <x:f>IF(COUNTA(A44)=0,"",IF('Status'!$B$6="","Set tolerance",IF(COUNT(C44:E44)&lt;3,"Need 3 levels",IF(OR(C44=0,D44=0),"Use abs. Δ",IF(AND(ABS(D44-C44)/ABS(C44)&lt;='Status'!$B$6,H44&lt;='Status'!$B$6),"Yes","No")))))</x:f>
      </x:c>
      <x:c r="J44" s="13" t="str">
        <x:f>IF(OR(COUNTA($A44)=0,'Status'!$E$6=""),"",IF(COUNTIFS('Estimates'!$A$5:$A$604,$A44,'Estimates'!$B$5:$B$604,"PPS",'Estimates'!$D$5:$D$604,'Status'!$E$6,'Estimates'!$E$5:$E$604,'Status'!$E$7)=0,"",IF(COUNTIFS('Estimates'!$A$5:$A$604,$A44,'Estimates'!$B$5:$B$604,"PPS",'Estimates'!$D$5:$D$604,'Status'!$E$6,'Estimates'!$E$5:$E$604,'Status'!$E$7)&gt;1,"DUP",SUMIFS('Estimates'!$F$5:$F$604,'Estimates'!$A$5:$A$604,$A44,'Estimates'!$B$5:$B$604,"PPS",'Estimates'!$D$5:$D$604,'Status'!$E$6,'Estimates'!$E$5:$E$604,'Status'!$E$7))))</x:f>
      </x:c>
      <x:c r="K44" s="13" t="str">
        <x:f>IF(OR(COUNTA($A44)=0,'Status'!$F$6=""),"",IF(COUNTIFS('Estimates'!$A$5:$A$604,$A44,'Estimates'!$B$5:$B$604,"PPS",'Estimates'!$D$5:$D$604,'Status'!$F$6,'Estimates'!$E$5:$E$604,'Status'!$E$7)=0,"",IF(COUNTIFS('Estimates'!$A$5:$A$604,$A44,'Estimates'!$B$5:$B$604,"PPS",'Estimates'!$D$5:$D$604,'Status'!$F$6,'Estimates'!$E$5:$E$604,'Status'!$E$7)&gt;1,"DUP",SUMIFS('Estimates'!$F$5:$F$604,'Estimates'!$A$5:$A$604,$A44,'Estimates'!$B$5:$B$604,"PPS",'Estimates'!$D$5:$D$604,'Status'!$F$6,'Estimates'!$E$5:$E$604,'Status'!$E$7))))</x:f>
      </x:c>
      <x:c r="L44" s="13" t="str">
        <x:f>IF(OR(COUNTA($A44)=0,'Status'!$G$6=""),"",IF(COUNTIFS('Estimates'!$A$5:$A$604,$A44,'Estimates'!$B$5:$B$604,"PPS",'Estimates'!$D$5:$D$604,'Status'!$G$6,'Estimates'!$E$5:$E$604,'Status'!$E$7)=0,"",IF(COUNTIFS('Estimates'!$A$5:$A$604,$A44,'Estimates'!$B$5:$B$604,"PPS",'Estimates'!$D$5:$D$604,'Status'!$G$6,'Estimates'!$E$5:$E$604,'Status'!$E$7)&gt;1,"DUP",SUMIFS('Estimates'!$F$5:$F$604,'Estimates'!$A$5:$A$604,$A44,'Estimates'!$B$5:$B$604,"PPS",'Estimates'!$D$5:$D$604,'Status'!$G$6,'Estimates'!$E$5:$E$604,'Status'!$E$7))))</x:f>
      </x:c>
      <x:c r="M44" s="13" t="str">
        <x:f>IF(COUNT(J44:L44)&lt;2,"",_xlfn.STDEV.S(J44:L44))</x:f>
      </x:c>
      <x:c r="N44" s="13" t="str">
        <x:f>IF(AND(ISNUMBER(K44),ISNUMBER(L44)),ABS(L44-K44),"")</x:f>
      </x:c>
      <x:c r="O44" s="14" t="str">
        <x:f>IF(AND(ISNUMBER(K44),ISNUMBER(L44)),IF(K44=0,"n.a.",ABS(L44-K44)/ABS(K44)),"")</x:f>
      </x:c>
      <x:c r="P44" s="2" t="str">
        <x:f>IF(COUNTA(A44)=0,"",IF('Status'!$B$6="","Set tolerance",IF(COUNT(J44:L44)&lt;3,"Need 3 levels",IF(OR(J44=0,K44=0),"Use abs. Δ",IF(AND(ABS(K44-J44)/ABS(J44)&lt;='Status'!$B$6,O44&lt;='Status'!$B$6),"Yes","No")))))</x:f>
      </x:c>
      <x:c r="Q44" s="13" t="str">
        <x:f>IF(AND(ISNUMBER(E44),ISNUMBER(L44)),ABS(E44-L44),"")</x:f>
      </x:c>
      <x:c r="R44" s="2" t="str">
        <x:f>IF(COUNTA(A44)=0,"",IF(COUNT(C44:E44,J44:L44)&gt;0,1,0))</x:f>
      </x:c>
      <x:c r="S44" s="2" t="str">
        <x:f>IF(COUNTA(A44)=0,"",IF(COUNTIFS($A$6:$A$69,A44)&gt;1,"Duplicate target",""))</x:f>
      </x:c>
    </x:row>
    <x:row r="45">
      <x:c r="A45" s="6"/>
      <x:c r="B45" s="20"/>
      <x:c r="C45" s="13" t="str">
        <x:f>IF(OR(COUNTA($A45)=0,'Status'!$E$5=""),"",IF(COUNTIFS('Estimates'!$A$5:$A$604,$A45,'Estimates'!$B$5:$B$604,"MPS",'Estimates'!$C$5:$C$604,'Status'!$E$5)=0,"",IF(COUNTIFS('Estimates'!$A$5:$A$604,$A45,'Estimates'!$B$5:$B$604,"MPS",'Estimates'!$C$5:$C$604,'Status'!$E$5)&gt;1,"DUP",SUMIFS('Estimates'!$F$5:$F$604,'Estimates'!$A$5:$A$604,$A45,'Estimates'!$B$5:$B$604,"MPS",'Estimates'!$C$5:$C$604,'Status'!$E$5))))</x:f>
      </x:c>
      <x:c r="D45" s="13" t="str">
        <x:f>IF(OR(COUNTA($A45)=0,'Status'!$F$5=""),"",IF(COUNTIFS('Estimates'!$A$5:$A$604,$A45,'Estimates'!$B$5:$B$604,"MPS",'Estimates'!$C$5:$C$604,'Status'!$F$5)=0,"",IF(COUNTIFS('Estimates'!$A$5:$A$604,$A45,'Estimates'!$B$5:$B$604,"MPS",'Estimates'!$C$5:$C$604,'Status'!$F$5)&gt;1,"DUP",SUMIFS('Estimates'!$F$5:$F$604,'Estimates'!$A$5:$A$604,$A45,'Estimates'!$B$5:$B$604,"MPS",'Estimates'!$C$5:$C$604,'Status'!$F$5))))</x:f>
      </x:c>
      <x:c r="E45" s="13" t="str">
        <x:f>IF(OR(COUNTA($A45)=0,'Status'!$G$5=""),"",IF(COUNTIFS('Estimates'!$A$5:$A$604,$A45,'Estimates'!$B$5:$B$604,"MPS",'Estimates'!$C$5:$C$604,'Status'!$G$5)=0,"",IF(COUNTIFS('Estimates'!$A$5:$A$604,$A45,'Estimates'!$B$5:$B$604,"MPS",'Estimates'!$C$5:$C$604,'Status'!$G$5)&gt;1,"DUP",SUMIFS('Estimates'!$F$5:$F$604,'Estimates'!$A$5:$A$604,$A45,'Estimates'!$B$5:$B$604,"MPS",'Estimates'!$C$5:$C$604,'Status'!$G$5))))</x:f>
      </x:c>
      <x:c r="F45" s="13" t="str">
        <x:f>IF(COUNT(C45:E45)&lt;2,"",_xlfn.STDEV.S(C45:E45))</x:f>
      </x:c>
      <x:c r="G45" s="13" t="str">
        <x:f>IF(AND(ISNUMBER(D45),ISNUMBER(E45)),ABS(E45-D45),"")</x:f>
      </x:c>
      <x:c r="H45" s="14" t="str">
        <x:f>IF(AND(ISNUMBER(D45),ISNUMBER(E45)),IF(D45=0,"n.a.",ABS(E45-D45)/ABS(D45)),"")</x:f>
      </x:c>
      <x:c r="I45" s="2" t="str">
        <x:f>IF(COUNTA(A45)=0,"",IF('Status'!$B$6="","Set tolerance",IF(COUNT(C45:E45)&lt;3,"Need 3 levels",IF(OR(C45=0,D45=0),"Use abs. Δ",IF(AND(ABS(D45-C45)/ABS(C45)&lt;='Status'!$B$6,H45&lt;='Status'!$B$6),"Yes","No")))))</x:f>
      </x:c>
      <x:c r="J45" s="13" t="str">
        <x:f>IF(OR(COUNTA($A45)=0,'Status'!$E$6=""),"",IF(COUNTIFS('Estimates'!$A$5:$A$604,$A45,'Estimates'!$B$5:$B$604,"PPS",'Estimates'!$D$5:$D$604,'Status'!$E$6,'Estimates'!$E$5:$E$604,'Status'!$E$7)=0,"",IF(COUNTIFS('Estimates'!$A$5:$A$604,$A45,'Estimates'!$B$5:$B$604,"PPS",'Estimates'!$D$5:$D$604,'Status'!$E$6,'Estimates'!$E$5:$E$604,'Status'!$E$7)&gt;1,"DUP",SUMIFS('Estimates'!$F$5:$F$604,'Estimates'!$A$5:$A$604,$A45,'Estimates'!$B$5:$B$604,"PPS",'Estimates'!$D$5:$D$604,'Status'!$E$6,'Estimates'!$E$5:$E$604,'Status'!$E$7))))</x:f>
      </x:c>
      <x:c r="K45" s="13" t="str">
        <x:f>IF(OR(COUNTA($A45)=0,'Status'!$F$6=""),"",IF(COUNTIFS('Estimates'!$A$5:$A$604,$A45,'Estimates'!$B$5:$B$604,"PPS",'Estimates'!$D$5:$D$604,'Status'!$F$6,'Estimates'!$E$5:$E$604,'Status'!$E$7)=0,"",IF(COUNTIFS('Estimates'!$A$5:$A$604,$A45,'Estimates'!$B$5:$B$604,"PPS",'Estimates'!$D$5:$D$604,'Status'!$F$6,'Estimates'!$E$5:$E$604,'Status'!$E$7)&gt;1,"DUP",SUMIFS('Estimates'!$F$5:$F$604,'Estimates'!$A$5:$A$604,$A45,'Estimates'!$B$5:$B$604,"PPS",'Estimates'!$D$5:$D$604,'Status'!$F$6,'Estimates'!$E$5:$E$604,'Status'!$E$7))))</x:f>
      </x:c>
      <x:c r="L45" s="13" t="str">
        <x:f>IF(OR(COUNTA($A45)=0,'Status'!$G$6=""),"",IF(COUNTIFS('Estimates'!$A$5:$A$604,$A45,'Estimates'!$B$5:$B$604,"PPS",'Estimates'!$D$5:$D$604,'Status'!$G$6,'Estimates'!$E$5:$E$604,'Status'!$E$7)=0,"",IF(COUNTIFS('Estimates'!$A$5:$A$604,$A45,'Estimates'!$B$5:$B$604,"PPS",'Estimates'!$D$5:$D$604,'Status'!$G$6,'Estimates'!$E$5:$E$604,'Status'!$E$7)&gt;1,"DUP",SUMIFS('Estimates'!$F$5:$F$604,'Estimates'!$A$5:$A$604,$A45,'Estimates'!$B$5:$B$604,"PPS",'Estimates'!$D$5:$D$604,'Status'!$G$6,'Estimates'!$E$5:$E$604,'Status'!$E$7))))</x:f>
      </x:c>
      <x:c r="M45" s="13" t="str">
        <x:f>IF(COUNT(J45:L45)&lt;2,"",_xlfn.STDEV.S(J45:L45))</x:f>
      </x:c>
      <x:c r="N45" s="13" t="str">
        <x:f>IF(AND(ISNUMBER(K45),ISNUMBER(L45)),ABS(L45-K45),"")</x:f>
      </x:c>
      <x:c r="O45" s="14" t="str">
        <x:f>IF(AND(ISNUMBER(K45),ISNUMBER(L45)),IF(K45=0,"n.a.",ABS(L45-K45)/ABS(K45)),"")</x:f>
      </x:c>
      <x:c r="P45" s="2" t="str">
        <x:f>IF(COUNTA(A45)=0,"",IF('Status'!$B$6="","Set tolerance",IF(COUNT(J45:L45)&lt;3,"Need 3 levels",IF(OR(J45=0,K45=0),"Use abs. Δ",IF(AND(ABS(K45-J45)/ABS(J45)&lt;='Status'!$B$6,O45&lt;='Status'!$B$6),"Yes","No")))))</x:f>
      </x:c>
      <x:c r="Q45" s="13" t="str">
        <x:f>IF(AND(ISNUMBER(E45),ISNUMBER(L45)),ABS(E45-L45),"")</x:f>
      </x:c>
      <x:c r="R45" s="2" t="str">
        <x:f>IF(COUNTA(A45)=0,"",IF(COUNT(C45:E45,J45:L45)&gt;0,1,0))</x:f>
      </x:c>
      <x:c r="S45" s="2" t="str">
        <x:f>IF(COUNTA(A45)=0,"",IF(COUNTIFS($A$6:$A$69,A45)&gt;1,"Duplicate target",""))</x:f>
      </x:c>
    </x:row>
    <x:row r="46">
      <x:c r="A46" s="6"/>
      <x:c r="B46" s="20"/>
      <x:c r="C46" s="13" t="str">
        <x:f>IF(OR(COUNTA($A46)=0,'Status'!$E$5=""),"",IF(COUNTIFS('Estimates'!$A$5:$A$604,$A46,'Estimates'!$B$5:$B$604,"MPS",'Estimates'!$C$5:$C$604,'Status'!$E$5)=0,"",IF(COUNTIFS('Estimates'!$A$5:$A$604,$A46,'Estimates'!$B$5:$B$604,"MPS",'Estimates'!$C$5:$C$604,'Status'!$E$5)&gt;1,"DUP",SUMIFS('Estimates'!$F$5:$F$604,'Estimates'!$A$5:$A$604,$A46,'Estimates'!$B$5:$B$604,"MPS",'Estimates'!$C$5:$C$604,'Status'!$E$5))))</x:f>
      </x:c>
      <x:c r="D46" s="13" t="str">
        <x:f>IF(OR(COUNTA($A46)=0,'Status'!$F$5=""),"",IF(COUNTIFS('Estimates'!$A$5:$A$604,$A46,'Estimates'!$B$5:$B$604,"MPS",'Estimates'!$C$5:$C$604,'Status'!$F$5)=0,"",IF(COUNTIFS('Estimates'!$A$5:$A$604,$A46,'Estimates'!$B$5:$B$604,"MPS",'Estimates'!$C$5:$C$604,'Status'!$F$5)&gt;1,"DUP",SUMIFS('Estimates'!$F$5:$F$604,'Estimates'!$A$5:$A$604,$A46,'Estimates'!$B$5:$B$604,"MPS",'Estimates'!$C$5:$C$604,'Status'!$F$5))))</x:f>
      </x:c>
      <x:c r="E46" s="13" t="str">
        <x:f>IF(OR(COUNTA($A46)=0,'Status'!$G$5=""),"",IF(COUNTIFS('Estimates'!$A$5:$A$604,$A46,'Estimates'!$B$5:$B$604,"MPS",'Estimates'!$C$5:$C$604,'Status'!$G$5)=0,"",IF(COUNTIFS('Estimates'!$A$5:$A$604,$A46,'Estimates'!$B$5:$B$604,"MPS",'Estimates'!$C$5:$C$604,'Status'!$G$5)&gt;1,"DUP",SUMIFS('Estimates'!$F$5:$F$604,'Estimates'!$A$5:$A$604,$A46,'Estimates'!$B$5:$B$604,"MPS",'Estimates'!$C$5:$C$604,'Status'!$G$5))))</x:f>
      </x:c>
      <x:c r="F46" s="13" t="str">
        <x:f>IF(COUNT(C46:E46)&lt;2,"",_xlfn.STDEV.S(C46:E46))</x:f>
      </x:c>
      <x:c r="G46" s="13" t="str">
        <x:f>IF(AND(ISNUMBER(D46),ISNUMBER(E46)),ABS(E46-D46),"")</x:f>
      </x:c>
      <x:c r="H46" s="14" t="str">
        <x:f>IF(AND(ISNUMBER(D46),ISNUMBER(E46)),IF(D46=0,"n.a.",ABS(E46-D46)/ABS(D46)),"")</x:f>
      </x:c>
      <x:c r="I46" s="2" t="str">
        <x:f>IF(COUNTA(A46)=0,"",IF('Status'!$B$6="","Set tolerance",IF(COUNT(C46:E46)&lt;3,"Need 3 levels",IF(OR(C46=0,D46=0),"Use abs. Δ",IF(AND(ABS(D46-C46)/ABS(C46)&lt;='Status'!$B$6,H46&lt;='Status'!$B$6),"Yes","No")))))</x:f>
      </x:c>
      <x:c r="J46" s="13" t="str">
        <x:f>IF(OR(COUNTA($A46)=0,'Status'!$E$6=""),"",IF(COUNTIFS('Estimates'!$A$5:$A$604,$A46,'Estimates'!$B$5:$B$604,"PPS",'Estimates'!$D$5:$D$604,'Status'!$E$6,'Estimates'!$E$5:$E$604,'Status'!$E$7)=0,"",IF(COUNTIFS('Estimates'!$A$5:$A$604,$A46,'Estimates'!$B$5:$B$604,"PPS",'Estimates'!$D$5:$D$604,'Status'!$E$6,'Estimates'!$E$5:$E$604,'Status'!$E$7)&gt;1,"DUP",SUMIFS('Estimates'!$F$5:$F$604,'Estimates'!$A$5:$A$604,$A46,'Estimates'!$B$5:$B$604,"PPS",'Estimates'!$D$5:$D$604,'Status'!$E$6,'Estimates'!$E$5:$E$604,'Status'!$E$7))))</x:f>
      </x:c>
      <x:c r="K46" s="13" t="str">
        <x:f>IF(OR(COUNTA($A46)=0,'Status'!$F$6=""),"",IF(COUNTIFS('Estimates'!$A$5:$A$604,$A46,'Estimates'!$B$5:$B$604,"PPS",'Estimates'!$D$5:$D$604,'Status'!$F$6,'Estimates'!$E$5:$E$604,'Status'!$E$7)=0,"",IF(COUNTIFS('Estimates'!$A$5:$A$604,$A46,'Estimates'!$B$5:$B$604,"PPS",'Estimates'!$D$5:$D$604,'Status'!$F$6,'Estimates'!$E$5:$E$604,'Status'!$E$7)&gt;1,"DUP",SUMIFS('Estimates'!$F$5:$F$604,'Estimates'!$A$5:$A$604,$A46,'Estimates'!$B$5:$B$604,"PPS",'Estimates'!$D$5:$D$604,'Status'!$F$6,'Estimates'!$E$5:$E$604,'Status'!$E$7))))</x:f>
      </x:c>
      <x:c r="L46" s="13" t="str">
        <x:f>IF(OR(COUNTA($A46)=0,'Status'!$G$6=""),"",IF(COUNTIFS('Estimates'!$A$5:$A$604,$A46,'Estimates'!$B$5:$B$604,"PPS",'Estimates'!$D$5:$D$604,'Status'!$G$6,'Estimates'!$E$5:$E$604,'Status'!$E$7)=0,"",IF(COUNTIFS('Estimates'!$A$5:$A$604,$A46,'Estimates'!$B$5:$B$604,"PPS",'Estimates'!$D$5:$D$604,'Status'!$G$6,'Estimates'!$E$5:$E$604,'Status'!$E$7)&gt;1,"DUP",SUMIFS('Estimates'!$F$5:$F$604,'Estimates'!$A$5:$A$604,$A46,'Estimates'!$B$5:$B$604,"PPS",'Estimates'!$D$5:$D$604,'Status'!$G$6,'Estimates'!$E$5:$E$604,'Status'!$E$7))))</x:f>
      </x:c>
      <x:c r="M46" s="13" t="str">
        <x:f>IF(COUNT(J46:L46)&lt;2,"",_xlfn.STDEV.S(J46:L46))</x:f>
      </x:c>
      <x:c r="N46" s="13" t="str">
        <x:f>IF(AND(ISNUMBER(K46),ISNUMBER(L46)),ABS(L46-K46),"")</x:f>
      </x:c>
      <x:c r="O46" s="14" t="str">
        <x:f>IF(AND(ISNUMBER(K46),ISNUMBER(L46)),IF(K46=0,"n.a.",ABS(L46-K46)/ABS(K46)),"")</x:f>
      </x:c>
      <x:c r="P46" s="2" t="str">
        <x:f>IF(COUNTA(A46)=0,"",IF('Status'!$B$6="","Set tolerance",IF(COUNT(J46:L46)&lt;3,"Need 3 levels",IF(OR(J46=0,K46=0),"Use abs. Δ",IF(AND(ABS(K46-J46)/ABS(J46)&lt;='Status'!$B$6,O46&lt;='Status'!$B$6),"Yes","No")))))</x:f>
      </x:c>
      <x:c r="Q46" s="13" t="str">
        <x:f>IF(AND(ISNUMBER(E46),ISNUMBER(L46)),ABS(E46-L46),"")</x:f>
      </x:c>
      <x:c r="R46" s="2" t="str">
        <x:f>IF(COUNTA(A46)=0,"",IF(COUNT(C46:E46,J46:L46)&gt;0,1,0))</x:f>
      </x:c>
      <x:c r="S46" s="2" t="str">
        <x:f>IF(COUNTA(A46)=0,"",IF(COUNTIFS($A$6:$A$69,A46)&gt;1,"Duplicate target",""))</x:f>
      </x:c>
    </x:row>
    <x:row r="47">
      <x:c r="A47" s="6"/>
      <x:c r="B47" s="20"/>
      <x:c r="C47" s="13" t="str">
        <x:f>IF(OR(COUNTA($A47)=0,'Status'!$E$5=""),"",IF(COUNTIFS('Estimates'!$A$5:$A$604,$A47,'Estimates'!$B$5:$B$604,"MPS",'Estimates'!$C$5:$C$604,'Status'!$E$5)=0,"",IF(COUNTIFS('Estimates'!$A$5:$A$604,$A47,'Estimates'!$B$5:$B$604,"MPS",'Estimates'!$C$5:$C$604,'Status'!$E$5)&gt;1,"DUP",SUMIFS('Estimates'!$F$5:$F$604,'Estimates'!$A$5:$A$604,$A47,'Estimates'!$B$5:$B$604,"MPS",'Estimates'!$C$5:$C$604,'Status'!$E$5))))</x:f>
      </x:c>
      <x:c r="D47" s="13" t="str">
        <x:f>IF(OR(COUNTA($A47)=0,'Status'!$F$5=""),"",IF(COUNTIFS('Estimates'!$A$5:$A$604,$A47,'Estimates'!$B$5:$B$604,"MPS",'Estimates'!$C$5:$C$604,'Status'!$F$5)=0,"",IF(COUNTIFS('Estimates'!$A$5:$A$604,$A47,'Estimates'!$B$5:$B$604,"MPS",'Estimates'!$C$5:$C$604,'Status'!$F$5)&gt;1,"DUP",SUMIFS('Estimates'!$F$5:$F$604,'Estimates'!$A$5:$A$604,$A47,'Estimates'!$B$5:$B$604,"MPS",'Estimates'!$C$5:$C$604,'Status'!$F$5))))</x:f>
      </x:c>
      <x:c r="E47" s="13" t="str">
        <x:f>IF(OR(COUNTA($A47)=0,'Status'!$G$5=""),"",IF(COUNTIFS('Estimates'!$A$5:$A$604,$A47,'Estimates'!$B$5:$B$604,"MPS",'Estimates'!$C$5:$C$604,'Status'!$G$5)=0,"",IF(COUNTIFS('Estimates'!$A$5:$A$604,$A47,'Estimates'!$B$5:$B$604,"MPS",'Estimates'!$C$5:$C$604,'Status'!$G$5)&gt;1,"DUP",SUMIFS('Estimates'!$F$5:$F$604,'Estimates'!$A$5:$A$604,$A47,'Estimates'!$B$5:$B$604,"MPS",'Estimates'!$C$5:$C$604,'Status'!$G$5))))</x:f>
      </x:c>
      <x:c r="F47" s="13" t="str">
        <x:f>IF(COUNT(C47:E47)&lt;2,"",_xlfn.STDEV.S(C47:E47))</x:f>
      </x:c>
      <x:c r="G47" s="13" t="str">
        <x:f>IF(AND(ISNUMBER(D47),ISNUMBER(E47)),ABS(E47-D47),"")</x:f>
      </x:c>
      <x:c r="H47" s="14" t="str">
        <x:f>IF(AND(ISNUMBER(D47),ISNUMBER(E47)),IF(D47=0,"n.a.",ABS(E47-D47)/ABS(D47)),"")</x:f>
      </x:c>
      <x:c r="I47" s="2" t="str">
        <x:f>IF(COUNTA(A47)=0,"",IF('Status'!$B$6="","Set tolerance",IF(COUNT(C47:E47)&lt;3,"Need 3 levels",IF(OR(C47=0,D47=0),"Use abs. Δ",IF(AND(ABS(D47-C47)/ABS(C47)&lt;='Status'!$B$6,H47&lt;='Status'!$B$6),"Yes","No")))))</x:f>
      </x:c>
      <x:c r="J47" s="13" t="str">
        <x:f>IF(OR(COUNTA($A47)=0,'Status'!$E$6=""),"",IF(COUNTIFS('Estimates'!$A$5:$A$604,$A47,'Estimates'!$B$5:$B$604,"PPS",'Estimates'!$D$5:$D$604,'Status'!$E$6,'Estimates'!$E$5:$E$604,'Status'!$E$7)=0,"",IF(COUNTIFS('Estimates'!$A$5:$A$604,$A47,'Estimates'!$B$5:$B$604,"PPS",'Estimates'!$D$5:$D$604,'Status'!$E$6,'Estimates'!$E$5:$E$604,'Status'!$E$7)&gt;1,"DUP",SUMIFS('Estimates'!$F$5:$F$604,'Estimates'!$A$5:$A$604,$A47,'Estimates'!$B$5:$B$604,"PPS",'Estimates'!$D$5:$D$604,'Status'!$E$6,'Estimates'!$E$5:$E$604,'Status'!$E$7))))</x:f>
      </x:c>
      <x:c r="K47" s="13" t="str">
        <x:f>IF(OR(COUNTA($A47)=0,'Status'!$F$6=""),"",IF(COUNTIFS('Estimates'!$A$5:$A$604,$A47,'Estimates'!$B$5:$B$604,"PPS",'Estimates'!$D$5:$D$604,'Status'!$F$6,'Estimates'!$E$5:$E$604,'Status'!$E$7)=0,"",IF(COUNTIFS('Estimates'!$A$5:$A$604,$A47,'Estimates'!$B$5:$B$604,"PPS",'Estimates'!$D$5:$D$604,'Status'!$F$6,'Estimates'!$E$5:$E$604,'Status'!$E$7)&gt;1,"DUP",SUMIFS('Estimates'!$F$5:$F$604,'Estimates'!$A$5:$A$604,$A47,'Estimates'!$B$5:$B$604,"PPS",'Estimates'!$D$5:$D$604,'Status'!$F$6,'Estimates'!$E$5:$E$604,'Status'!$E$7))))</x:f>
      </x:c>
      <x:c r="L47" s="13" t="str">
        <x:f>IF(OR(COUNTA($A47)=0,'Status'!$G$6=""),"",IF(COUNTIFS('Estimates'!$A$5:$A$604,$A47,'Estimates'!$B$5:$B$604,"PPS",'Estimates'!$D$5:$D$604,'Status'!$G$6,'Estimates'!$E$5:$E$604,'Status'!$E$7)=0,"",IF(COUNTIFS('Estimates'!$A$5:$A$604,$A47,'Estimates'!$B$5:$B$604,"PPS",'Estimates'!$D$5:$D$604,'Status'!$G$6,'Estimates'!$E$5:$E$604,'Status'!$E$7)&gt;1,"DUP",SUMIFS('Estimates'!$F$5:$F$604,'Estimates'!$A$5:$A$604,$A47,'Estimates'!$B$5:$B$604,"PPS",'Estimates'!$D$5:$D$604,'Status'!$G$6,'Estimates'!$E$5:$E$604,'Status'!$E$7))))</x:f>
      </x:c>
      <x:c r="M47" s="13" t="str">
        <x:f>IF(COUNT(J47:L47)&lt;2,"",_xlfn.STDEV.S(J47:L47))</x:f>
      </x:c>
      <x:c r="N47" s="13" t="str">
        <x:f>IF(AND(ISNUMBER(K47),ISNUMBER(L47)),ABS(L47-K47),"")</x:f>
      </x:c>
      <x:c r="O47" s="14" t="str">
        <x:f>IF(AND(ISNUMBER(K47),ISNUMBER(L47)),IF(K47=0,"n.a.",ABS(L47-K47)/ABS(K47)),"")</x:f>
      </x:c>
      <x:c r="P47" s="2" t="str">
        <x:f>IF(COUNTA(A47)=0,"",IF('Status'!$B$6="","Set tolerance",IF(COUNT(J47:L47)&lt;3,"Need 3 levels",IF(OR(J47=0,K47=0),"Use abs. Δ",IF(AND(ABS(K47-J47)/ABS(J47)&lt;='Status'!$B$6,O47&lt;='Status'!$B$6),"Yes","No")))))</x:f>
      </x:c>
      <x:c r="Q47" s="13" t="str">
        <x:f>IF(AND(ISNUMBER(E47),ISNUMBER(L47)),ABS(E47-L47),"")</x:f>
      </x:c>
      <x:c r="R47" s="2" t="str">
        <x:f>IF(COUNTA(A47)=0,"",IF(COUNT(C47:E47,J47:L47)&gt;0,1,0))</x:f>
      </x:c>
      <x:c r="S47" s="2" t="str">
        <x:f>IF(COUNTA(A47)=0,"",IF(COUNTIFS($A$6:$A$69,A47)&gt;1,"Duplicate target",""))</x:f>
      </x:c>
    </x:row>
    <x:row r="48">
      <x:c r="A48" s="6"/>
      <x:c r="B48" s="20"/>
      <x:c r="C48" s="13" t="str">
        <x:f>IF(OR(COUNTA($A48)=0,'Status'!$E$5=""),"",IF(COUNTIFS('Estimates'!$A$5:$A$604,$A48,'Estimates'!$B$5:$B$604,"MPS",'Estimates'!$C$5:$C$604,'Status'!$E$5)=0,"",IF(COUNTIFS('Estimates'!$A$5:$A$604,$A48,'Estimates'!$B$5:$B$604,"MPS",'Estimates'!$C$5:$C$604,'Status'!$E$5)&gt;1,"DUP",SUMIFS('Estimates'!$F$5:$F$604,'Estimates'!$A$5:$A$604,$A48,'Estimates'!$B$5:$B$604,"MPS",'Estimates'!$C$5:$C$604,'Status'!$E$5))))</x:f>
      </x:c>
      <x:c r="D48" s="13" t="str">
        <x:f>IF(OR(COUNTA($A48)=0,'Status'!$F$5=""),"",IF(COUNTIFS('Estimates'!$A$5:$A$604,$A48,'Estimates'!$B$5:$B$604,"MPS",'Estimates'!$C$5:$C$604,'Status'!$F$5)=0,"",IF(COUNTIFS('Estimates'!$A$5:$A$604,$A48,'Estimates'!$B$5:$B$604,"MPS",'Estimates'!$C$5:$C$604,'Status'!$F$5)&gt;1,"DUP",SUMIFS('Estimates'!$F$5:$F$604,'Estimates'!$A$5:$A$604,$A48,'Estimates'!$B$5:$B$604,"MPS",'Estimates'!$C$5:$C$604,'Status'!$F$5))))</x:f>
      </x:c>
      <x:c r="E48" s="13" t="str">
        <x:f>IF(OR(COUNTA($A48)=0,'Status'!$G$5=""),"",IF(COUNTIFS('Estimates'!$A$5:$A$604,$A48,'Estimates'!$B$5:$B$604,"MPS",'Estimates'!$C$5:$C$604,'Status'!$G$5)=0,"",IF(COUNTIFS('Estimates'!$A$5:$A$604,$A48,'Estimates'!$B$5:$B$604,"MPS",'Estimates'!$C$5:$C$604,'Status'!$G$5)&gt;1,"DUP",SUMIFS('Estimates'!$F$5:$F$604,'Estimates'!$A$5:$A$604,$A48,'Estimates'!$B$5:$B$604,"MPS",'Estimates'!$C$5:$C$604,'Status'!$G$5))))</x:f>
      </x:c>
      <x:c r="F48" s="13" t="str">
        <x:f>IF(COUNT(C48:E48)&lt;2,"",_xlfn.STDEV.S(C48:E48))</x:f>
      </x:c>
      <x:c r="G48" s="13" t="str">
        <x:f>IF(AND(ISNUMBER(D48),ISNUMBER(E48)),ABS(E48-D48),"")</x:f>
      </x:c>
      <x:c r="H48" s="14" t="str">
        <x:f>IF(AND(ISNUMBER(D48),ISNUMBER(E48)),IF(D48=0,"n.a.",ABS(E48-D48)/ABS(D48)),"")</x:f>
      </x:c>
      <x:c r="I48" s="2" t="str">
        <x:f>IF(COUNTA(A48)=0,"",IF('Status'!$B$6="","Set tolerance",IF(COUNT(C48:E48)&lt;3,"Need 3 levels",IF(OR(C48=0,D48=0),"Use abs. Δ",IF(AND(ABS(D48-C48)/ABS(C48)&lt;='Status'!$B$6,H48&lt;='Status'!$B$6),"Yes","No")))))</x:f>
      </x:c>
      <x:c r="J48" s="13" t="str">
        <x:f>IF(OR(COUNTA($A48)=0,'Status'!$E$6=""),"",IF(COUNTIFS('Estimates'!$A$5:$A$604,$A48,'Estimates'!$B$5:$B$604,"PPS",'Estimates'!$D$5:$D$604,'Status'!$E$6,'Estimates'!$E$5:$E$604,'Status'!$E$7)=0,"",IF(COUNTIFS('Estimates'!$A$5:$A$604,$A48,'Estimates'!$B$5:$B$604,"PPS",'Estimates'!$D$5:$D$604,'Status'!$E$6,'Estimates'!$E$5:$E$604,'Status'!$E$7)&gt;1,"DUP",SUMIFS('Estimates'!$F$5:$F$604,'Estimates'!$A$5:$A$604,$A48,'Estimates'!$B$5:$B$604,"PPS",'Estimates'!$D$5:$D$604,'Status'!$E$6,'Estimates'!$E$5:$E$604,'Status'!$E$7))))</x:f>
      </x:c>
      <x:c r="K48" s="13" t="str">
        <x:f>IF(OR(COUNTA($A48)=0,'Status'!$F$6=""),"",IF(COUNTIFS('Estimates'!$A$5:$A$604,$A48,'Estimates'!$B$5:$B$604,"PPS",'Estimates'!$D$5:$D$604,'Status'!$F$6,'Estimates'!$E$5:$E$604,'Status'!$E$7)=0,"",IF(COUNTIFS('Estimates'!$A$5:$A$604,$A48,'Estimates'!$B$5:$B$604,"PPS",'Estimates'!$D$5:$D$604,'Status'!$F$6,'Estimates'!$E$5:$E$604,'Status'!$E$7)&gt;1,"DUP",SUMIFS('Estimates'!$F$5:$F$604,'Estimates'!$A$5:$A$604,$A48,'Estimates'!$B$5:$B$604,"PPS",'Estimates'!$D$5:$D$604,'Status'!$F$6,'Estimates'!$E$5:$E$604,'Status'!$E$7))))</x:f>
      </x:c>
      <x:c r="L48" s="13" t="str">
        <x:f>IF(OR(COUNTA($A48)=0,'Status'!$G$6=""),"",IF(COUNTIFS('Estimates'!$A$5:$A$604,$A48,'Estimates'!$B$5:$B$604,"PPS",'Estimates'!$D$5:$D$604,'Status'!$G$6,'Estimates'!$E$5:$E$604,'Status'!$E$7)=0,"",IF(COUNTIFS('Estimates'!$A$5:$A$604,$A48,'Estimates'!$B$5:$B$604,"PPS",'Estimates'!$D$5:$D$604,'Status'!$G$6,'Estimates'!$E$5:$E$604,'Status'!$E$7)&gt;1,"DUP",SUMIFS('Estimates'!$F$5:$F$604,'Estimates'!$A$5:$A$604,$A48,'Estimates'!$B$5:$B$604,"PPS",'Estimates'!$D$5:$D$604,'Status'!$G$6,'Estimates'!$E$5:$E$604,'Status'!$E$7))))</x:f>
      </x:c>
      <x:c r="M48" s="13" t="str">
        <x:f>IF(COUNT(J48:L48)&lt;2,"",_xlfn.STDEV.S(J48:L48))</x:f>
      </x:c>
      <x:c r="N48" s="13" t="str">
        <x:f>IF(AND(ISNUMBER(K48),ISNUMBER(L48)),ABS(L48-K48),"")</x:f>
      </x:c>
      <x:c r="O48" s="14" t="str">
        <x:f>IF(AND(ISNUMBER(K48),ISNUMBER(L48)),IF(K48=0,"n.a.",ABS(L48-K48)/ABS(K48)),"")</x:f>
      </x:c>
      <x:c r="P48" s="2" t="str">
        <x:f>IF(COUNTA(A48)=0,"",IF('Status'!$B$6="","Set tolerance",IF(COUNT(J48:L48)&lt;3,"Need 3 levels",IF(OR(J48=0,K48=0),"Use abs. Δ",IF(AND(ABS(K48-J48)/ABS(J48)&lt;='Status'!$B$6,O48&lt;='Status'!$B$6),"Yes","No")))))</x:f>
      </x:c>
      <x:c r="Q48" s="13" t="str">
        <x:f>IF(AND(ISNUMBER(E48),ISNUMBER(L48)),ABS(E48-L48),"")</x:f>
      </x:c>
      <x:c r="R48" s="2" t="str">
        <x:f>IF(COUNTA(A48)=0,"",IF(COUNT(C48:E48,J48:L48)&gt;0,1,0))</x:f>
      </x:c>
      <x:c r="S48" s="2" t="str">
        <x:f>IF(COUNTA(A48)=0,"",IF(COUNTIFS($A$6:$A$69,A48)&gt;1,"Duplicate target",""))</x:f>
      </x:c>
    </x:row>
    <x:row r="49">
      <x:c r="A49" s="6"/>
      <x:c r="B49" s="20"/>
      <x:c r="C49" s="13" t="str">
        <x:f>IF(OR(COUNTA($A49)=0,'Status'!$E$5=""),"",IF(COUNTIFS('Estimates'!$A$5:$A$604,$A49,'Estimates'!$B$5:$B$604,"MPS",'Estimates'!$C$5:$C$604,'Status'!$E$5)=0,"",IF(COUNTIFS('Estimates'!$A$5:$A$604,$A49,'Estimates'!$B$5:$B$604,"MPS",'Estimates'!$C$5:$C$604,'Status'!$E$5)&gt;1,"DUP",SUMIFS('Estimates'!$F$5:$F$604,'Estimates'!$A$5:$A$604,$A49,'Estimates'!$B$5:$B$604,"MPS",'Estimates'!$C$5:$C$604,'Status'!$E$5))))</x:f>
      </x:c>
      <x:c r="D49" s="13" t="str">
        <x:f>IF(OR(COUNTA($A49)=0,'Status'!$F$5=""),"",IF(COUNTIFS('Estimates'!$A$5:$A$604,$A49,'Estimates'!$B$5:$B$604,"MPS",'Estimates'!$C$5:$C$604,'Status'!$F$5)=0,"",IF(COUNTIFS('Estimates'!$A$5:$A$604,$A49,'Estimates'!$B$5:$B$604,"MPS",'Estimates'!$C$5:$C$604,'Status'!$F$5)&gt;1,"DUP",SUMIFS('Estimates'!$F$5:$F$604,'Estimates'!$A$5:$A$604,$A49,'Estimates'!$B$5:$B$604,"MPS",'Estimates'!$C$5:$C$604,'Status'!$F$5))))</x:f>
      </x:c>
      <x:c r="E49" s="13" t="str">
        <x:f>IF(OR(COUNTA($A49)=0,'Status'!$G$5=""),"",IF(COUNTIFS('Estimates'!$A$5:$A$604,$A49,'Estimates'!$B$5:$B$604,"MPS",'Estimates'!$C$5:$C$604,'Status'!$G$5)=0,"",IF(COUNTIFS('Estimates'!$A$5:$A$604,$A49,'Estimates'!$B$5:$B$604,"MPS",'Estimates'!$C$5:$C$604,'Status'!$G$5)&gt;1,"DUP",SUMIFS('Estimates'!$F$5:$F$604,'Estimates'!$A$5:$A$604,$A49,'Estimates'!$B$5:$B$604,"MPS",'Estimates'!$C$5:$C$604,'Status'!$G$5))))</x:f>
      </x:c>
      <x:c r="F49" s="13" t="str">
        <x:f>IF(COUNT(C49:E49)&lt;2,"",_xlfn.STDEV.S(C49:E49))</x:f>
      </x:c>
      <x:c r="G49" s="13" t="str">
        <x:f>IF(AND(ISNUMBER(D49),ISNUMBER(E49)),ABS(E49-D49),"")</x:f>
      </x:c>
      <x:c r="H49" s="14" t="str">
        <x:f>IF(AND(ISNUMBER(D49),ISNUMBER(E49)),IF(D49=0,"n.a.",ABS(E49-D49)/ABS(D49)),"")</x:f>
      </x:c>
      <x:c r="I49" s="2" t="str">
        <x:f>IF(COUNTA(A49)=0,"",IF('Status'!$B$6="","Set tolerance",IF(COUNT(C49:E49)&lt;3,"Need 3 levels",IF(OR(C49=0,D49=0),"Use abs. Δ",IF(AND(ABS(D49-C49)/ABS(C49)&lt;='Status'!$B$6,H49&lt;='Status'!$B$6),"Yes","No")))))</x:f>
      </x:c>
      <x:c r="J49" s="13" t="str">
        <x:f>IF(OR(COUNTA($A49)=0,'Status'!$E$6=""),"",IF(COUNTIFS('Estimates'!$A$5:$A$604,$A49,'Estimates'!$B$5:$B$604,"PPS",'Estimates'!$D$5:$D$604,'Status'!$E$6,'Estimates'!$E$5:$E$604,'Status'!$E$7)=0,"",IF(COUNTIFS('Estimates'!$A$5:$A$604,$A49,'Estimates'!$B$5:$B$604,"PPS",'Estimates'!$D$5:$D$604,'Status'!$E$6,'Estimates'!$E$5:$E$604,'Status'!$E$7)&gt;1,"DUP",SUMIFS('Estimates'!$F$5:$F$604,'Estimates'!$A$5:$A$604,$A49,'Estimates'!$B$5:$B$604,"PPS",'Estimates'!$D$5:$D$604,'Status'!$E$6,'Estimates'!$E$5:$E$604,'Status'!$E$7))))</x:f>
      </x:c>
      <x:c r="K49" s="13" t="str">
        <x:f>IF(OR(COUNTA($A49)=0,'Status'!$F$6=""),"",IF(COUNTIFS('Estimates'!$A$5:$A$604,$A49,'Estimates'!$B$5:$B$604,"PPS",'Estimates'!$D$5:$D$604,'Status'!$F$6,'Estimates'!$E$5:$E$604,'Status'!$E$7)=0,"",IF(COUNTIFS('Estimates'!$A$5:$A$604,$A49,'Estimates'!$B$5:$B$604,"PPS",'Estimates'!$D$5:$D$604,'Status'!$F$6,'Estimates'!$E$5:$E$604,'Status'!$E$7)&gt;1,"DUP",SUMIFS('Estimates'!$F$5:$F$604,'Estimates'!$A$5:$A$604,$A49,'Estimates'!$B$5:$B$604,"PPS",'Estimates'!$D$5:$D$604,'Status'!$F$6,'Estimates'!$E$5:$E$604,'Status'!$E$7))))</x:f>
      </x:c>
      <x:c r="L49" s="13" t="str">
        <x:f>IF(OR(COUNTA($A49)=0,'Status'!$G$6=""),"",IF(COUNTIFS('Estimates'!$A$5:$A$604,$A49,'Estimates'!$B$5:$B$604,"PPS",'Estimates'!$D$5:$D$604,'Status'!$G$6,'Estimates'!$E$5:$E$604,'Status'!$E$7)=0,"",IF(COUNTIFS('Estimates'!$A$5:$A$604,$A49,'Estimates'!$B$5:$B$604,"PPS",'Estimates'!$D$5:$D$604,'Status'!$G$6,'Estimates'!$E$5:$E$604,'Status'!$E$7)&gt;1,"DUP",SUMIFS('Estimates'!$F$5:$F$604,'Estimates'!$A$5:$A$604,$A49,'Estimates'!$B$5:$B$604,"PPS",'Estimates'!$D$5:$D$604,'Status'!$G$6,'Estimates'!$E$5:$E$604,'Status'!$E$7))))</x:f>
      </x:c>
      <x:c r="M49" s="13" t="str">
        <x:f>IF(COUNT(J49:L49)&lt;2,"",_xlfn.STDEV.S(J49:L49))</x:f>
      </x:c>
      <x:c r="N49" s="13" t="str">
        <x:f>IF(AND(ISNUMBER(K49),ISNUMBER(L49)),ABS(L49-K49),"")</x:f>
      </x:c>
      <x:c r="O49" s="14" t="str">
        <x:f>IF(AND(ISNUMBER(K49),ISNUMBER(L49)),IF(K49=0,"n.a.",ABS(L49-K49)/ABS(K49)),"")</x:f>
      </x:c>
      <x:c r="P49" s="2" t="str">
        <x:f>IF(COUNTA(A49)=0,"",IF('Status'!$B$6="","Set tolerance",IF(COUNT(J49:L49)&lt;3,"Need 3 levels",IF(OR(J49=0,K49=0),"Use abs. Δ",IF(AND(ABS(K49-J49)/ABS(J49)&lt;='Status'!$B$6,O49&lt;='Status'!$B$6),"Yes","No")))))</x:f>
      </x:c>
      <x:c r="Q49" s="13" t="str">
        <x:f>IF(AND(ISNUMBER(E49),ISNUMBER(L49)),ABS(E49-L49),"")</x:f>
      </x:c>
      <x:c r="R49" s="2" t="str">
        <x:f>IF(COUNTA(A49)=0,"",IF(COUNT(C49:E49,J49:L49)&gt;0,1,0))</x:f>
      </x:c>
      <x:c r="S49" s="2" t="str">
        <x:f>IF(COUNTA(A49)=0,"",IF(COUNTIFS($A$6:$A$69,A49)&gt;1,"Duplicate target",""))</x:f>
      </x:c>
    </x:row>
    <x:row r="50">
      <x:c r="A50" s="6"/>
      <x:c r="B50" s="20"/>
      <x:c r="C50" s="13" t="str">
        <x:f>IF(OR(COUNTA($A50)=0,'Status'!$E$5=""),"",IF(COUNTIFS('Estimates'!$A$5:$A$604,$A50,'Estimates'!$B$5:$B$604,"MPS",'Estimates'!$C$5:$C$604,'Status'!$E$5)=0,"",IF(COUNTIFS('Estimates'!$A$5:$A$604,$A50,'Estimates'!$B$5:$B$604,"MPS",'Estimates'!$C$5:$C$604,'Status'!$E$5)&gt;1,"DUP",SUMIFS('Estimates'!$F$5:$F$604,'Estimates'!$A$5:$A$604,$A50,'Estimates'!$B$5:$B$604,"MPS",'Estimates'!$C$5:$C$604,'Status'!$E$5))))</x:f>
      </x:c>
      <x:c r="D50" s="13" t="str">
        <x:f>IF(OR(COUNTA($A50)=0,'Status'!$F$5=""),"",IF(COUNTIFS('Estimates'!$A$5:$A$604,$A50,'Estimates'!$B$5:$B$604,"MPS",'Estimates'!$C$5:$C$604,'Status'!$F$5)=0,"",IF(COUNTIFS('Estimates'!$A$5:$A$604,$A50,'Estimates'!$B$5:$B$604,"MPS",'Estimates'!$C$5:$C$604,'Status'!$F$5)&gt;1,"DUP",SUMIFS('Estimates'!$F$5:$F$604,'Estimates'!$A$5:$A$604,$A50,'Estimates'!$B$5:$B$604,"MPS",'Estimates'!$C$5:$C$604,'Status'!$F$5))))</x:f>
      </x:c>
      <x:c r="E50" s="13" t="str">
        <x:f>IF(OR(COUNTA($A50)=0,'Status'!$G$5=""),"",IF(COUNTIFS('Estimates'!$A$5:$A$604,$A50,'Estimates'!$B$5:$B$604,"MPS",'Estimates'!$C$5:$C$604,'Status'!$G$5)=0,"",IF(COUNTIFS('Estimates'!$A$5:$A$604,$A50,'Estimates'!$B$5:$B$604,"MPS",'Estimates'!$C$5:$C$604,'Status'!$G$5)&gt;1,"DUP",SUMIFS('Estimates'!$F$5:$F$604,'Estimates'!$A$5:$A$604,$A50,'Estimates'!$B$5:$B$604,"MPS",'Estimates'!$C$5:$C$604,'Status'!$G$5))))</x:f>
      </x:c>
      <x:c r="F50" s="13" t="str">
        <x:f>IF(COUNT(C50:E50)&lt;2,"",_xlfn.STDEV.S(C50:E50))</x:f>
      </x:c>
      <x:c r="G50" s="13" t="str">
        <x:f>IF(AND(ISNUMBER(D50),ISNUMBER(E50)),ABS(E50-D50),"")</x:f>
      </x:c>
      <x:c r="H50" s="14" t="str">
        <x:f>IF(AND(ISNUMBER(D50),ISNUMBER(E50)),IF(D50=0,"n.a.",ABS(E50-D50)/ABS(D50)),"")</x:f>
      </x:c>
      <x:c r="I50" s="2" t="str">
        <x:f>IF(COUNTA(A50)=0,"",IF('Status'!$B$6="","Set tolerance",IF(COUNT(C50:E50)&lt;3,"Need 3 levels",IF(OR(C50=0,D50=0),"Use abs. Δ",IF(AND(ABS(D50-C50)/ABS(C50)&lt;='Status'!$B$6,H50&lt;='Status'!$B$6),"Yes","No")))))</x:f>
      </x:c>
      <x:c r="J50" s="13" t="str">
        <x:f>IF(OR(COUNTA($A50)=0,'Status'!$E$6=""),"",IF(COUNTIFS('Estimates'!$A$5:$A$604,$A50,'Estimates'!$B$5:$B$604,"PPS",'Estimates'!$D$5:$D$604,'Status'!$E$6,'Estimates'!$E$5:$E$604,'Status'!$E$7)=0,"",IF(COUNTIFS('Estimates'!$A$5:$A$604,$A50,'Estimates'!$B$5:$B$604,"PPS",'Estimates'!$D$5:$D$604,'Status'!$E$6,'Estimates'!$E$5:$E$604,'Status'!$E$7)&gt;1,"DUP",SUMIFS('Estimates'!$F$5:$F$604,'Estimates'!$A$5:$A$604,$A50,'Estimates'!$B$5:$B$604,"PPS",'Estimates'!$D$5:$D$604,'Status'!$E$6,'Estimates'!$E$5:$E$604,'Status'!$E$7))))</x:f>
      </x:c>
      <x:c r="K50" s="13" t="str">
        <x:f>IF(OR(COUNTA($A50)=0,'Status'!$F$6=""),"",IF(COUNTIFS('Estimates'!$A$5:$A$604,$A50,'Estimates'!$B$5:$B$604,"PPS",'Estimates'!$D$5:$D$604,'Status'!$F$6,'Estimates'!$E$5:$E$604,'Status'!$E$7)=0,"",IF(COUNTIFS('Estimates'!$A$5:$A$604,$A50,'Estimates'!$B$5:$B$604,"PPS",'Estimates'!$D$5:$D$604,'Status'!$F$6,'Estimates'!$E$5:$E$604,'Status'!$E$7)&gt;1,"DUP",SUMIFS('Estimates'!$F$5:$F$604,'Estimates'!$A$5:$A$604,$A50,'Estimates'!$B$5:$B$604,"PPS",'Estimates'!$D$5:$D$604,'Status'!$F$6,'Estimates'!$E$5:$E$604,'Status'!$E$7))))</x:f>
      </x:c>
      <x:c r="L50" s="13" t="str">
        <x:f>IF(OR(COUNTA($A50)=0,'Status'!$G$6=""),"",IF(COUNTIFS('Estimates'!$A$5:$A$604,$A50,'Estimates'!$B$5:$B$604,"PPS",'Estimates'!$D$5:$D$604,'Status'!$G$6,'Estimates'!$E$5:$E$604,'Status'!$E$7)=0,"",IF(COUNTIFS('Estimates'!$A$5:$A$604,$A50,'Estimates'!$B$5:$B$604,"PPS",'Estimates'!$D$5:$D$604,'Status'!$G$6,'Estimates'!$E$5:$E$604,'Status'!$E$7)&gt;1,"DUP",SUMIFS('Estimates'!$F$5:$F$604,'Estimates'!$A$5:$A$604,$A50,'Estimates'!$B$5:$B$604,"PPS",'Estimates'!$D$5:$D$604,'Status'!$G$6,'Estimates'!$E$5:$E$604,'Status'!$E$7))))</x:f>
      </x:c>
      <x:c r="M50" s="13" t="str">
        <x:f>IF(COUNT(J50:L50)&lt;2,"",_xlfn.STDEV.S(J50:L50))</x:f>
      </x:c>
      <x:c r="N50" s="13" t="str">
        <x:f>IF(AND(ISNUMBER(K50),ISNUMBER(L50)),ABS(L50-K50),"")</x:f>
      </x:c>
      <x:c r="O50" s="14" t="str">
        <x:f>IF(AND(ISNUMBER(K50),ISNUMBER(L50)),IF(K50=0,"n.a.",ABS(L50-K50)/ABS(K50)),"")</x:f>
      </x:c>
      <x:c r="P50" s="2" t="str">
        <x:f>IF(COUNTA(A50)=0,"",IF('Status'!$B$6="","Set tolerance",IF(COUNT(J50:L50)&lt;3,"Need 3 levels",IF(OR(J50=0,K50=0),"Use abs. Δ",IF(AND(ABS(K50-J50)/ABS(J50)&lt;='Status'!$B$6,O50&lt;='Status'!$B$6),"Yes","No")))))</x:f>
      </x:c>
      <x:c r="Q50" s="13" t="str">
        <x:f>IF(AND(ISNUMBER(E50),ISNUMBER(L50)),ABS(E50-L50),"")</x:f>
      </x:c>
      <x:c r="R50" s="2" t="str">
        <x:f>IF(COUNTA(A50)=0,"",IF(COUNT(C50:E50,J50:L50)&gt;0,1,0))</x:f>
      </x:c>
      <x:c r="S50" s="2" t="str">
        <x:f>IF(COUNTA(A50)=0,"",IF(COUNTIFS($A$6:$A$69,A50)&gt;1,"Duplicate target",""))</x:f>
      </x:c>
    </x:row>
    <x:row r="51">
      <x:c r="A51" s="6"/>
      <x:c r="B51" s="20"/>
      <x:c r="C51" s="13" t="str">
        <x:f>IF(OR(COUNTA($A51)=0,'Status'!$E$5=""),"",IF(COUNTIFS('Estimates'!$A$5:$A$604,$A51,'Estimates'!$B$5:$B$604,"MPS",'Estimates'!$C$5:$C$604,'Status'!$E$5)=0,"",IF(COUNTIFS('Estimates'!$A$5:$A$604,$A51,'Estimates'!$B$5:$B$604,"MPS",'Estimates'!$C$5:$C$604,'Status'!$E$5)&gt;1,"DUP",SUMIFS('Estimates'!$F$5:$F$604,'Estimates'!$A$5:$A$604,$A51,'Estimates'!$B$5:$B$604,"MPS",'Estimates'!$C$5:$C$604,'Status'!$E$5))))</x:f>
      </x:c>
      <x:c r="D51" s="13" t="str">
        <x:f>IF(OR(COUNTA($A51)=0,'Status'!$F$5=""),"",IF(COUNTIFS('Estimates'!$A$5:$A$604,$A51,'Estimates'!$B$5:$B$604,"MPS",'Estimates'!$C$5:$C$604,'Status'!$F$5)=0,"",IF(COUNTIFS('Estimates'!$A$5:$A$604,$A51,'Estimates'!$B$5:$B$604,"MPS",'Estimates'!$C$5:$C$604,'Status'!$F$5)&gt;1,"DUP",SUMIFS('Estimates'!$F$5:$F$604,'Estimates'!$A$5:$A$604,$A51,'Estimates'!$B$5:$B$604,"MPS",'Estimates'!$C$5:$C$604,'Status'!$F$5))))</x:f>
      </x:c>
      <x:c r="E51" s="13" t="str">
        <x:f>IF(OR(COUNTA($A51)=0,'Status'!$G$5=""),"",IF(COUNTIFS('Estimates'!$A$5:$A$604,$A51,'Estimates'!$B$5:$B$604,"MPS",'Estimates'!$C$5:$C$604,'Status'!$G$5)=0,"",IF(COUNTIFS('Estimates'!$A$5:$A$604,$A51,'Estimates'!$B$5:$B$604,"MPS",'Estimates'!$C$5:$C$604,'Status'!$G$5)&gt;1,"DUP",SUMIFS('Estimates'!$F$5:$F$604,'Estimates'!$A$5:$A$604,$A51,'Estimates'!$B$5:$B$604,"MPS",'Estimates'!$C$5:$C$604,'Status'!$G$5))))</x:f>
      </x:c>
      <x:c r="F51" s="13" t="str">
        <x:f>IF(COUNT(C51:E51)&lt;2,"",_xlfn.STDEV.S(C51:E51))</x:f>
      </x:c>
      <x:c r="G51" s="13" t="str">
        <x:f>IF(AND(ISNUMBER(D51),ISNUMBER(E51)),ABS(E51-D51),"")</x:f>
      </x:c>
      <x:c r="H51" s="14" t="str">
        <x:f>IF(AND(ISNUMBER(D51),ISNUMBER(E51)),IF(D51=0,"n.a.",ABS(E51-D51)/ABS(D51)),"")</x:f>
      </x:c>
      <x:c r="I51" s="2" t="str">
        <x:f>IF(COUNTA(A51)=0,"",IF('Status'!$B$6="","Set tolerance",IF(COUNT(C51:E51)&lt;3,"Need 3 levels",IF(OR(C51=0,D51=0),"Use abs. Δ",IF(AND(ABS(D51-C51)/ABS(C51)&lt;='Status'!$B$6,H51&lt;='Status'!$B$6),"Yes","No")))))</x:f>
      </x:c>
      <x:c r="J51" s="13" t="str">
        <x:f>IF(OR(COUNTA($A51)=0,'Status'!$E$6=""),"",IF(COUNTIFS('Estimates'!$A$5:$A$604,$A51,'Estimates'!$B$5:$B$604,"PPS",'Estimates'!$D$5:$D$604,'Status'!$E$6,'Estimates'!$E$5:$E$604,'Status'!$E$7)=0,"",IF(COUNTIFS('Estimates'!$A$5:$A$604,$A51,'Estimates'!$B$5:$B$604,"PPS",'Estimates'!$D$5:$D$604,'Status'!$E$6,'Estimates'!$E$5:$E$604,'Status'!$E$7)&gt;1,"DUP",SUMIFS('Estimates'!$F$5:$F$604,'Estimates'!$A$5:$A$604,$A51,'Estimates'!$B$5:$B$604,"PPS",'Estimates'!$D$5:$D$604,'Status'!$E$6,'Estimates'!$E$5:$E$604,'Status'!$E$7))))</x:f>
      </x:c>
      <x:c r="K51" s="13" t="str">
        <x:f>IF(OR(COUNTA($A51)=0,'Status'!$F$6=""),"",IF(COUNTIFS('Estimates'!$A$5:$A$604,$A51,'Estimates'!$B$5:$B$604,"PPS",'Estimates'!$D$5:$D$604,'Status'!$F$6,'Estimates'!$E$5:$E$604,'Status'!$E$7)=0,"",IF(COUNTIFS('Estimates'!$A$5:$A$604,$A51,'Estimates'!$B$5:$B$604,"PPS",'Estimates'!$D$5:$D$604,'Status'!$F$6,'Estimates'!$E$5:$E$604,'Status'!$E$7)&gt;1,"DUP",SUMIFS('Estimates'!$F$5:$F$604,'Estimates'!$A$5:$A$604,$A51,'Estimates'!$B$5:$B$604,"PPS",'Estimates'!$D$5:$D$604,'Status'!$F$6,'Estimates'!$E$5:$E$604,'Status'!$E$7))))</x:f>
      </x:c>
      <x:c r="L51" s="13" t="str">
        <x:f>IF(OR(COUNTA($A51)=0,'Status'!$G$6=""),"",IF(COUNTIFS('Estimates'!$A$5:$A$604,$A51,'Estimates'!$B$5:$B$604,"PPS",'Estimates'!$D$5:$D$604,'Status'!$G$6,'Estimates'!$E$5:$E$604,'Status'!$E$7)=0,"",IF(COUNTIFS('Estimates'!$A$5:$A$604,$A51,'Estimates'!$B$5:$B$604,"PPS",'Estimates'!$D$5:$D$604,'Status'!$G$6,'Estimates'!$E$5:$E$604,'Status'!$E$7)&gt;1,"DUP",SUMIFS('Estimates'!$F$5:$F$604,'Estimates'!$A$5:$A$604,$A51,'Estimates'!$B$5:$B$604,"PPS",'Estimates'!$D$5:$D$604,'Status'!$G$6,'Estimates'!$E$5:$E$604,'Status'!$E$7))))</x:f>
      </x:c>
      <x:c r="M51" s="13" t="str">
        <x:f>IF(COUNT(J51:L51)&lt;2,"",_xlfn.STDEV.S(J51:L51))</x:f>
      </x:c>
      <x:c r="N51" s="13" t="str">
        <x:f>IF(AND(ISNUMBER(K51),ISNUMBER(L51)),ABS(L51-K51),"")</x:f>
      </x:c>
      <x:c r="O51" s="14" t="str">
        <x:f>IF(AND(ISNUMBER(K51),ISNUMBER(L51)),IF(K51=0,"n.a.",ABS(L51-K51)/ABS(K51)),"")</x:f>
      </x:c>
      <x:c r="P51" s="2" t="str">
        <x:f>IF(COUNTA(A51)=0,"",IF('Status'!$B$6="","Set tolerance",IF(COUNT(J51:L51)&lt;3,"Need 3 levels",IF(OR(J51=0,K51=0),"Use abs. Δ",IF(AND(ABS(K51-J51)/ABS(J51)&lt;='Status'!$B$6,O51&lt;='Status'!$B$6),"Yes","No")))))</x:f>
      </x:c>
      <x:c r="Q51" s="13" t="str">
        <x:f>IF(AND(ISNUMBER(E51),ISNUMBER(L51)),ABS(E51-L51),"")</x:f>
      </x:c>
      <x:c r="R51" s="2" t="str">
        <x:f>IF(COUNTA(A51)=0,"",IF(COUNT(C51:E51,J51:L51)&gt;0,1,0))</x:f>
      </x:c>
      <x:c r="S51" s="2" t="str">
        <x:f>IF(COUNTA(A51)=0,"",IF(COUNTIFS($A$6:$A$69,A51)&gt;1,"Duplicate target",""))</x:f>
      </x:c>
    </x:row>
    <x:row r="52">
      <x:c r="A52" s="6"/>
      <x:c r="B52" s="20"/>
      <x:c r="C52" s="13" t="str">
        <x:f>IF(OR(COUNTA($A52)=0,'Status'!$E$5=""),"",IF(COUNTIFS('Estimates'!$A$5:$A$604,$A52,'Estimates'!$B$5:$B$604,"MPS",'Estimates'!$C$5:$C$604,'Status'!$E$5)=0,"",IF(COUNTIFS('Estimates'!$A$5:$A$604,$A52,'Estimates'!$B$5:$B$604,"MPS",'Estimates'!$C$5:$C$604,'Status'!$E$5)&gt;1,"DUP",SUMIFS('Estimates'!$F$5:$F$604,'Estimates'!$A$5:$A$604,$A52,'Estimates'!$B$5:$B$604,"MPS",'Estimates'!$C$5:$C$604,'Status'!$E$5))))</x:f>
      </x:c>
      <x:c r="D52" s="13" t="str">
        <x:f>IF(OR(COUNTA($A52)=0,'Status'!$F$5=""),"",IF(COUNTIFS('Estimates'!$A$5:$A$604,$A52,'Estimates'!$B$5:$B$604,"MPS",'Estimates'!$C$5:$C$604,'Status'!$F$5)=0,"",IF(COUNTIFS('Estimates'!$A$5:$A$604,$A52,'Estimates'!$B$5:$B$604,"MPS",'Estimates'!$C$5:$C$604,'Status'!$F$5)&gt;1,"DUP",SUMIFS('Estimates'!$F$5:$F$604,'Estimates'!$A$5:$A$604,$A52,'Estimates'!$B$5:$B$604,"MPS",'Estimates'!$C$5:$C$604,'Status'!$F$5))))</x:f>
      </x:c>
      <x:c r="E52" s="13" t="str">
        <x:f>IF(OR(COUNTA($A52)=0,'Status'!$G$5=""),"",IF(COUNTIFS('Estimates'!$A$5:$A$604,$A52,'Estimates'!$B$5:$B$604,"MPS",'Estimates'!$C$5:$C$604,'Status'!$G$5)=0,"",IF(COUNTIFS('Estimates'!$A$5:$A$604,$A52,'Estimates'!$B$5:$B$604,"MPS",'Estimates'!$C$5:$C$604,'Status'!$G$5)&gt;1,"DUP",SUMIFS('Estimates'!$F$5:$F$604,'Estimates'!$A$5:$A$604,$A52,'Estimates'!$B$5:$B$604,"MPS",'Estimates'!$C$5:$C$604,'Status'!$G$5))))</x:f>
      </x:c>
      <x:c r="F52" s="13" t="str">
        <x:f>IF(COUNT(C52:E52)&lt;2,"",_xlfn.STDEV.S(C52:E52))</x:f>
      </x:c>
      <x:c r="G52" s="13" t="str">
        <x:f>IF(AND(ISNUMBER(D52),ISNUMBER(E52)),ABS(E52-D52),"")</x:f>
      </x:c>
      <x:c r="H52" s="14" t="str">
        <x:f>IF(AND(ISNUMBER(D52),ISNUMBER(E52)),IF(D52=0,"n.a.",ABS(E52-D52)/ABS(D52)),"")</x:f>
      </x:c>
      <x:c r="I52" s="2" t="str">
        <x:f>IF(COUNTA(A52)=0,"",IF('Status'!$B$6="","Set tolerance",IF(COUNT(C52:E52)&lt;3,"Need 3 levels",IF(OR(C52=0,D52=0),"Use abs. Δ",IF(AND(ABS(D52-C52)/ABS(C52)&lt;='Status'!$B$6,H52&lt;='Status'!$B$6),"Yes","No")))))</x:f>
      </x:c>
      <x:c r="J52" s="13" t="str">
        <x:f>IF(OR(COUNTA($A52)=0,'Status'!$E$6=""),"",IF(COUNTIFS('Estimates'!$A$5:$A$604,$A52,'Estimates'!$B$5:$B$604,"PPS",'Estimates'!$D$5:$D$604,'Status'!$E$6,'Estimates'!$E$5:$E$604,'Status'!$E$7)=0,"",IF(COUNTIFS('Estimates'!$A$5:$A$604,$A52,'Estimates'!$B$5:$B$604,"PPS",'Estimates'!$D$5:$D$604,'Status'!$E$6,'Estimates'!$E$5:$E$604,'Status'!$E$7)&gt;1,"DUP",SUMIFS('Estimates'!$F$5:$F$604,'Estimates'!$A$5:$A$604,$A52,'Estimates'!$B$5:$B$604,"PPS",'Estimates'!$D$5:$D$604,'Status'!$E$6,'Estimates'!$E$5:$E$604,'Status'!$E$7))))</x:f>
      </x:c>
      <x:c r="K52" s="13" t="str">
        <x:f>IF(OR(COUNTA($A52)=0,'Status'!$F$6=""),"",IF(COUNTIFS('Estimates'!$A$5:$A$604,$A52,'Estimates'!$B$5:$B$604,"PPS",'Estimates'!$D$5:$D$604,'Status'!$F$6,'Estimates'!$E$5:$E$604,'Status'!$E$7)=0,"",IF(COUNTIFS('Estimates'!$A$5:$A$604,$A52,'Estimates'!$B$5:$B$604,"PPS",'Estimates'!$D$5:$D$604,'Status'!$F$6,'Estimates'!$E$5:$E$604,'Status'!$E$7)&gt;1,"DUP",SUMIFS('Estimates'!$F$5:$F$604,'Estimates'!$A$5:$A$604,$A52,'Estimates'!$B$5:$B$604,"PPS",'Estimates'!$D$5:$D$604,'Status'!$F$6,'Estimates'!$E$5:$E$604,'Status'!$E$7))))</x:f>
      </x:c>
      <x:c r="L52" s="13" t="str">
        <x:f>IF(OR(COUNTA($A52)=0,'Status'!$G$6=""),"",IF(COUNTIFS('Estimates'!$A$5:$A$604,$A52,'Estimates'!$B$5:$B$604,"PPS",'Estimates'!$D$5:$D$604,'Status'!$G$6,'Estimates'!$E$5:$E$604,'Status'!$E$7)=0,"",IF(COUNTIFS('Estimates'!$A$5:$A$604,$A52,'Estimates'!$B$5:$B$604,"PPS",'Estimates'!$D$5:$D$604,'Status'!$G$6,'Estimates'!$E$5:$E$604,'Status'!$E$7)&gt;1,"DUP",SUMIFS('Estimates'!$F$5:$F$604,'Estimates'!$A$5:$A$604,$A52,'Estimates'!$B$5:$B$604,"PPS",'Estimates'!$D$5:$D$604,'Status'!$G$6,'Estimates'!$E$5:$E$604,'Status'!$E$7))))</x:f>
      </x:c>
      <x:c r="M52" s="13" t="str">
        <x:f>IF(COUNT(J52:L52)&lt;2,"",_xlfn.STDEV.S(J52:L52))</x:f>
      </x:c>
      <x:c r="N52" s="13" t="str">
        <x:f>IF(AND(ISNUMBER(K52),ISNUMBER(L52)),ABS(L52-K52),"")</x:f>
      </x:c>
      <x:c r="O52" s="14" t="str">
        <x:f>IF(AND(ISNUMBER(K52),ISNUMBER(L52)),IF(K52=0,"n.a.",ABS(L52-K52)/ABS(K52)),"")</x:f>
      </x:c>
      <x:c r="P52" s="2" t="str">
        <x:f>IF(COUNTA(A52)=0,"",IF('Status'!$B$6="","Set tolerance",IF(COUNT(J52:L52)&lt;3,"Need 3 levels",IF(OR(J52=0,K52=0),"Use abs. Δ",IF(AND(ABS(K52-J52)/ABS(J52)&lt;='Status'!$B$6,O52&lt;='Status'!$B$6),"Yes","No")))))</x:f>
      </x:c>
      <x:c r="Q52" s="13" t="str">
        <x:f>IF(AND(ISNUMBER(E52),ISNUMBER(L52)),ABS(E52-L52),"")</x:f>
      </x:c>
      <x:c r="R52" s="2" t="str">
        <x:f>IF(COUNTA(A52)=0,"",IF(COUNT(C52:E52,J52:L52)&gt;0,1,0))</x:f>
      </x:c>
      <x:c r="S52" s="2" t="str">
        <x:f>IF(COUNTA(A52)=0,"",IF(COUNTIFS($A$6:$A$69,A52)&gt;1,"Duplicate target",""))</x:f>
      </x:c>
    </x:row>
    <x:row r="53">
      <x:c r="A53" s="6"/>
      <x:c r="B53" s="20"/>
      <x:c r="C53" s="13" t="str">
        <x:f>IF(OR(COUNTA($A53)=0,'Status'!$E$5=""),"",IF(COUNTIFS('Estimates'!$A$5:$A$604,$A53,'Estimates'!$B$5:$B$604,"MPS",'Estimates'!$C$5:$C$604,'Status'!$E$5)=0,"",IF(COUNTIFS('Estimates'!$A$5:$A$604,$A53,'Estimates'!$B$5:$B$604,"MPS",'Estimates'!$C$5:$C$604,'Status'!$E$5)&gt;1,"DUP",SUMIFS('Estimates'!$F$5:$F$604,'Estimates'!$A$5:$A$604,$A53,'Estimates'!$B$5:$B$604,"MPS",'Estimates'!$C$5:$C$604,'Status'!$E$5))))</x:f>
      </x:c>
      <x:c r="D53" s="13" t="str">
        <x:f>IF(OR(COUNTA($A53)=0,'Status'!$F$5=""),"",IF(COUNTIFS('Estimates'!$A$5:$A$604,$A53,'Estimates'!$B$5:$B$604,"MPS",'Estimates'!$C$5:$C$604,'Status'!$F$5)=0,"",IF(COUNTIFS('Estimates'!$A$5:$A$604,$A53,'Estimates'!$B$5:$B$604,"MPS",'Estimates'!$C$5:$C$604,'Status'!$F$5)&gt;1,"DUP",SUMIFS('Estimates'!$F$5:$F$604,'Estimates'!$A$5:$A$604,$A53,'Estimates'!$B$5:$B$604,"MPS",'Estimates'!$C$5:$C$604,'Status'!$F$5))))</x:f>
      </x:c>
      <x:c r="E53" s="13" t="str">
        <x:f>IF(OR(COUNTA($A53)=0,'Status'!$G$5=""),"",IF(COUNTIFS('Estimates'!$A$5:$A$604,$A53,'Estimates'!$B$5:$B$604,"MPS",'Estimates'!$C$5:$C$604,'Status'!$G$5)=0,"",IF(COUNTIFS('Estimates'!$A$5:$A$604,$A53,'Estimates'!$B$5:$B$604,"MPS",'Estimates'!$C$5:$C$604,'Status'!$G$5)&gt;1,"DUP",SUMIFS('Estimates'!$F$5:$F$604,'Estimates'!$A$5:$A$604,$A53,'Estimates'!$B$5:$B$604,"MPS",'Estimates'!$C$5:$C$604,'Status'!$G$5))))</x:f>
      </x:c>
      <x:c r="F53" s="13" t="str">
        <x:f>IF(COUNT(C53:E53)&lt;2,"",_xlfn.STDEV.S(C53:E53))</x:f>
      </x:c>
      <x:c r="G53" s="13" t="str">
        <x:f>IF(AND(ISNUMBER(D53),ISNUMBER(E53)),ABS(E53-D53),"")</x:f>
      </x:c>
      <x:c r="H53" s="14" t="str">
        <x:f>IF(AND(ISNUMBER(D53),ISNUMBER(E53)),IF(D53=0,"n.a.",ABS(E53-D53)/ABS(D53)),"")</x:f>
      </x:c>
      <x:c r="I53" s="2" t="str">
        <x:f>IF(COUNTA(A53)=0,"",IF('Status'!$B$6="","Set tolerance",IF(COUNT(C53:E53)&lt;3,"Need 3 levels",IF(OR(C53=0,D53=0),"Use abs. Δ",IF(AND(ABS(D53-C53)/ABS(C53)&lt;='Status'!$B$6,H53&lt;='Status'!$B$6),"Yes","No")))))</x:f>
      </x:c>
      <x:c r="J53" s="13" t="str">
        <x:f>IF(OR(COUNTA($A53)=0,'Status'!$E$6=""),"",IF(COUNTIFS('Estimates'!$A$5:$A$604,$A53,'Estimates'!$B$5:$B$604,"PPS",'Estimates'!$D$5:$D$604,'Status'!$E$6,'Estimates'!$E$5:$E$604,'Status'!$E$7)=0,"",IF(COUNTIFS('Estimates'!$A$5:$A$604,$A53,'Estimates'!$B$5:$B$604,"PPS",'Estimates'!$D$5:$D$604,'Status'!$E$6,'Estimates'!$E$5:$E$604,'Status'!$E$7)&gt;1,"DUP",SUMIFS('Estimates'!$F$5:$F$604,'Estimates'!$A$5:$A$604,$A53,'Estimates'!$B$5:$B$604,"PPS",'Estimates'!$D$5:$D$604,'Status'!$E$6,'Estimates'!$E$5:$E$604,'Status'!$E$7))))</x:f>
      </x:c>
      <x:c r="K53" s="13" t="str">
        <x:f>IF(OR(COUNTA($A53)=0,'Status'!$F$6=""),"",IF(COUNTIFS('Estimates'!$A$5:$A$604,$A53,'Estimates'!$B$5:$B$604,"PPS",'Estimates'!$D$5:$D$604,'Status'!$F$6,'Estimates'!$E$5:$E$604,'Status'!$E$7)=0,"",IF(COUNTIFS('Estimates'!$A$5:$A$604,$A53,'Estimates'!$B$5:$B$604,"PPS",'Estimates'!$D$5:$D$604,'Status'!$F$6,'Estimates'!$E$5:$E$604,'Status'!$E$7)&gt;1,"DUP",SUMIFS('Estimates'!$F$5:$F$604,'Estimates'!$A$5:$A$604,$A53,'Estimates'!$B$5:$B$604,"PPS",'Estimates'!$D$5:$D$604,'Status'!$F$6,'Estimates'!$E$5:$E$604,'Status'!$E$7))))</x:f>
      </x:c>
      <x:c r="L53" s="13" t="str">
        <x:f>IF(OR(COUNTA($A53)=0,'Status'!$G$6=""),"",IF(COUNTIFS('Estimates'!$A$5:$A$604,$A53,'Estimates'!$B$5:$B$604,"PPS",'Estimates'!$D$5:$D$604,'Status'!$G$6,'Estimates'!$E$5:$E$604,'Status'!$E$7)=0,"",IF(COUNTIFS('Estimates'!$A$5:$A$604,$A53,'Estimates'!$B$5:$B$604,"PPS",'Estimates'!$D$5:$D$604,'Status'!$G$6,'Estimates'!$E$5:$E$604,'Status'!$E$7)&gt;1,"DUP",SUMIFS('Estimates'!$F$5:$F$604,'Estimates'!$A$5:$A$604,$A53,'Estimates'!$B$5:$B$604,"PPS",'Estimates'!$D$5:$D$604,'Status'!$G$6,'Estimates'!$E$5:$E$604,'Status'!$E$7))))</x:f>
      </x:c>
      <x:c r="M53" s="13" t="str">
        <x:f>IF(COUNT(J53:L53)&lt;2,"",_xlfn.STDEV.S(J53:L53))</x:f>
      </x:c>
      <x:c r="N53" s="13" t="str">
        <x:f>IF(AND(ISNUMBER(K53),ISNUMBER(L53)),ABS(L53-K53),"")</x:f>
      </x:c>
      <x:c r="O53" s="14" t="str">
        <x:f>IF(AND(ISNUMBER(K53),ISNUMBER(L53)),IF(K53=0,"n.a.",ABS(L53-K53)/ABS(K53)),"")</x:f>
      </x:c>
      <x:c r="P53" s="2" t="str">
        <x:f>IF(COUNTA(A53)=0,"",IF('Status'!$B$6="","Set tolerance",IF(COUNT(J53:L53)&lt;3,"Need 3 levels",IF(OR(J53=0,K53=0),"Use abs. Δ",IF(AND(ABS(K53-J53)/ABS(J53)&lt;='Status'!$B$6,O53&lt;='Status'!$B$6),"Yes","No")))))</x:f>
      </x:c>
      <x:c r="Q53" s="13" t="str">
        <x:f>IF(AND(ISNUMBER(E53),ISNUMBER(L53)),ABS(E53-L53),"")</x:f>
      </x:c>
      <x:c r="R53" s="2" t="str">
        <x:f>IF(COUNTA(A53)=0,"",IF(COUNT(C53:E53,J53:L53)&gt;0,1,0))</x:f>
      </x:c>
      <x:c r="S53" s="2" t="str">
        <x:f>IF(COUNTA(A53)=0,"",IF(COUNTIFS($A$6:$A$69,A53)&gt;1,"Duplicate target",""))</x:f>
      </x:c>
    </x:row>
    <x:row r="54">
      <x:c r="A54" s="6"/>
      <x:c r="B54" s="20"/>
      <x:c r="C54" s="13" t="str">
        <x:f>IF(OR(COUNTA($A54)=0,'Status'!$E$5=""),"",IF(COUNTIFS('Estimates'!$A$5:$A$604,$A54,'Estimates'!$B$5:$B$604,"MPS",'Estimates'!$C$5:$C$604,'Status'!$E$5)=0,"",IF(COUNTIFS('Estimates'!$A$5:$A$604,$A54,'Estimates'!$B$5:$B$604,"MPS",'Estimates'!$C$5:$C$604,'Status'!$E$5)&gt;1,"DUP",SUMIFS('Estimates'!$F$5:$F$604,'Estimates'!$A$5:$A$604,$A54,'Estimates'!$B$5:$B$604,"MPS",'Estimates'!$C$5:$C$604,'Status'!$E$5))))</x:f>
      </x:c>
      <x:c r="D54" s="13" t="str">
        <x:f>IF(OR(COUNTA($A54)=0,'Status'!$F$5=""),"",IF(COUNTIFS('Estimates'!$A$5:$A$604,$A54,'Estimates'!$B$5:$B$604,"MPS",'Estimates'!$C$5:$C$604,'Status'!$F$5)=0,"",IF(COUNTIFS('Estimates'!$A$5:$A$604,$A54,'Estimates'!$B$5:$B$604,"MPS",'Estimates'!$C$5:$C$604,'Status'!$F$5)&gt;1,"DUP",SUMIFS('Estimates'!$F$5:$F$604,'Estimates'!$A$5:$A$604,$A54,'Estimates'!$B$5:$B$604,"MPS",'Estimates'!$C$5:$C$604,'Status'!$F$5))))</x:f>
      </x:c>
      <x:c r="E54" s="13" t="str">
        <x:f>IF(OR(COUNTA($A54)=0,'Status'!$G$5=""),"",IF(COUNTIFS('Estimates'!$A$5:$A$604,$A54,'Estimates'!$B$5:$B$604,"MPS",'Estimates'!$C$5:$C$604,'Status'!$G$5)=0,"",IF(COUNTIFS('Estimates'!$A$5:$A$604,$A54,'Estimates'!$B$5:$B$604,"MPS",'Estimates'!$C$5:$C$604,'Status'!$G$5)&gt;1,"DUP",SUMIFS('Estimates'!$F$5:$F$604,'Estimates'!$A$5:$A$604,$A54,'Estimates'!$B$5:$B$604,"MPS",'Estimates'!$C$5:$C$604,'Status'!$G$5))))</x:f>
      </x:c>
      <x:c r="F54" s="13" t="str">
        <x:f>IF(COUNT(C54:E54)&lt;2,"",_xlfn.STDEV.S(C54:E54))</x:f>
      </x:c>
      <x:c r="G54" s="13" t="str">
        <x:f>IF(AND(ISNUMBER(D54),ISNUMBER(E54)),ABS(E54-D54),"")</x:f>
      </x:c>
      <x:c r="H54" s="14" t="str">
        <x:f>IF(AND(ISNUMBER(D54),ISNUMBER(E54)),IF(D54=0,"n.a.",ABS(E54-D54)/ABS(D54)),"")</x:f>
      </x:c>
      <x:c r="I54" s="2" t="str">
        <x:f>IF(COUNTA(A54)=0,"",IF('Status'!$B$6="","Set tolerance",IF(COUNT(C54:E54)&lt;3,"Need 3 levels",IF(OR(C54=0,D54=0),"Use abs. Δ",IF(AND(ABS(D54-C54)/ABS(C54)&lt;='Status'!$B$6,H54&lt;='Status'!$B$6),"Yes","No")))))</x:f>
      </x:c>
      <x:c r="J54" s="13" t="str">
        <x:f>IF(OR(COUNTA($A54)=0,'Status'!$E$6=""),"",IF(COUNTIFS('Estimates'!$A$5:$A$604,$A54,'Estimates'!$B$5:$B$604,"PPS",'Estimates'!$D$5:$D$604,'Status'!$E$6,'Estimates'!$E$5:$E$604,'Status'!$E$7)=0,"",IF(COUNTIFS('Estimates'!$A$5:$A$604,$A54,'Estimates'!$B$5:$B$604,"PPS",'Estimates'!$D$5:$D$604,'Status'!$E$6,'Estimates'!$E$5:$E$604,'Status'!$E$7)&gt;1,"DUP",SUMIFS('Estimates'!$F$5:$F$604,'Estimates'!$A$5:$A$604,$A54,'Estimates'!$B$5:$B$604,"PPS",'Estimates'!$D$5:$D$604,'Status'!$E$6,'Estimates'!$E$5:$E$604,'Status'!$E$7))))</x:f>
      </x:c>
      <x:c r="K54" s="13" t="str">
        <x:f>IF(OR(COUNTA($A54)=0,'Status'!$F$6=""),"",IF(COUNTIFS('Estimates'!$A$5:$A$604,$A54,'Estimates'!$B$5:$B$604,"PPS",'Estimates'!$D$5:$D$604,'Status'!$F$6,'Estimates'!$E$5:$E$604,'Status'!$E$7)=0,"",IF(COUNTIFS('Estimates'!$A$5:$A$604,$A54,'Estimates'!$B$5:$B$604,"PPS",'Estimates'!$D$5:$D$604,'Status'!$F$6,'Estimates'!$E$5:$E$604,'Status'!$E$7)&gt;1,"DUP",SUMIFS('Estimates'!$F$5:$F$604,'Estimates'!$A$5:$A$604,$A54,'Estimates'!$B$5:$B$604,"PPS",'Estimates'!$D$5:$D$604,'Status'!$F$6,'Estimates'!$E$5:$E$604,'Status'!$E$7))))</x:f>
      </x:c>
      <x:c r="L54" s="13" t="str">
        <x:f>IF(OR(COUNTA($A54)=0,'Status'!$G$6=""),"",IF(COUNTIFS('Estimates'!$A$5:$A$604,$A54,'Estimates'!$B$5:$B$604,"PPS",'Estimates'!$D$5:$D$604,'Status'!$G$6,'Estimates'!$E$5:$E$604,'Status'!$E$7)=0,"",IF(COUNTIFS('Estimates'!$A$5:$A$604,$A54,'Estimates'!$B$5:$B$604,"PPS",'Estimates'!$D$5:$D$604,'Status'!$G$6,'Estimates'!$E$5:$E$604,'Status'!$E$7)&gt;1,"DUP",SUMIFS('Estimates'!$F$5:$F$604,'Estimates'!$A$5:$A$604,$A54,'Estimates'!$B$5:$B$604,"PPS",'Estimates'!$D$5:$D$604,'Status'!$G$6,'Estimates'!$E$5:$E$604,'Status'!$E$7))))</x:f>
      </x:c>
      <x:c r="M54" s="13" t="str">
        <x:f>IF(COUNT(J54:L54)&lt;2,"",_xlfn.STDEV.S(J54:L54))</x:f>
      </x:c>
      <x:c r="N54" s="13" t="str">
        <x:f>IF(AND(ISNUMBER(K54),ISNUMBER(L54)),ABS(L54-K54),"")</x:f>
      </x:c>
      <x:c r="O54" s="14" t="str">
        <x:f>IF(AND(ISNUMBER(K54),ISNUMBER(L54)),IF(K54=0,"n.a.",ABS(L54-K54)/ABS(K54)),"")</x:f>
      </x:c>
      <x:c r="P54" s="2" t="str">
        <x:f>IF(COUNTA(A54)=0,"",IF('Status'!$B$6="","Set tolerance",IF(COUNT(J54:L54)&lt;3,"Need 3 levels",IF(OR(J54=0,K54=0),"Use abs. Δ",IF(AND(ABS(K54-J54)/ABS(J54)&lt;='Status'!$B$6,O54&lt;='Status'!$B$6),"Yes","No")))))</x:f>
      </x:c>
      <x:c r="Q54" s="13" t="str">
        <x:f>IF(AND(ISNUMBER(E54),ISNUMBER(L54)),ABS(E54-L54),"")</x:f>
      </x:c>
      <x:c r="R54" s="2" t="str">
        <x:f>IF(COUNTA(A54)=0,"",IF(COUNT(C54:E54,J54:L54)&gt;0,1,0))</x:f>
      </x:c>
      <x:c r="S54" s="2" t="str">
        <x:f>IF(COUNTA(A54)=0,"",IF(COUNTIFS($A$6:$A$69,A54)&gt;1,"Duplicate target",""))</x:f>
      </x:c>
    </x:row>
    <x:row r="55">
      <x:c r="A55" s="6"/>
      <x:c r="B55" s="20"/>
      <x:c r="C55" s="13" t="str">
        <x:f>IF(OR(COUNTA($A55)=0,'Status'!$E$5=""),"",IF(COUNTIFS('Estimates'!$A$5:$A$604,$A55,'Estimates'!$B$5:$B$604,"MPS",'Estimates'!$C$5:$C$604,'Status'!$E$5)=0,"",IF(COUNTIFS('Estimates'!$A$5:$A$604,$A55,'Estimates'!$B$5:$B$604,"MPS",'Estimates'!$C$5:$C$604,'Status'!$E$5)&gt;1,"DUP",SUMIFS('Estimates'!$F$5:$F$604,'Estimates'!$A$5:$A$604,$A55,'Estimates'!$B$5:$B$604,"MPS",'Estimates'!$C$5:$C$604,'Status'!$E$5))))</x:f>
      </x:c>
      <x:c r="D55" s="13" t="str">
        <x:f>IF(OR(COUNTA($A55)=0,'Status'!$F$5=""),"",IF(COUNTIFS('Estimates'!$A$5:$A$604,$A55,'Estimates'!$B$5:$B$604,"MPS",'Estimates'!$C$5:$C$604,'Status'!$F$5)=0,"",IF(COUNTIFS('Estimates'!$A$5:$A$604,$A55,'Estimates'!$B$5:$B$604,"MPS",'Estimates'!$C$5:$C$604,'Status'!$F$5)&gt;1,"DUP",SUMIFS('Estimates'!$F$5:$F$604,'Estimates'!$A$5:$A$604,$A55,'Estimates'!$B$5:$B$604,"MPS",'Estimates'!$C$5:$C$604,'Status'!$F$5))))</x:f>
      </x:c>
      <x:c r="E55" s="13" t="str">
        <x:f>IF(OR(COUNTA($A55)=0,'Status'!$G$5=""),"",IF(COUNTIFS('Estimates'!$A$5:$A$604,$A55,'Estimates'!$B$5:$B$604,"MPS",'Estimates'!$C$5:$C$604,'Status'!$G$5)=0,"",IF(COUNTIFS('Estimates'!$A$5:$A$604,$A55,'Estimates'!$B$5:$B$604,"MPS",'Estimates'!$C$5:$C$604,'Status'!$G$5)&gt;1,"DUP",SUMIFS('Estimates'!$F$5:$F$604,'Estimates'!$A$5:$A$604,$A55,'Estimates'!$B$5:$B$604,"MPS",'Estimates'!$C$5:$C$604,'Status'!$G$5))))</x:f>
      </x:c>
      <x:c r="F55" s="13" t="str">
        <x:f>IF(COUNT(C55:E55)&lt;2,"",_xlfn.STDEV.S(C55:E55))</x:f>
      </x:c>
      <x:c r="G55" s="13" t="str">
        <x:f>IF(AND(ISNUMBER(D55),ISNUMBER(E55)),ABS(E55-D55),"")</x:f>
      </x:c>
      <x:c r="H55" s="14" t="str">
        <x:f>IF(AND(ISNUMBER(D55),ISNUMBER(E55)),IF(D55=0,"n.a.",ABS(E55-D55)/ABS(D55)),"")</x:f>
      </x:c>
      <x:c r="I55" s="2" t="str">
        <x:f>IF(COUNTA(A55)=0,"",IF('Status'!$B$6="","Set tolerance",IF(COUNT(C55:E55)&lt;3,"Need 3 levels",IF(OR(C55=0,D55=0),"Use abs. Δ",IF(AND(ABS(D55-C55)/ABS(C55)&lt;='Status'!$B$6,H55&lt;='Status'!$B$6),"Yes","No")))))</x:f>
      </x:c>
      <x:c r="J55" s="13" t="str">
        <x:f>IF(OR(COUNTA($A55)=0,'Status'!$E$6=""),"",IF(COUNTIFS('Estimates'!$A$5:$A$604,$A55,'Estimates'!$B$5:$B$604,"PPS",'Estimates'!$D$5:$D$604,'Status'!$E$6,'Estimates'!$E$5:$E$604,'Status'!$E$7)=0,"",IF(COUNTIFS('Estimates'!$A$5:$A$604,$A55,'Estimates'!$B$5:$B$604,"PPS",'Estimates'!$D$5:$D$604,'Status'!$E$6,'Estimates'!$E$5:$E$604,'Status'!$E$7)&gt;1,"DUP",SUMIFS('Estimates'!$F$5:$F$604,'Estimates'!$A$5:$A$604,$A55,'Estimates'!$B$5:$B$604,"PPS",'Estimates'!$D$5:$D$604,'Status'!$E$6,'Estimates'!$E$5:$E$604,'Status'!$E$7))))</x:f>
      </x:c>
      <x:c r="K55" s="13" t="str">
        <x:f>IF(OR(COUNTA($A55)=0,'Status'!$F$6=""),"",IF(COUNTIFS('Estimates'!$A$5:$A$604,$A55,'Estimates'!$B$5:$B$604,"PPS",'Estimates'!$D$5:$D$604,'Status'!$F$6,'Estimates'!$E$5:$E$604,'Status'!$E$7)=0,"",IF(COUNTIFS('Estimates'!$A$5:$A$604,$A55,'Estimates'!$B$5:$B$604,"PPS",'Estimates'!$D$5:$D$604,'Status'!$F$6,'Estimates'!$E$5:$E$604,'Status'!$E$7)&gt;1,"DUP",SUMIFS('Estimates'!$F$5:$F$604,'Estimates'!$A$5:$A$604,$A55,'Estimates'!$B$5:$B$604,"PPS",'Estimates'!$D$5:$D$604,'Status'!$F$6,'Estimates'!$E$5:$E$604,'Status'!$E$7))))</x:f>
      </x:c>
      <x:c r="L55" s="13" t="str">
        <x:f>IF(OR(COUNTA($A55)=0,'Status'!$G$6=""),"",IF(COUNTIFS('Estimates'!$A$5:$A$604,$A55,'Estimates'!$B$5:$B$604,"PPS",'Estimates'!$D$5:$D$604,'Status'!$G$6,'Estimates'!$E$5:$E$604,'Status'!$E$7)=0,"",IF(COUNTIFS('Estimates'!$A$5:$A$604,$A55,'Estimates'!$B$5:$B$604,"PPS",'Estimates'!$D$5:$D$604,'Status'!$G$6,'Estimates'!$E$5:$E$604,'Status'!$E$7)&gt;1,"DUP",SUMIFS('Estimates'!$F$5:$F$604,'Estimates'!$A$5:$A$604,$A55,'Estimates'!$B$5:$B$604,"PPS",'Estimates'!$D$5:$D$604,'Status'!$G$6,'Estimates'!$E$5:$E$604,'Status'!$E$7))))</x:f>
      </x:c>
      <x:c r="M55" s="13" t="str">
        <x:f>IF(COUNT(J55:L55)&lt;2,"",_xlfn.STDEV.S(J55:L55))</x:f>
      </x:c>
      <x:c r="N55" s="13" t="str">
        <x:f>IF(AND(ISNUMBER(K55),ISNUMBER(L55)),ABS(L55-K55),"")</x:f>
      </x:c>
      <x:c r="O55" s="14" t="str">
        <x:f>IF(AND(ISNUMBER(K55),ISNUMBER(L55)),IF(K55=0,"n.a.",ABS(L55-K55)/ABS(K55)),"")</x:f>
      </x:c>
      <x:c r="P55" s="2" t="str">
        <x:f>IF(COUNTA(A55)=0,"",IF('Status'!$B$6="","Set tolerance",IF(COUNT(J55:L55)&lt;3,"Need 3 levels",IF(OR(J55=0,K55=0),"Use abs. Δ",IF(AND(ABS(K55-J55)/ABS(J55)&lt;='Status'!$B$6,O55&lt;='Status'!$B$6),"Yes","No")))))</x:f>
      </x:c>
      <x:c r="Q55" s="13" t="str">
        <x:f>IF(AND(ISNUMBER(E55),ISNUMBER(L55)),ABS(E55-L55),"")</x:f>
      </x:c>
      <x:c r="R55" s="2" t="str">
        <x:f>IF(COUNTA(A55)=0,"",IF(COUNT(C55:E55,J55:L55)&gt;0,1,0))</x:f>
      </x:c>
      <x:c r="S55" s="2" t="str">
        <x:f>IF(COUNTA(A55)=0,"",IF(COUNTIFS($A$6:$A$69,A55)&gt;1,"Duplicate target",""))</x:f>
      </x:c>
    </x:row>
    <x:row r="56">
      <x:c r="A56" s="6"/>
      <x:c r="B56" s="20"/>
      <x:c r="C56" s="13" t="str">
        <x:f>IF(OR(COUNTA($A56)=0,'Status'!$E$5=""),"",IF(COUNTIFS('Estimates'!$A$5:$A$604,$A56,'Estimates'!$B$5:$B$604,"MPS",'Estimates'!$C$5:$C$604,'Status'!$E$5)=0,"",IF(COUNTIFS('Estimates'!$A$5:$A$604,$A56,'Estimates'!$B$5:$B$604,"MPS",'Estimates'!$C$5:$C$604,'Status'!$E$5)&gt;1,"DUP",SUMIFS('Estimates'!$F$5:$F$604,'Estimates'!$A$5:$A$604,$A56,'Estimates'!$B$5:$B$604,"MPS",'Estimates'!$C$5:$C$604,'Status'!$E$5))))</x:f>
      </x:c>
      <x:c r="D56" s="13" t="str">
        <x:f>IF(OR(COUNTA($A56)=0,'Status'!$F$5=""),"",IF(COUNTIFS('Estimates'!$A$5:$A$604,$A56,'Estimates'!$B$5:$B$604,"MPS",'Estimates'!$C$5:$C$604,'Status'!$F$5)=0,"",IF(COUNTIFS('Estimates'!$A$5:$A$604,$A56,'Estimates'!$B$5:$B$604,"MPS",'Estimates'!$C$5:$C$604,'Status'!$F$5)&gt;1,"DUP",SUMIFS('Estimates'!$F$5:$F$604,'Estimates'!$A$5:$A$604,$A56,'Estimates'!$B$5:$B$604,"MPS",'Estimates'!$C$5:$C$604,'Status'!$F$5))))</x:f>
      </x:c>
      <x:c r="E56" s="13" t="str">
        <x:f>IF(OR(COUNTA($A56)=0,'Status'!$G$5=""),"",IF(COUNTIFS('Estimates'!$A$5:$A$604,$A56,'Estimates'!$B$5:$B$604,"MPS",'Estimates'!$C$5:$C$604,'Status'!$G$5)=0,"",IF(COUNTIFS('Estimates'!$A$5:$A$604,$A56,'Estimates'!$B$5:$B$604,"MPS",'Estimates'!$C$5:$C$604,'Status'!$G$5)&gt;1,"DUP",SUMIFS('Estimates'!$F$5:$F$604,'Estimates'!$A$5:$A$604,$A56,'Estimates'!$B$5:$B$604,"MPS",'Estimates'!$C$5:$C$604,'Status'!$G$5))))</x:f>
      </x:c>
      <x:c r="F56" s="13" t="str">
        <x:f>IF(COUNT(C56:E56)&lt;2,"",_xlfn.STDEV.S(C56:E56))</x:f>
      </x:c>
      <x:c r="G56" s="13" t="str">
        <x:f>IF(AND(ISNUMBER(D56),ISNUMBER(E56)),ABS(E56-D56),"")</x:f>
      </x:c>
      <x:c r="H56" s="14" t="str">
        <x:f>IF(AND(ISNUMBER(D56),ISNUMBER(E56)),IF(D56=0,"n.a.",ABS(E56-D56)/ABS(D56)),"")</x:f>
      </x:c>
      <x:c r="I56" s="2" t="str">
        <x:f>IF(COUNTA(A56)=0,"",IF('Status'!$B$6="","Set tolerance",IF(COUNT(C56:E56)&lt;3,"Need 3 levels",IF(OR(C56=0,D56=0),"Use abs. Δ",IF(AND(ABS(D56-C56)/ABS(C56)&lt;='Status'!$B$6,H56&lt;='Status'!$B$6),"Yes","No")))))</x:f>
      </x:c>
      <x:c r="J56" s="13" t="str">
        <x:f>IF(OR(COUNTA($A56)=0,'Status'!$E$6=""),"",IF(COUNTIFS('Estimates'!$A$5:$A$604,$A56,'Estimates'!$B$5:$B$604,"PPS",'Estimates'!$D$5:$D$604,'Status'!$E$6,'Estimates'!$E$5:$E$604,'Status'!$E$7)=0,"",IF(COUNTIFS('Estimates'!$A$5:$A$604,$A56,'Estimates'!$B$5:$B$604,"PPS",'Estimates'!$D$5:$D$604,'Status'!$E$6,'Estimates'!$E$5:$E$604,'Status'!$E$7)&gt;1,"DUP",SUMIFS('Estimates'!$F$5:$F$604,'Estimates'!$A$5:$A$604,$A56,'Estimates'!$B$5:$B$604,"PPS",'Estimates'!$D$5:$D$604,'Status'!$E$6,'Estimates'!$E$5:$E$604,'Status'!$E$7))))</x:f>
      </x:c>
      <x:c r="K56" s="13" t="str">
        <x:f>IF(OR(COUNTA($A56)=0,'Status'!$F$6=""),"",IF(COUNTIFS('Estimates'!$A$5:$A$604,$A56,'Estimates'!$B$5:$B$604,"PPS",'Estimates'!$D$5:$D$604,'Status'!$F$6,'Estimates'!$E$5:$E$604,'Status'!$E$7)=0,"",IF(COUNTIFS('Estimates'!$A$5:$A$604,$A56,'Estimates'!$B$5:$B$604,"PPS",'Estimates'!$D$5:$D$604,'Status'!$F$6,'Estimates'!$E$5:$E$604,'Status'!$E$7)&gt;1,"DUP",SUMIFS('Estimates'!$F$5:$F$604,'Estimates'!$A$5:$A$604,$A56,'Estimates'!$B$5:$B$604,"PPS",'Estimates'!$D$5:$D$604,'Status'!$F$6,'Estimates'!$E$5:$E$604,'Status'!$E$7))))</x:f>
      </x:c>
      <x:c r="L56" s="13" t="str">
        <x:f>IF(OR(COUNTA($A56)=0,'Status'!$G$6=""),"",IF(COUNTIFS('Estimates'!$A$5:$A$604,$A56,'Estimates'!$B$5:$B$604,"PPS",'Estimates'!$D$5:$D$604,'Status'!$G$6,'Estimates'!$E$5:$E$604,'Status'!$E$7)=0,"",IF(COUNTIFS('Estimates'!$A$5:$A$604,$A56,'Estimates'!$B$5:$B$604,"PPS",'Estimates'!$D$5:$D$604,'Status'!$G$6,'Estimates'!$E$5:$E$604,'Status'!$E$7)&gt;1,"DUP",SUMIFS('Estimates'!$F$5:$F$604,'Estimates'!$A$5:$A$604,$A56,'Estimates'!$B$5:$B$604,"PPS",'Estimates'!$D$5:$D$604,'Status'!$G$6,'Estimates'!$E$5:$E$604,'Status'!$E$7))))</x:f>
      </x:c>
      <x:c r="M56" s="13" t="str">
        <x:f>IF(COUNT(J56:L56)&lt;2,"",_xlfn.STDEV.S(J56:L56))</x:f>
      </x:c>
      <x:c r="N56" s="13" t="str">
        <x:f>IF(AND(ISNUMBER(K56),ISNUMBER(L56)),ABS(L56-K56),"")</x:f>
      </x:c>
      <x:c r="O56" s="14" t="str">
        <x:f>IF(AND(ISNUMBER(K56),ISNUMBER(L56)),IF(K56=0,"n.a.",ABS(L56-K56)/ABS(K56)),"")</x:f>
      </x:c>
      <x:c r="P56" s="2" t="str">
        <x:f>IF(COUNTA(A56)=0,"",IF('Status'!$B$6="","Set tolerance",IF(COUNT(J56:L56)&lt;3,"Need 3 levels",IF(OR(J56=0,K56=0),"Use abs. Δ",IF(AND(ABS(K56-J56)/ABS(J56)&lt;='Status'!$B$6,O56&lt;='Status'!$B$6),"Yes","No")))))</x:f>
      </x:c>
      <x:c r="Q56" s="13" t="str">
        <x:f>IF(AND(ISNUMBER(E56),ISNUMBER(L56)),ABS(E56-L56),"")</x:f>
      </x:c>
      <x:c r="R56" s="2" t="str">
        <x:f>IF(COUNTA(A56)=0,"",IF(COUNT(C56:E56,J56:L56)&gt;0,1,0))</x:f>
      </x:c>
      <x:c r="S56" s="2" t="str">
        <x:f>IF(COUNTA(A56)=0,"",IF(COUNTIFS($A$6:$A$69,A56)&gt;1,"Duplicate target",""))</x:f>
      </x:c>
    </x:row>
    <x:row r="57">
      <x:c r="A57" s="6"/>
      <x:c r="B57" s="20"/>
      <x:c r="C57" s="13" t="str">
        <x:f>IF(OR(COUNTA($A57)=0,'Status'!$E$5=""),"",IF(COUNTIFS('Estimates'!$A$5:$A$604,$A57,'Estimates'!$B$5:$B$604,"MPS",'Estimates'!$C$5:$C$604,'Status'!$E$5)=0,"",IF(COUNTIFS('Estimates'!$A$5:$A$604,$A57,'Estimates'!$B$5:$B$604,"MPS",'Estimates'!$C$5:$C$604,'Status'!$E$5)&gt;1,"DUP",SUMIFS('Estimates'!$F$5:$F$604,'Estimates'!$A$5:$A$604,$A57,'Estimates'!$B$5:$B$604,"MPS",'Estimates'!$C$5:$C$604,'Status'!$E$5))))</x:f>
      </x:c>
      <x:c r="D57" s="13" t="str">
        <x:f>IF(OR(COUNTA($A57)=0,'Status'!$F$5=""),"",IF(COUNTIFS('Estimates'!$A$5:$A$604,$A57,'Estimates'!$B$5:$B$604,"MPS",'Estimates'!$C$5:$C$604,'Status'!$F$5)=0,"",IF(COUNTIFS('Estimates'!$A$5:$A$604,$A57,'Estimates'!$B$5:$B$604,"MPS",'Estimates'!$C$5:$C$604,'Status'!$F$5)&gt;1,"DUP",SUMIFS('Estimates'!$F$5:$F$604,'Estimates'!$A$5:$A$604,$A57,'Estimates'!$B$5:$B$604,"MPS",'Estimates'!$C$5:$C$604,'Status'!$F$5))))</x:f>
      </x:c>
      <x:c r="E57" s="13" t="str">
        <x:f>IF(OR(COUNTA($A57)=0,'Status'!$G$5=""),"",IF(COUNTIFS('Estimates'!$A$5:$A$604,$A57,'Estimates'!$B$5:$B$604,"MPS",'Estimates'!$C$5:$C$604,'Status'!$G$5)=0,"",IF(COUNTIFS('Estimates'!$A$5:$A$604,$A57,'Estimates'!$B$5:$B$604,"MPS",'Estimates'!$C$5:$C$604,'Status'!$G$5)&gt;1,"DUP",SUMIFS('Estimates'!$F$5:$F$604,'Estimates'!$A$5:$A$604,$A57,'Estimates'!$B$5:$B$604,"MPS",'Estimates'!$C$5:$C$604,'Status'!$G$5))))</x:f>
      </x:c>
      <x:c r="F57" s="13" t="str">
        <x:f>IF(COUNT(C57:E57)&lt;2,"",_xlfn.STDEV.S(C57:E57))</x:f>
      </x:c>
      <x:c r="G57" s="13" t="str">
        <x:f>IF(AND(ISNUMBER(D57),ISNUMBER(E57)),ABS(E57-D57),"")</x:f>
      </x:c>
      <x:c r="H57" s="14" t="str">
        <x:f>IF(AND(ISNUMBER(D57),ISNUMBER(E57)),IF(D57=0,"n.a.",ABS(E57-D57)/ABS(D57)),"")</x:f>
      </x:c>
      <x:c r="I57" s="2" t="str">
        <x:f>IF(COUNTA(A57)=0,"",IF('Status'!$B$6="","Set tolerance",IF(COUNT(C57:E57)&lt;3,"Need 3 levels",IF(OR(C57=0,D57=0),"Use abs. Δ",IF(AND(ABS(D57-C57)/ABS(C57)&lt;='Status'!$B$6,H57&lt;='Status'!$B$6),"Yes","No")))))</x:f>
      </x:c>
      <x:c r="J57" s="13" t="str">
        <x:f>IF(OR(COUNTA($A57)=0,'Status'!$E$6=""),"",IF(COUNTIFS('Estimates'!$A$5:$A$604,$A57,'Estimates'!$B$5:$B$604,"PPS",'Estimates'!$D$5:$D$604,'Status'!$E$6,'Estimates'!$E$5:$E$604,'Status'!$E$7)=0,"",IF(COUNTIFS('Estimates'!$A$5:$A$604,$A57,'Estimates'!$B$5:$B$604,"PPS",'Estimates'!$D$5:$D$604,'Status'!$E$6,'Estimates'!$E$5:$E$604,'Status'!$E$7)&gt;1,"DUP",SUMIFS('Estimates'!$F$5:$F$604,'Estimates'!$A$5:$A$604,$A57,'Estimates'!$B$5:$B$604,"PPS",'Estimates'!$D$5:$D$604,'Status'!$E$6,'Estimates'!$E$5:$E$604,'Status'!$E$7))))</x:f>
      </x:c>
      <x:c r="K57" s="13" t="str">
        <x:f>IF(OR(COUNTA($A57)=0,'Status'!$F$6=""),"",IF(COUNTIFS('Estimates'!$A$5:$A$604,$A57,'Estimates'!$B$5:$B$604,"PPS",'Estimates'!$D$5:$D$604,'Status'!$F$6,'Estimates'!$E$5:$E$604,'Status'!$E$7)=0,"",IF(COUNTIFS('Estimates'!$A$5:$A$604,$A57,'Estimates'!$B$5:$B$604,"PPS",'Estimates'!$D$5:$D$604,'Status'!$F$6,'Estimates'!$E$5:$E$604,'Status'!$E$7)&gt;1,"DUP",SUMIFS('Estimates'!$F$5:$F$604,'Estimates'!$A$5:$A$604,$A57,'Estimates'!$B$5:$B$604,"PPS",'Estimates'!$D$5:$D$604,'Status'!$F$6,'Estimates'!$E$5:$E$604,'Status'!$E$7))))</x:f>
      </x:c>
      <x:c r="L57" s="13" t="str">
        <x:f>IF(OR(COUNTA($A57)=0,'Status'!$G$6=""),"",IF(COUNTIFS('Estimates'!$A$5:$A$604,$A57,'Estimates'!$B$5:$B$604,"PPS",'Estimates'!$D$5:$D$604,'Status'!$G$6,'Estimates'!$E$5:$E$604,'Status'!$E$7)=0,"",IF(COUNTIFS('Estimates'!$A$5:$A$604,$A57,'Estimates'!$B$5:$B$604,"PPS",'Estimates'!$D$5:$D$604,'Status'!$G$6,'Estimates'!$E$5:$E$604,'Status'!$E$7)&gt;1,"DUP",SUMIFS('Estimates'!$F$5:$F$604,'Estimates'!$A$5:$A$604,$A57,'Estimates'!$B$5:$B$604,"PPS",'Estimates'!$D$5:$D$604,'Status'!$G$6,'Estimates'!$E$5:$E$604,'Status'!$E$7))))</x:f>
      </x:c>
      <x:c r="M57" s="13" t="str">
        <x:f>IF(COUNT(J57:L57)&lt;2,"",_xlfn.STDEV.S(J57:L57))</x:f>
      </x:c>
      <x:c r="N57" s="13" t="str">
        <x:f>IF(AND(ISNUMBER(K57),ISNUMBER(L57)),ABS(L57-K57),"")</x:f>
      </x:c>
      <x:c r="O57" s="14" t="str">
        <x:f>IF(AND(ISNUMBER(K57),ISNUMBER(L57)),IF(K57=0,"n.a.",ABS(L57-K57)/ABS(K57)),"")</x:f>
      </x:c>
      <x:c r="P57" s="2" t="str">
        <x:f>IF(COUNTA(A57)=0,"",IF('Status'!$B$6="","Set tolerance",IF(COUNT(J57:L57)&lt;3,"Need 3 levels",IF(OR(J57=0,K57=0),"Use abs. Δ",IF(AND(ABS(K57-J57)/ABS(J57)&lt;='Status'!$B$6,O57&lt;='Status'!$B$6),"Yes","No")))))</x:f>
      </x:c>
      <x:c r="Q57" s="13" t="str">
        <x:f>IF(AND(ISNUMBER(E57),ISNUMBER(L57)),ABS(E57-L57),"")</x:f>
      </x:c>
      <x:c r="R57" s="2" t="str">
        <x:f>IF(COUNTA(A57)=0,"",IF(COUNT(C57:E57,J57:L57)&gt;0,1,0))</x:f>
      </x:c>
      <x:c r="S57" s="2" t="str">
        <x:f>IF(COUNTA(A57)=0,"",IF(COUNTIFS($A$6:$A$69,A57)&gt;1,"Duplicate target",""))</x:f>
      </x:c>
    </x:row>
    <x:row r="58">
      <x:c r="A58" s="6"/>
      <x:c r="B58" s="20"/>
      <x:c r="C58" s="13" t="str">
        <x:f>IF(OR(COUNTA($A58)=0,'Status'!$E$5=""),"",IF(COUNTIFS('Estimates'!$A$5:$A$604,$A58,'Estimates'!$B$5:$B$604,"MPS",'Estimates'!$C$5:$C$604,'Status'!$E$5)=0,"",IF(COUNTIFS('Estimates'!$A$5:$A$604,$A58,'Estimates'!$B$5:$B$604,"MPS",'Estimates'!$C$5:$C$604,'Status'!$E$5)&gt;1,"DUP",SUMIFS('Estimates'!$F$5:$F$604,'Estimates'!$A$5:$A$604,$A58,'Estimates'!$B$5:$B$604,"MPS",'Estimates'!$C$5:$C$604,'Status'!$E$5))))</x:f>
      </x:c>
      <x:c r="D58" s="13" t="str">
        <x:f>IF(OR(COUNTA($A58)=0,'Status'!$F$5=""),"",IF(COUNTIFS('Estimates'!$A$5:$A$604,$A58,'Estimates'!$B$5:$B$604,"MPS",'Estimates'!$C$5:$C$604,'Status'!$F$5)=0,"",IF(COUNTIFS('Estimates'!$A$5:$A$604,$A58,'Estimates'!$B$5:$B$604,"MPS",'Estimates'!$C$5:$C$604,'Status'!$F$5)&gt;1,"DUP",SUMIFS('Estimates'!$F$5:$F$604,'Estimates'!$A$5:$A$604,$A58,'Estimates'!$B$5:$B$604,"MPS",'Estimates'!$C$5:$C$604,'Status'!$F$5))))</x:f>
      </x:c>
      <x:c r="E58" s="13" t="str">
        <x:f>IF(OR(COUNTA($A58)=0,'Status'!$G$5=""),"",IF(COUNTIFS('Estimates'!$A$5:$A$604,$A58,'Estimates'!$B$5:$B$604,"MPS",'Estimates'!$C$5:$C$604,'Status'!$G$5)=0,"",IF(COUNTIFS('Estimates'!$A$5:$A$604,$A58,'Estimates'!$B$5:$B$604,"MPS",'Estimates'!$C$5:$C$604,'Status'!$G$5)&gt;1,"DUP",SUMIFS('Estimates'!$F$5:$F$604,'Estimates'!$A$5:$A$604,$A58,'Estimates'!$B$5:$B$604,"MPS",'Estimates'!$C$5:$C$604,'Status'!$G$5))))</x:f>
      </x:c>
      <x:c r="F58" s="13" t="str">
        <x:f>IF(COUNT(C58:E58)&lt;2,"",_xlfn.STDEV.S(C58:E58))</x:f>
      </x:c>
      <x:c r="G58" s="13" t="str">
        <x:f>IF(AND(ISNUMBER(D58),ISNUMBER(E58)),ABS(E58-D58),"")</x:f>
      </x:c>
      <x:c r="H58" s="14" t="str">
        <x:f>IF(AND(ISNUMBER(D58),ISNUMBER(E58)),IF(D58=0,"n.a.",ABS(E58-D58)/ABS(D58)),"")</x:f>
      </x:c>
      <x:c r="I58" s="2" t="str">
        <x:f>IF(COUNTA(A58)=0,"",IF('Status'!$B$6="","Set tolerance",IF(COUNT(C58:E58)&lt;3,"Need 3 levels",IF(OR(C58=0,D58=0),"Use abs. Δ",IF(AND(ABS(D58-C58)/ABS(C58)&lt;='Status'!$B$6,H58&lt;='Status'!$B$6),"Yes","No")))))</x:f>
      </x:c>
      <x:c r="J58" s="13" t="str">
        <x:f>IF(OR(COUNTA($A58)=0,'Status'!$E$6=""),"",IF(COUNTIFS('Estimates'!$A$5:$A$604,$A58,'Estimates'!$B$5:$B$604,"PPS",'Estimates'!$D$5:$D$604,'Status'!$E$6,'Estimates'!$E$5:$E$604,'Status'!$E$7)=0,"",IF(COUNTIFS('Estimates'!$A$5:$A$604,$A58,'Estimates'!$B$5:$B$604,"PPS",'Estimates'!$D$5:$D$604,'Status'!$E$6,'Estimates'!$E$5:$E$604,'Status'!$E$7)&gt;1,"DUP",SUMIFS('Estimates'!$F$5:$F$604,'Estimates'!$A$5:$A$604,$A58,'Estimates'!$B$5:$B$604,"PPS",'Estimates'!$D$5:$D$604,'Status'!$E$6,'Estimates'!$E$5:$E$604,'Status'!$E$7))))</x:f>
      </x:c>
      <x:c r="K58" s="13" t="str">
        <x:f>IF(OR(COUNTA($A58)=0,'Status'!$F$6=""),"",IF(COUNTIFS('Estimates'!$A$5:$A$604,$A58,'Estimates'!$B$5:$B$604,"PPS",'Estimates'!$D$5:$D$604,'Status'!$F$6,'Estimates'!$E$5:$E$604,'Status'!$E$7)=0,"",IF(COUNTIFS('Estimates'!$A$5:$A$604,$A58,'Estimates'!$B$5:$B$604,"PPS",'Estimates'!$D$5:$D$604,'Status'!$F$6,'Estimates'!$E$5:$E$604,'Status'!$E$7)&gt;1,"DUP",SUMIFS('Estimates'!$F$5:$F$604,'Estimates'!$A$5:$A$604,$A58,'Estimates'!$B$5:$B$604,"PPS",'Estimates'!$D$5:$D$604,'Status'!$F$6,'Estimates'!$E$5:$E$604,'Status'!$E$7))))</x:f>
      </x:c>
      <x:c r="L58" s="13" t="str">
        <x:f>IF(OR(COUNTA($A58)=0,'Status'!$G$6=""),"",IF(COUNTIFS('Estimates'!$A$5:$A$604,$A58,'Estimates'!$B$5:$B$604,"PPS",'Estimates'!$D$5:$D$604,'Status'!$G$6,'Estimates'!$E$5:$E$604,'Status'!$E$7)=0,"",IF(COUNTIFS('Estimates'!$A$5:$A$604,$A58,'Estimates'!$B$5:$B$604,"PPS",'Estimates'!$D$5:$D$604,'Status'!$G$6,'Estimates'!$E$5:$E$604,'Status'!$E$7)&gt;1,"DUP",SUMIFS('Estimates'!$F$5:$F$604,'Estimates'!$A$5:$A$604,$A58,'Estimates'!$B$5:$B$604,"PPS",'Estimates'!$D$5:$D$604,'Status'!$G$6,'Estimates'!$E$5:$E$604,'Status'!$E$7))))</x:f>
      </x:c>
      <x:c r="M58" s="13" t="str">
        <x:f>IF(COUNT(J58:L58)&lt;2,"",_xlfn.STDEV.S(J58:L58))</x:f>
      </x:c>
      <x:c r="N58" s="13" t="str">
        <x:f>IF(AND(ISNUMBER(K58),ISNUMBER(L58)),ABS(L58-K58),"")</x:f>
      </x:c>
      <x:c r="O58" s="14" t="str">
        <x:f>IF(AND(ISNUMBER(K58),ISNUMBER(L58)),IF(K58=0,"n.a.",ABS(L58-K58)/ABS(K58)),"")</x:f>
      </x:c>
      <x:c r="P58" s="2" t="str">
        <x:f>IF(COUNTA(A58)=0,"",IF('Status'!$B$6="","Set tolerance",IF(COUNT(J58:L58)&lt;3,"Need 3 levels",IF(OR(J58=0,K58=0),"Use abs. Δ",IF(AND(ABS(K58-J58)/ABS(J58)&lt;='Status'!$B$6,O58&lt;='Status'!$B$6),"Yes","No")))))</x:f>
      </x:c>
      <x:c r="Q58" s="13" t="str">
        <x:f>IF(AND(ISNUMBER(E58),ISNUMBER(L58)),ABS(E58-L58),"")</x:f>
      </x:c>
      <x:c r="R58" s="2" t="str">
        <x:f>IF(COUNTA(A58)=0,"",IF(COUNT(C58:E58,J58:L58)&gt;0,1,0))</x:f>
      </x:c>
      <x:c r="S58" s="2" t="str">
        <x:f>IF(COUNTA(A58)=0,"",IF(COUNTIFS($A$6:$A$69,A58)&gt;1,"Duplicate target",""))</x:f>
      </x:c>
    </x:row>
    <x:row r="59">
      <x:c r="A59" s="6"/>
      <x:c r="B59" s="20"/>
      <x:c r="C59" s="13" t="str">
        <x:f>IF(OR(COUNTA($A59)=0,'Status'!$E$5=""),"",IF(COUNTIFS('Estimates'!$A$5:$A$604,$A59,'Estimates'!$B$5:$B$604,"MPS",'Estimates'!$C$5:$C$604,'Status'!$E$5)=0,"",IF(COUNTIFS('Estimates'!$A$5:$A$604,$A59,'Estimates'!$B$5:$B$604,"MPS",'Estimates'!$C$5:$C$604,'Status'!$E$5)&gt;1,"DUP",SUMIFS('Estimates'!$F$5:$F$604,'Estimates'!$A$5:$A$604,$A59,'Estimates'!$B$5:$B$604,"MPS",'Estimates'!$C$5:$C$604,'Status'!$E$5))))</x:f>
      </x:c>
      <x:c r="D59" s="13" t="str">
        <x:f>IF(OR(COUNTA($A59)=0,'Status'!$F$5=""),"",IF(COUNTIFS('Estimates'!$A$5:$A$604,$A59,'Estimates'!$B$5:$B$604,"MPS",'Estimates'!$C$5:$C$604,'Status'!$F$5)=0,"",IF(COUNTIFS('Estimates'!$A$5:$A$604,$A59,'Estimates'!$B$5:$B$604,"MPS",'Estimates'!$C$5:$C$604,'Status'!$F$5)&gt;1,"DUP",SUMIFS('Estimates'!$F$5:$F$604,'Estimates'!$A$5:$A$604,$A59,'Estimates'!$B$5:$B$604,"MPS",'Estimates'!$C$5:$C$604,'Status'!$F$5))))</x:f>
      </x:c>
      <x:c r="E59" s="13" t="str">
        <x:f>IF(OR(COUNTA($A59)=0,'Status'!$G$5=""),"",IF(COUNTIFS('Estimates'!$A$5:$A$604,$A59,'Estimates'!$B$5:$B$604,"MPS",'Estimates'!$C$5:$C$604,'Status'!$G$5)=0,"",IF(COUNTIFS('Estimates'!$A$5:$A$604,$A59,'Estimates'!$B$5:$B$604,"MPS",'Estimates'!$C$5:$C$604,'Status'!$G$5)&gt;1,"DUP",SUMIFS('Estimates'!$F$5:$F$604,'Estimates'!$A$5:$A$604,$A59,'Estimates'!$B$5:$B$604,"MPS",'Estimates'!$C$5:$C$604,'Status'!$G$5))))</x:f>
      </x:c>
      <x:c r="F59" s="13" t="str">
        <x:f>IF(COUNT(C59:E59)&lt;2,"",_xlfn.STDEV.S(C59:E59))</x:f>
      </x:c>
      <x:c r="G59" s="13" t="str">
        <x:f>IF(AND(ISNUMBER(D59),ISNUMBER(E59)),ABS(E59-D59),"")</x:f>
      </x:c>
      <x:c r="H59" s="14" t="str">
        <x:f>IF(AND(ISNUMBER(D59),ISNUMBER(E59)),IF(D59=0,"n.a.",ABS(E59-D59)/ABS(D59)),"")</x:f>
      </x:c>
      <x:c r="I59" s="2" t="str">
        <x:f>IF(COUNTA(A59)=0,"",IF('Status'!$B$6="","Set tolerance",IF(COUNT(C59:E59)&lt;3,"Need 3 levels",IF(OR(C59=0,D59=0),"Use abs. Δ",IF(AND(ABS(D59-C59)/ABS(C59)&lt;='Status'!$B$6,H59&lt;='Status'!$B$6),"Yes","No")))))</x:f>
      </x:c>
      <x:c r="J59" s="13" t="str">
        <x:f>IF(OR(COUNTA($A59)=0,'Status'!$E$6=""),"",IF(COUNTIFS('Estimates'!$A$5:$A$604,$A59,'Estimates'!$B$5:$B$604,"PPS",'Estimates'!$D$5:$D$604,'Status'!$E$6,'Estimates'!$E$5:$E$604,'Status'!$E$7)=0,"",IF(COUNTIFS('Estimates'!$A$5:$A$604,$A59,'Estimates'!$B$5:$B$604,"PPS",'Estimates'!$D$5:$D$604,'Status'!$E$6,'Estimates'!$E$5:$E$604,'Status'!$E$7)&gt;1,"DUP",SUMIFS('Estimates'!$F$5:$F$604,'Estimates'!$A$5:$A$604,$A59,'Estimates'!$B$5:$B$604,"PPS",'Estimates'!$D$5:$D$604,'Status'!$E$6,'Estimates'!$E$5:$E$604,'Status'!$E$7))))</x:f>
      </x:c>
      <x:c r="K59" s="13" t="str">
        <x:f>IF(OR(COUNTA($A59)=0,'Status'!$F$6=""),"",IF(COUNTIFS('Estimates'!$A$5:$A$604,$A59,'Estimates'!$B$5:$B$604,"PPS",'Estimates'!$D$5:$D$604,'Status'!$F$6,'Estimates'!$E$5:$E$604,'Status'!$E$7)=0,"",IF(COUNTIFS('Estimates'!$A$5:$A$604,$A59,'Estimates'!$B$5:$B$604,"PPS",'Estimates'!$D$5:$D$604,'Status'!$F$6,'Estimates'!$E$5:$E$604,'Status'!$E$7)&gt;1,"DUP",SUMIFS('Estimates'!$F$5:$F$604,'Estimates'!$A$5:$A$604,$A59,'Estimates'!$B$5:$B$604,"PPS",'Estimates'!$D$5:$D$604,'Status'!$F$6,'Estimates'!$E$5:$E$604,'Status'!$E$7))))</x:f>
      </x:c>
      <x:c r="L59" s="13" t="str">
        <x:f>IF(OR(COUNTA($A59)=0,'Status'!$G$6=""),"",IF(COUNTIFS('Estimates'!$A$5:$A$604,$A59,'Estimates'!$B$5:$B$604,"PPS",'Estimates'!$D$5:$D$604,'Status'!$G$6,'Estimates'!$E$5:$E$604,'Status'!$E$7)=0,"",IF(COUNTIFS('Estimates'!$A$5:$A$604,$A59,'Estimates'!$B$5:$B$604,"PPS",'Estimates'!$D$5:$D$604,'Status'!$G$6,'Estimates'!$E$5:$E$604,'Status'!$E$7)&gt;1,"DUP",SUMIFS('Estimates'!$F$5:$F$604,'Estimates'!$A$5:$A$604,$A59,'Estimates'!$B$5:$B$604,"PPS",'Estimates'!$D$5:$D$604,'Status'!$G$6,'Estimates'!$E$5:$E$604,'Status'!$E$7))))</x:f>
      </x:c>
      <x:c r="M59" s="13" t="str">
        <x:f>IF(COUNT(J59:L59)&lt;2,"",_xlfn.STDEV.S(J59:L59))</x:f>
      </x:c>
      <x:c r="N59" s="13" t="str">
        <x:f>IF(AND(ISNUMBER(K59),ISNUMBER(L59)),ABS(L59-K59),"")</x:f>
      </x:c>
      <x:c r="O59" s="14" t="str">
        <x:f>IF(AND(ISNUMBER(K59),ISNUMBER(L59)),IF(K59=0,"n.a.",ABS(L59-K59)/ABS(K59)),"")</x:f>
      </x:c>
      <x:c r="P59" s="2" t="str">
        <x:f>IF(COUNTA(A59)=0,"",IF('Status'!$B$6="","Set tolerance",IF(COUNT(J59:L59)&lt;3,"Need 3 levels",IF(OR(J59=0,K59=0),"Use abs. Δ",IF(AND(ABS(K59-J59)/ABS(J59)&lt;='Status'!$B$6,O59&lt;='Status'!$B$6),"Yes","No")))))</x:f>
      </x:c>
      <x:c r="Q59" s="13" t="str">
        <x:f>IF(AND(ISNUMBER(E59),ISNUMBER(L59)),ABS(E59-L59),"")</x:f>
      </x:c>
      <x:c r="R59" s="2" t="str">
        <x:f>IF(COUNTA(A59)=0,"",IF(COUNT(C59:E59,J59:L59)&gt;0,1,0))</x:f>
      </x:c>
      <x:c r="S59" s="2" t="str">
        <x:f>IF(COUNTA(A59)=0,"",IF(COUNTIFS($A$6:$A$69,A59)&gt;1,"Duplicate target",""))</x:f>
      </x:c>
    </x:row>
    <x:row r="60">
      <x:c r="A60" s="6"/>
      <x:c r="B60" s="20"/>
      <x:c r="C60" s="13" t="str">
        <x:f>IF(OR(COUNTA($A60)=0,'Status'!$E$5=""),"",IF(COUNTIFS('Estimates'!$A$5:$A$604,$A60,'Estimates'!$B$5:$B$604,"MPS",'Estimates'!$C$5:$C$604,'Status'!$E$5)=0,"",IF(COUNTIFS('Estimates'!$A$5:$A$604,$A60,'Estimates'!$B$5:$B$604,"MPS",'Estimates'!$C$5:$C$604,'Status'!$E$5)&gt;1,"DUP",SUMIFS('Estimates'!$F$5:$F$604,'Estimates'!$A$5:$A$604,$A60,'Estimates'!$B$5:$B$604,"MPS",'Estimates'!$C$5:$C$604,'Status'!$E$5))))</x:f>
      </x:c>
      <x:c r="D60" s="13" t="str">
        <x:f>IF(OR(COUNTA($A60)=0,'Status'!$F$5=""),"",IF(COUNTIFS('Estimates'!$A$5:$A$604,$A60,'Estimates'!$B$5:$B$604,"MPS",'Estimates'!$C$5:$C$604,'Status'!$F$5)=0,"",IF(COUNTIFS('Estimates'!$A$5:$A$604,$A60,'Estimates'!$B$5:$B$604,"MPS",'Estimates'!$C$5:$C$604,'Status'!$F$5)&gt;1,"DUP",SUMIFS('Estimates'!$F$5:$F$604,'Estimates'!$A$5:$A$604,$A60,'Estimates'!$B$5:$B$604,"MPS",'Estimates'!$C$5:$C$604,'Status'!$F$5))))</x:f>
      </x:c>
      <x:c r="E60" s="13" t="str">
        <x:f>IF(OR(COUNTA($A60)=0,'Status'!$G$5=""),"",IF(COUNTIFS('Estimates'!$A$5:$A$604,$A60,'Estimates'!$B$5:$B$604,"MPS",'Estimates'!$C$5:$C$604,'Status'!$G$5)=0,"",IF(COUNTIFS('Estimates'!$A$5:$A$604,$A60,'Estimates'!$B$5:$B$604,"MPS",'Estimates'!$C$5:$C$604,'Status'!$G$5)&gt;1,"DUP",SUMIFS('Estimates'!$F$5:$F$604,'Estimates'!$A$5:$A$604,$A60,'Estimates'!$B$5:$B$604,"MPS",'Estimates'!$C$5:$C$604,'Status'!$G$5))))</x:f>
      </x:c>
      <x:c r="F60" s="13" t="str">
        <x:f>IF(COUNT(C60:E60)&lt;2,"",_xlfn.STDEV.S(C60:E60))</x:f>
      </x:c>
      <x:c r="G60" s="13" t="str">
        <x:f>IF(AND(ISNUMBER(D60),ISNUMBER(E60)),ABS(E60-D60),"")</x:f>
      </x:c>
      <x:c r="H60" s="14" t="str">
        <x:f>IF(AND(ISNUMBER(D60),ISNUMBER(E60)),IF(D60=0,"n.a.",ABS(E60-D60)/ABS(D60)),"")</x:f>
      </x:c>
      <x:c r="I60" s="2" t="str">
        <x:f>IF(COUNTA(A60)=0,"",IF('Status'!$B$6="","Set tolerance",IF(COUNT(C60:E60)&lt;3,"Need 3 levels",IF(OR(C60=0,D60=0),"Use abs. Δ",IF(AND(ABS(D60-C60)/ABS(C60)&lt;='Status'!$B$6,H60&lt;='Status'!$B$6),"Yes","No")))))</x:f>
      </x:c>
      <x:c r="J60" s="13" t="str">
        <x:f>IF(OR(COUNTA($A60)=0,'Status'!$E$6=""),"",IF(COUNTIFS('Estimates'!$A$5:$A$604,$A60,'Estimates'!$B$5:$B$604,"PPS",'Estimates'!$D$5:$D$604,'Status'!$E$6,'Estimates'!$E$5:$E$604,'Status'!$E$7)=0,"",IF(COUNTIFS('Estimates'!$A$5:$A$604,$A60,'Estimates'!$B$5:$B$604,"PPS",'Estimates'!$D$5:$D$604,'Status'!$E$6,'Estimates'!$E$5:$E$604,'Status'!$E$7)&gt;1,"DUP",SUMIFS('Estimates'!$F$5:$F$604,'Estimates'!$A$5:$A$604,$A60,'Estimates'!$B$5:$B$604,"PPS",'Estimates'!$D$5:$D$604,'Status'!$E$6,'Estimates'!$E$5:$E$604,'Status'!$E$7))))</x:f>
      </x:c>
      <x:c r="K60" s="13" t="str">
        <x:f>IF(OR(COUNTA($A60)=0,'Status'!$F$6=""),"",IF(COUNTIFS('Estimates'!$A$5:$A$604,$A60,'Estimates'!$B$5:$B$604,"PPS",'Estimates'!$D$5:$D$604,'Status'!$F$6,'Estimates'!$E$5:$E$604,'Status'!$E$7)=0,"",IF(COUNTIFS('Estimates'!$A$5:$A$604,$A60,'Estimates'!$B$5:$B$604,"PPS",'Estimates'!$D$5:$D$604,'Status'!$F$6,'Estimates'!$E$5:$E$604,'Status'!$E$7)&gt;1,"DUP",SUMIFS('Estimates'!$F$5:$F$604,'Estimates'!$A$5:$A$604,$A60,'Estimates'!$B$5:$B$604,"PPS",'Estimates'!$D$5:$D$604,'Status'!$F$6,'Estimates'!$E$5:$E$604,'Status'!$E$7))))</x:f>
      </x:c>
      <x:c r="L60" s="13" t="str">
        <x:f>IF(OR(COUNTA($A60)=0,'Status'!$G$6=""),"",IF(COUNTIFS('Estimates'!$A$5:$A$604,$A60,'Estimates'!$B$5:$B$604,"PPS",'Estimates'!$D$5:$D$604,'Status'!$G$6,'Estimates'!$E$5:$E$604,'Status'!$E$7)=0,"",IF(COUNTIFS('Estimates'!$A$5:$A$604,$A60,'Estimates'!$B$5:$B$604,"PPS",'Estimates'!$D$5:$D$604,'Status'!$G$6,'Estimates'!$E$5:$E$604,'Status'!$E$7)&gt;1,"DUP",SUMIFS('Estimates'!$F$5:$F$604,'Estimates'!$A$5:$A$604,$A60,'Estimates'!$B$5:$B$604,"PPS",'Estimates'!$D$5:$D$604,'Status'!$G$6,'Estimates'!$E$5:$E$604,'Status'!$E$7))))</x:f>
      </x:c>
      <x:c r="M60" s="13" t="str">
        <x:f>IF(COUNT(J60:L60)&lt;2,"",_xlfn.STDEV.S(J60:L60))</x:f>
      </x:c>
      <x:c r="N60" s="13" t="str">
        <x:f>IF(AND(ISNUMBER(K60),ISNUMBER(L60)),ABS(L60-K60),"")</x:f>
      </x:c>
      <x:c r="O60" s="14" t="str">
        <x:f>IF(AND(ISNUMBER(K60),ISNUMBER(L60)),IF(K60=0,"n.a.",ABS(L60-K60)/ABS(K60)),"")</x:f>
      </x:c>
      <x:c r="P60" s="2" t="str">
        <x:f>IF(COUNTA(A60)=0,"",IF('Status'!$B$6="","Set tolerance",IF(COUNT(J60:L60)&lt;3,"Need 3 levels",IF(OR(J60=0,K60=0),"Use abs. Δ",IF(AND(ABS(K60-J60)/ABS(J60)&lt;='Status'!$B$6,O60&lt;='Status'!$B$6),"Yes","No")))))</x:f>
      </x:c>
      <x:c r="Q60" s="13" t="str">
        <x:f>IF(AND(ISNUMBER(E60),ISNUMBER(L60)),ABS(E60-L60),"")</x:f>
      </x:c>
      <x:c r="R60" s="2" t="str">
        <x:f>IF(COUNTA(A60)=0,"",IF(COUNT(C60:E60,J60:L60)&gt;0,1,0))</x:f>
      </x:c>
      <x:c r="S60" s="2" t="str">
        <x:f>IF(COUNTA(A60)=0,"",IF(COUNTIFS($A$6:$A$69,A60)&gt;1,"Duplicate target",""))</x:f>
      </x:c>
    </x:row>
    <x:row r="61">
      <x:c r="A61" s="6"/>
      <x:c r="B61" s="20"/>
      <x:c r="C61" s="13" t="str">
        <x:f>IF(OR(COUNTA($A61)=0,'Status'!$E$5=""),"",IF(COUNTIFS('Estimates'!$A$5:$A$604,$A61,'Estimates'!$B$5:$B$604,"MPS",'Estimates'!$C$5:$C$604,'Status'!$E$5)=0,"",IF(COUNTIFS('Estimates'!$A$5:$A$604,$A61,'Estimates'!$B$5:$B$604,"MPS",'Estimates'!$C$5:$C$604,'Status'!$E$5)&gt;1,"DUP",SUMIFS('Estimates'!$F$5:$F$604,'Estimates'!$A$5:$A$604,$A61,'Estimates'!$B$5:$B$604,"MPS",'Estimates'!$C$5:$C$604,'Status'!$E$5))))</x:f>
      </x:c>
      <x:c r="D61" s="13" t="str">
        <x:f>IF(OR(COUNTA($A61)=0,'Status'!$F$5=""),"",IF(COUNTIFS('Estimates'!$A$5:$A$604,$A61,'Estimates'!$B$5:$B$604,"MPS",'Estimates'!$C$5:$C$604,'Status'!$F$5)=0,"",IF(COUNTIFS('Estimates'!$A$5:$A$604,$A61,'Estimates'!$B$5:$B$604,"MPS",'Estimates'!$C$5:$C$604,'Status'!$F$5)&gt;1,"DUP",SUMIFS('Estimates'!$F$5:$F$604,'Estimates'!$A$5:$A$604,$A61,'Estimates'!$B$5:$B$604,"MPS",'Estimates'!$C$5:$C$604,'Status'!$F$5))))</x:f>
      </x:c>
      <x:c r="E61" s="13" t="str">
        <x:f>IF(OR(COUNTA($A61)=0,'Status'!$G$5=""),"",IF(COUNTIFS('Estimates'!$A$5:$A$604,$A61,'Estimates'!$B$5:$B$604,"MPS",'Estimates'!$C$5:$C$604,'Status'!$G$5)=0,"",IF(COUNTIFS('Estimates'!$A$5:$A$604,$A61,'Estimates'!$B$5:$B$604,"MPS",'Estimates'!$C$5:$C$604,'Status'!$G$5)&gt;1,"DUP",SUMIFS('Estimates'!$F$5:$F$604,'Estimates'!$A$5:$A$604,$A61,'Estimates'!$B$5:$B$604,"MPS",'Estimates'!$C$5:$C$604,'Status'!$G$5))))</x:f>
      </x:c>
      <x:c r="F61" s="13" t="str">
        <x:f>IF(COUNT(C61:E61)&lt;2,"",_xlfn.STDEV.S(C61:E61))</x:f>
      </x:c>
      <x:c r="G61" s="13" t="str">
        <x:f>IF(AND(ISNUMBER(D61),ISNUMBER(E61)),ABS(E61-D61),"")</x:f>
      </x:c>
      <x:c r="H61" s="14" t="str">
        <x:f>IF(AND(ISNUMBER(D61),ISNUMBER(E61)),IF(D61=0,"n.a.",ABS(E61-D61)/ABS(D61)),"")</x:f>
      </x:c>
      <x:c r="I61" s="2" t="str">
        <x:f>IF(COUNTA(A61)=0,"",IF('Status'!$B$6="","Set tolerance",IF(COUNT(C61:E61)&lt;3,"Need 3 levels",IF(OR(C61=0,D61=0),"Use abs. Δ",IF(AND(ABS(D61-C61)/ABS(C61)&lt;='Status'!$B$6,H61&lt;='Status'!$B$6),"Yes","No")))))</x:f>
      </x:c>
      <x:c r="J61" s="13" t="str">
        <x:f>IF(OR(COUNTA($A61)=0,'Status'!$E$6=""),"",IF(COUNTIFS('Estimates'!$A$5:$A$604,$A61,'Estimates'!$B$5:$B$604,"PPS",'Estimates'!$D$5:$D$604,'Status'!$E$6,'Estimates'!$E$5:$E$604,'Status'!$E$7)=0,"",IF(COUNTIFS('Estimates'!$A$5:$A$604,$A61,'Estimates'!$B$5:$B$604,"PPS",'Estimates'!$D$5:$D$604,'Status'!$E$6,'Estimates'!$E$5:$E$604,'Status'!$E$7)&gt;1,"DUP",SUMIFS('Estimates'!$F$5:$F$604,'Estimates'!$A$5:$A$604,$A61,'Estimates'!$B$5:$B$604,"PPS",'Estimates'!$D$5:$D$604,'Status'!$E$6,'Estimates'!$E$5:$E$604,'Status'!$E$7))))</x:f>
      </x:c>
      <x:c r="K61" s="13" t="str">
        <x:f>IF(OR(COUNTA($A61)=0,'Status'!$F$6=""),"",IF(COUNTIFS('Estimates'!$A$5:$A$604,$A61,'Estimates'!$B$5:$B$604,"PPS",'Estimates'!$D$5:$D$604,'Status'!$F$6,'Estimates'!$E$5:$E$604,'Status'!$E$7)=0,"",IF(COUNTIFS('Estimates'!$A$5:$A$604,$A61,'Estimates'!$B$5:$B$604,"PPS",'Estimates'!$D$5:$D$604,'Status'!$F$6,'Estimates'!$E$5:$E$604,'Status'!$E$7)&gt;1,"DUP",SUMIFS('Estimates'!$F$5:$F$604,'Estimates'!$A$5:$A$604,$A61,'Estimates'!$B$5:$B$604,"PPS",'Estimates'!$D$5:$D$604,'Status'!$F$6,'Estimates'!$E$5:$E$604,'Status'!$E$7))))</x:f>
      </x:c>
      <x:c r="L61" s="13" t="str">
        <x:f>IF(OR(COUNTA($A61)=0,'Status'!$G$6=""),"",IF(COUNTIFS('Estimates'!$A$5:$A$604,$A61,'Estimates'!$B$5:$B$604,"PPS",'Estimates'!$D$5:$D$604,'Status'!$G$6,'Estimates'!$E$5:$E$604,'Status'!$E$7)=0,"",IF(COUNTIFS('Estimates'!$A$5:$A$604,$A61,'Estimates'!$B$5:$B$604,"PPS",'Estimates'!$D$5:$D$604,'Status'!$G$6,'Estimates'!$E$5:$E$604,'Status'!$E$7)&gt;1,"DUP",SUMIFS('Estimates'!$F$5:$F$604,'Estimates'!$A$5:$A$604,$A61,'Estimates'!$B$5:$B$604,"PPS",'Estimates'!$D$5:$D$604,'Status'!$G$6,'Estimates'!$E$5:$E$604,'Status'!$E$7))))</x:f>
      </x:c>
      <x:c r="M61" s="13" t="str">
        <x:f>IF(COUNT(J61:L61)&lt;2,"",_xlfn.STDEV.S(J61:L61))</x:f>
      </x:c>
      <x:c r="N61" s="13" t="str">
        <x:f>IF(AND(ISNUMBER(K61),ISNUMBER(L61)),ABS(L61-K61),"")</x:f>
      </x:c>
      <x:c r="O61" s="14" t="str">
        <x:f>IF(AND(ISNUMBER(K61),ISNUMBER(L61)),IF(K61=0,"n.a.",ABS(L61-K61)/ABS(K61)),"")</x:f>
      </x:c>
      <x:c r="P61" s="2" t="str">
        <x:f>IF(COUNTA(A61)=0,"",IF('Status'!$B$6="","Set tolerance",IF(COUNT(J61:L61)&lt;3,"Need 3 levels",IF(OR(J61=0,K61=0),"Use abs. Δ",IF(AND(ABS(K61-J61)/ABS(J61)&lt;='Status'!$B$6,O61&lt;='Status'!$B$6),"Yes","No")))))</x:f>
      </x:c>
      <x:c r="Q61" s="13" t="str">
        <x:f>IF(AND(ISNUMBER(E61),ISNUMBER(L61)),ABS(E61-L61),"")</x:f>
      </x:c>
      <x:c r="R61" s="2" t="str">
        <x:f>IF(COUNTA(A61)=0,"",IF(COUNT(C61:E61,J61:L61)&gt;0,1,0))</x:f>
      </x:c>
      <x:c r="S61" s="2" t="str">
        <x:f>IF(COUNTA(A61)=0,"",IF(COUNTIFS($A$6:$A$69,A61)&gt;1,"Duplicate target",""))</x:f>
      </x:c>
    </x:row>
    <x:row r="62">
      <x:c r="A62" s="6"/>
      <x:c r="B62" s="20"/>
      <x:c r="C62" s="13" t="str">
        <x:f>IF(OR(COUNTA($A62)=0,'Status'!$E$5=""),"",IF(COUNTIFS('Estimates'!$A$5:$A$604,$A62,'Estimates'!$B$5:$B$604,"MPS",'Estimates'!$C$5:$C$604,'Status'!$E$5)=0,"",IF(COUNTIFS('Estimates'!$A$5:$A$604,$A62,'Estimates'!$B$5:$B$604,"MPS",'Estimates'!$C$5:$C$604,'Status'!$E$5)&gt;1,"DUP",SUMIFS('Estimates'!$F$5:$F$604,'Estimates'!$A$5:$A$604,$A62,'Estimates'!$B$5:$B$604,"MPS",'Estimates'!$C$5:$C$604,'Status'!$E$5))))</x:f>
      </x:c>
      <x:c r="D62" s="13" t="str">
        <x:f>IF(OR(COUNTA($A62)=0,'Status'!$F$5=""),"",IF(COUNTIFS('Estimates'!$A$5:$A$604,$A62,'Estimates'!$B$5:$B$604,"MPS",'Estimates'!$C$5:$C$604,'Status'!$F$5)=0,"",IF(COUNTIFS('Estimates'!$A$5:$A$604,$A62,'Estimates'!$B$5:$B$604,"MPS",'Estimates'!$C$5:$C$604,'Status'!$F$5)&gt;1,"DUP",SUMIFS('Estimates'!$F$5:$F$604,'Estimates'!$A$5:$A$604,$A62,'Estimates'!$B$5:$B$604,"MPS",'Estimates'!$C$5:$C$604,'Status'!$F$5))))</x:f>
      </x:c>
      <x:c r="E62" s="13" t="str">
        <x:f>IF(OR(COUNTA($A62)=0,'Status'!$G$5=""),"",IF(COUNTIFS('Estimates'!$A$5:$A$604,$A62,'Estimates'!$B$5:$B$604,"MPS",'Estimates'!$C$5:$C$604,'Status'!$G$5)=0,"",IF(COUNTIFS('Estimates'!$A$5:$A$604,$A62,'Estimates'!$B$5:$B$604,"MPS",'Estimates'!$C$5:$C$604,'Status'!$G$5)&gt;1,"DUP",SUMIFS('Estimates'!$F$5:$F$604,'Estimates'!$A$5:$A$604,$A62,'Estimates'!$B$5:$B$604,"MPS",'Estimates'!$C$5:$C$604,'Status'!$G$5))))</x:f>
      </x:c>
      <x:c r="F62" s="13" t="str">
        <x:f>IF(COUNT(C62:E62)&lt;2,"",_xlfn.STDEV.S(C62:E62))</x:f>
      </x:c>
      <x:c r="G62" s="13" t="str">
        <x:f>IF(AND(ISNUMBER(D62),ISNUMBER(E62)),ABS(E62-D62),"")</x:f>
      </x:c>
      <x:c r="H62" s="14" t="str">
        <x:f>IF(AND(ISNUMBER(D62),ISNUMBER(E62)),IF(D62=0,"n.a.",ABS(E62-D62)/ABS(D62)),"")</x:f>
      </x:c>
      <x:c r="I62" s="2" t="str">
        <x:f>IF(COUNTA(A62)=0,"",IF('Status'!$B$6="","Set tolerance",IF(COUNT(C62:E62)&lt;3,"Need 3 levels",IF(OR(C62=0,D62=0),"Use abs. Δ",IF(AND(ABS(D62-C62)/ABS(C62)&lt;='Status'!$B$6,H62&lt;='Status'!$B$6),"Yes","No")))))</x:f>
      </x:c>
      <x:c r="J62" s="13" t="str">
        <x:f>IF(OR(COUNTA($A62)=0,'Status'!$E$6=""),"",IF(COUNTIFS('Estimates'!$A$5:$A$604,$A62,'Estimates'!$B$5:$B$604,"PPS",'Estimates'!$D$5:$D$604,'Status'!$E$6,'Estimates'!$E$5:$E$604,'Status'!$E$7)=0,"",IF(COUNTIFS('Estimates'!$A$5:$A$604,$A62,'Estimates'!$B$5:$B$604,"PPS",'Estimates'!$D$5:$D$604,'Status'!$E$6,'Estimates'!$E$5:$E$604,'Status'!$E$7)&gt;1,"DUP",SUMIFS('Estimates'!$F$5:$F$604,'Estimates'!$A$5:$A$604,$A62,'Estimates'!$B$5:$B$604,"PPS",'Estimates'!$D$5:$D$604,'Status'!$E$6,'Estimates'!$E$5:$E$604,'Status'!$E$7))))</x:f>
      </x:c>
      <x:c r="K62" s="13" t="str">
        <x:f>IF(OR(COUNTA($A62)=0,'Status'!$F$6=""),"",IF(COUNTIFS('Estimates'!$A$5:$A$604,$A62,'Estimates'!$B$5:$B$604,"PPS",'Estimates'!$D$5:$D$604,'Status'!$F$6,'Estimates'!$E$5:$E$604,'Status'!$E$7)=0,"",IF(COUNTIFS('Estimates'!$A$5:$A$604,$A62,'Estimates'!$B$5:$B$604,"PPS",'Estimates'!$D$5:$D$604,'Status'!$F$6,'Estimates'!$E$5:$E$604,'Status'!$E$7)&gt;1,"DUP",SUMIFS('Estimates'!$F$5:$F$604,'Estimates'!$A$5:$A$604,$A62,'Estimates'!$B$5:$B$604,"PPS",'Estimates'!$D$5:$D$604,'Status'!$F$6,'Estimates'!$E$5:$E$604,'Status'!$E$7))))</x:f>
      </x:c>
      <x:c r="L62" s="13" t="str">
        <x:f>IF(OR(COUNTA($A62)=0,'Status'!$G$6=""),"",IF(COUNTIFS('Estimates'!$A$5:$A$604,$A62,'Estimates'!$B$5:$B$604,"PPS",'Estimates'!$D$5:$D$604,'Status'!$G$6,'Estimates'!$E$5:$E$604,'Status'!$E$7)=0,"",IF(COUNTIFS('Estimates'!$A$5:$A$604,$A62,'Estimates'!$B$5:$B$604,"PPS",'Estimates'!$D$5:$D$604,'Status'!$G$6,'Estimates'!$E$5:$E$604,'Status'!$E$7)&gt;1,"DUP",SUMIFS('Estimates'!$F$5:$F$604,'Estimates'!$A$5:$A$604,$A62,'Estimates'!$B$5:$B$604,"PPS",'Estimates'!$D$5:$D$604,'Status'!$G$6,'Estimates'!$E$5:$E$604,'Status'!$E$7))))</x:f>
      </x:c>
      <x:c r="M62" s="13" t="str">
        <x:f>IF(COUNT(J62:L62)&lt;2,"",_xlfn.STDEV.S(J62:L62))</x:f>
      </x:c>
      <x:c r="N62" s="13" t="str">
        <x:f>IF(AND(ISNUMBER(K62),ISNUMBER(L62)),ABS(L62-K62),"")</x:f>
      </x:c>
      <x:c r="O62" s="14" t="str">
        <x:f>IF(AND(ISNUMBER(K62),ISNUMBER(L62)),IF(K62=0,"n.a.",ABS(L62-K62)/ABS(K62)),"")</x:f>
      </x:c>
      <x:c r="P62" s="2" t="str">
        <x:f>IF(COUNTA(A62)=0,"",IF('Status'!$B$6="","Set tolerance",IF(COUNT(J62:L62)&lt;3,"Need 3 levels",IF(OR(J62=0,K62=0),"Use abs. Δ",IF(AND(ABS(K62-J62)/ABS(J62)&lt;='Status'!$B$6,O62&lt;='Status'!$B$6),"Yes","No")))))</x:f>
      </x:c>
      <x:c r="Q62" s="13" t="str">
        <x:f>IF(AND(ISNUMBER(E62),ISNUMBER(L62)),ABS(E62-L62),"")</x:f>
      </x:c>
      <x:c r="R62" s="2" t="str">
        <x:f>IF(COUNTA(A62)=0,"",IF(COUNT(C62:E62,J62:L62)&gt;0,1,0))</x:f>
      </x:c>
      <x:c r="S62" s="2" t="str">
        <x:f>IF(COUNTA(A62)=0,"",IF(COUNTIFS($A$6:$A$69,A62)&gt;1,"Duplicate target",""))</x:f>
      </x:c>
    </x:row>
    <x:row r="63">
      <x:c r="A63" s="6"/>
      <x:c r="B63" s="20"/>
      <x:c r="C63" s="13" t="str">
        <x:f>IF(OR(COUNTA($A63)=0,'Status'!$E$5=""),"",IF(COUNTIFS('Estimates'!$A$5:$A$604,$A63,'Estimates'!$B$5:$B$604,"MPS",'Estimates'!$C$5:$C$604,'Status'!$E$5)=0,"",IF(COUNTIFS('Estimates'!$A$5:$A$604,$A63,'Estimates'!$B$5:$B$604,"MPS",'Estimates'!$C$5:$C$604,'Status'!$E$5)&gt;1,"DUP",SUMIFS('Estimates'!$F$5:$F$604,'Estimates'!$A$5:$A$604,$A63,'Estimates'!$B$5:$B$604,"MPS",'Estimates'!$C$5:$C$604,'Status'!$E$5))))</x:f>
      </x:c>
      <x:c r="D63" s="13" t="str">
        <x:f>IF(OR(COUNTA($A63)=0,'Status'!$F$5=""),"",IF(COUNTIFS('Estimates'!$A$5:$A$604,$A63,'Estimates'!$B$5:$B$604,"MPS",'Estimates'!$C$5:$C$604,'Status'!$F$5)=0,"",IF(COUNTIFS('Estimates'!$A$5:$A$604,$A63,'Estimates'!$B$5:$B$604,"MPS",'Estimates'!$C$5:$C$604,'Status'!$F$5)&gt;1,"DUP",SUMIFS('Estimates'!$F$5:$F$604,'Estimates'!$A$5:$A$604,$A63,'Estimates'!$B$5:$B$604,"MPS",'Estimates'!$C$5:$C$604,'Status'!$F$5))))</x:f>
      </x:c>
      <x:c r="E63" s="13" t="str">
        <x:f>IF(OR(COUNTA($A63)=0,'Status'!$G$5=""),"",IF(COUNTIFS('Estimates'!$A$5:$A$604,$A63,'Estimates'!$B$5:$B$604,"MPS",'Estimates'!$C$5:$C$604,'Status'!$G$5)=0,"",IF(COUNTIFS('Estimates'!$A$5:$A$604,$A63,'Estimates'!$B$5:$B$604,"MPS",'Estimates'!$C$5:$C$604,'Status'!$G$5)&gt;1,"DUP",SUMIFS('Estimates'!$F$5:$F$604,'Estimates'!$A$5:$A$604,$A63,'Estimates'!$B$5:$B$604,"MPS",'Estimates'!$C$5:$C$604,'Status'!$G$5))))</x:f>
      </x:c>
      <x:c r="F63" s="13" t="str">
        <x:f>IF(COUNT(C63:E63)&lt;2,"",_xlfn.STDEV.S(C63:E63))</x:f>
      </x:c>
      <x:c r="G63" s="13" t="str">
        <x:f>IF(AND(ISNUMBER(D63),ISNUMBER(E63)),ABS(E63-D63),"")</x:f>
      </x:c>
      <x:c r="H63" s="14" t="str">
        <x:f>IF(AND(ISNUMBER(D63),ISNUMBER(E63)),IF(D63=0,"n.a.",ABS(E63-D63)/ABS(D63)),"")</x:f>
      </x:c>
      <x:c r="I63" s="2" t="str">
        <x:f>IF(COUNTA(A63)=0,"",IF('Status'!$B$6="","Set tolerance",IF(COUNT(C63:E63)&lt;3,"Need 3 levels",IF(OR(C63=0,D63=0),"Use abs. Δ",IF(AND(ABS(D63-C63)/ABS(C63)&lt;='Status'!$B$6,H63&lt;='Status'!$B$6),"Yes","No")))))</x:f>
      </x:c>
      <x:c r="J63" s="13" t="str">
        <x:f>IF(OR(COUNTA($A63)=0,'Status'!$E$6=""),"",IF(COUNTIFS('Estimates'!$A$5:$A$604,$A63,'Estimates'!$B$5:$B$604,"PPS",'Estimates'!$D$5:$D$604,'Status'!$E$6,'Estimates'!$E$5:$E$604,'Status'!$E$7)=0,"",IF(COUNTIFS('Estimates'!$A$5:$A$604,$A63,'Estimates'!$B$5:$B$604,"PPS",'Estimates'!$D$5:$D$604,'Status'!$E$6,'Estimates'!$E$5:$E$604,'Status'!$E$7)&gt;1,"DUP",SUMIFS('Estimates'!$F$5:$F$604,'Estimates'!$A$5:$A$604,$A63,'Estimates'!$B$5:$B$604,"PPS",'Estimates'!$D$5:$D$604,'Status'!$E$6,'Estimates'!$E$5:$E$604,'Status'!$E$7))))</x:f>
      </x:c>
      <x:c r="K63" s="13" t="str">
        <x:f>IF(OR(COUNTA($A63)=0,'Status'!$F$6=""),"",IF(COUNTIFS('Estimates'!$A$5:$A$604,$A63,'Estimates'!$B$5:$B$604,"PPS",'Estimates'!$D$5:$D$604,'Status'!$F$6,'Estimates'!$E$5:$E$604,'Status'!$E$7)=0,"",IF(COUNTIFS('Estimates'!$A$5:$A$604,$A63,'Estimates'!$B$5:$B$604,"PPS",'Estimates'!$D$5:$D$604,'Status'!$F$6,'Estimates'!$E$5:$E$604,'Status'!$E$7)&gt;1,"DUP",SUMIFS('Estimates'!$F$5:$F$604,'Estimates'!$A$5:$A$604,$A63,'Estimates'!$B$5:$B$604,"PPS",'Estimates'!$D$5:$D$604,'Status'!$F$6,'Estimates'!$E$5:$E$604,'Status'!$E$7))))</x:f>
      </x:c>
      <x:c r="L63" s="13" t="str">
        <x:f>IF(OR(COUNTA($A63)=0,'Status'!$G$6=""),"",IF(COUNTIFS('Estimates'!$A$5:$A$604,$A63,'Estimates'!$B$5:$B$604,"PPS",'Estimates'!$D$5:$D$604,'Status'!$G$6,'Estimates'!$E$5:$E$604,'Status'!$E$7)=0,"",IF(COUNTIFS('Estimates'!$A$5:$A$604,$A63,'Estimates'!$B$5:$B$604,"PPS",'Estimates'!$D$5:$D$604,'Status'!$G$6,'Estimates'!$E$5:$E$604,'Status'!$E$7)&gt;1,"DUP",SUMIFS('Estimates'!$F$5:$F$604,'Estimates'!$A$5:$A$604,$A63,'Estimates'!$B$5:$B$604,"PPS",'Estimates'!$D$5:$D$604,'Status'!$G$6,'Estimates'!$E$5:$E$604,'Status'!$E$7))))</x:f>
      </x:c>
      <x:c r="M63" s="13" t="str">
        <x:f>IF(COUNT(J63:L63)&lt;2,"",_xlfn.STDEV.S(J63:L63))</x:f>
      </x:c>
      <x:c r="N63" s="13" t="str">
        <x:f>IF(AND(ISNUMBER(K63),ISNUMBER(L63)),ABS(L63-K63),"")</x:f>
      </x:c>
      <x:c r="O63" s="14" t="str">
        <x:f>IF(AND(ISNUMBER(K63),ISNUMBER(L63)),IF(K63=0,"n.a.",ABS(L63-K63)/ABS(K63)),"")</x:f>
      </x:c>
      <x:c r="P63" s="2" t="str">
        <x:f>IF(COUNTA(A63)=0,"",IF('Status'!$B$6="","Set tolerance",IF(COUNT(J63:L63)&lt;3,"Need 3 levels",IF(OR(J63=0,K63=0),"Use abs. Δ",IF(AND(ABS(K63-J63)/ABS(J63)&lt;='Status'!$B$6,O63&lt;='Status'!$B$6),"Yes","No")))))</x:f>
      </x:c>
      <x:c r="Q63" s="13" t="str">
        <x:f>IF(AND(ISNUMBER(E63),ISNUMBER(L63)),ABS(E63-L63),"")</x:f>
      </x:c>
      <x:c r="R63" s="2" t="str">
        <x:f>IF(COUNTA(A63)=0,"",IF(COUNT(C63:E63,J63:L63)&gt;0,1,0))</x:f>
      </x:c>
      <x:c r="S63" s="2" t="str">
        <x:f>IF(COUNTA(A63)=0,"",IF(COUNTIFS($A$6:$A$69,A63)&gt;1,"Duplicate target",""))</x:f>
      </x:c>
    </x:row>
    <x:row r="64">
      <x:c r="A64" s="6"/>
      <x:c r="B64" s="20"/>
      <x:c r="C64" s="13" t="str">
        <x:f>IF(OR(COUNTA($A64)=0,'Status'!$E$5=""),"",IF(COUNTIFS('Estimates'!$A$5:$A$604,$A64,'Estimates'!$B$5:$B$604,"MPS",'Estimates'!$C$5:$C$604,'Status'!$E$5)=0,"",IF(COUNTIFS('Estimates'!$A$5:$A$604,$A64,'Estimates'!$B$5:$B$604,"MPS",'Estimates'!$C$5:$C$604,'Status'!$E$5)&gt;1,"DUP",SUMIFS('Estimates'!$F$5:$F$604,'Estimates'!$A$5:$A$604,$A64,'Estimates'!$B$5:$B$604,"MPS",'Estimates'!$C$5:$C$604,'Status'!$E$5))))</x:f>
      </x:c>
      <x:c r="D64" s="13" t="str">
        <x:f>IF(OR(COUNTA($A64)=0,'Status'!$F$5=""),"",IF(COUNTIFS('Estimates'!$A$5:$A$604,$A64,'Estimates'!$B$5:$B$604,"MPS",'Estimates'!$C$5:$C$604,'Status'!$F$5)=0,"",IF(COUNTIFS('Estimates'!$A$5:$A$604,$A64,'Estimates'!$B$5:$B$604,"MPS",'Estimates'!$C$5:$C$604,'Status'!$F$5)&gt;1,"DUP",SUMIFS('Estimates'!$F$5:$F$604,'Estimates'!$A$5:$A$604,$A64,'Estimates'!$B$5:$B$604,"MPS",'Estimates'!$C$5:$C$604,'Status'!$F$5))))</x:f>
      </x:c>
      <x:c r="E64" s="13" t="str">
        <x:f>IF(OR(COUNTA($A64)=0,'Status'!$G$5=""),"",IF(COUNTIFS('Estimates'!$A$5:$A$604,$A64,'Estimates'!$B$5:$B$604,"MPS",'Estimates'!$C$5:$C$604,'Status'!$G$5)=0,"",IF(COUNTIFS('Estimates'!$A$5:$A$604,$A64,'Estimates'!$B$5:$B$604,"MPS",'Estimates'!$C$5:$C$604,'Status'!$G$5)&gt;1,"DUP",SUMIFS('Estimates'!$F$5:$F$604,'Estimates'!$A$5:$A$604,$A64,'Estimates'!$B$5:$B$604,"MPS",'Estimates'!$C$5:$C$604,'Status'!$G$5))))</x:f>
      </x:c>
      <x:c r="F64" s="13" t="str">
        <x:f>IF(COUNT(C64:E64)&lt;2,"",_xlfn.STDEV.S(C64:E64))</x:f>
      </x:c>
      <x:c r="G64" s="13" t="str">
        <x:f>IF(AND(ISNUMBER(D64),ISNUMBER(E64)),ABS(E64-D64),"")</x:f>
      </x:c>
      <x:c r="H64" s="14" t="str">
        <x:f>IF(AND(ISNUMBER(D64),ISNUMBER(E64)),IF(D64=0,"n.a.",ABS(E64-D64)/ABS(D64)),"")</x:f>
      </x:c>
      <x:c r="I64" s="2" t="str">
        <x:f>IF(COUNTA(A64)=0,"",IF('Status'!$B$6="","Set tolerance",IF(COUNT(C64:E64)&lt;3,"Need 3 levels",IF(OR(C64=0,D64=0),"Use abs. Δ",IF(AND(ABS(D64-C64)/ABS(C64)&lt;='Status'!$B$6,H64&lt;='Status'!$B$6),"Yes","No")))))</x:f>
      </x:c>
      <x:c r="J64" s="13" t="str">
        <x:f>IF(OR(COUNTA($A64)=0,'Status'!$E$6=""),"",IF(COUNTIFS('Estimates'!$A$5:$A$604,$A64,'Estimates'!$B$5:$B$604,"PPS",'Estimates'!$D$5:$D$604,'Status'!$E$6,'Estimates'!$E$5:$E$604,'Status'!$E$7)=0,"",IF(COUNTIFS('Estimates'!$A$5:$A$604,$A64,'Estimates'!$B$5:$B$604,"PPS",'Estimates'!$D$5:$D$604,'Status'!$E$6,'Estimates'!$E$5:$E$604,'Status'!$E$7)&gt;1,"DUP",SUMIFS('Estimates'!$F$5:$F$604,'Estimates'!$A$5:$A$604,$A64,'Estimates'!$B$5:$B$604,"PPS",'Estimates'!$D$5:$D$604,'Status'!$E$6,'Estimates'!$E$5:$E$604,'Status'!$E$7))))</x:f>
      </x:c>
      <x:c r="K64" s="13" t="str">
        <x:f>IF(OR(COUNTA($A64)=0,'Status'!$F$6=""),"",IF(COUNTIFS('Estimates'!$A$5:$A$604,$A64,'Estimates'!$B$5:$B$604,"PPS",'Estimates'!$D$5:$D$604,'Status'!$F$6,'Estimates'!$E$5:$E$604,'Status'!$E$7)=0,"",IF(COUNTIFS('Estimates'!$A$5:$A$604,$A64,'Estimates'!$B$5:$B$604,"PPS",'Estimates'!$D$5:$D$604,'Status'!$F$6,'Estimates'!$E$5:$E$604,'Status'!$E$7)&gt;1,"DUP",SUMIFS('Estimates'!$F$5:$F$604,'Estimates'!$A$5:$A$604,$A64,'Estimates'!$B$5:$B$604,"PPS",'Estimates'!$D$5:$D$604,'Status'!$F$6,'Estimates'!$E$5:$E$604,'Status'!$E$7))))</x:f>
      </x:c>
      <x:c r="L64" s="13" t="str">
        <x:f>IF(OR(COUNTA($A64)=0,'Status'!$G$6=""),"",IF(COUNTIFS('Estimates'!$A$5:$A$604,$A64,'Estimates'!$B$5:$B$604,"PPS",'Estimates'!$D$5:$D$604,'Status'!$G$6,'Estimates'!$E$5:$E$604,'Status'!$E$7)=0,"",IF(COUNTIFS('Estimates'!$A$5:$A$604,$A64,'Estimates'!$B$5:$B$604,"PPS",'Estimates'!$D$5:$D$604,'Status'!$G$6,'Estimates'!$E$5:$E$604,'Status'!$E$7)&gt;1,"DUP",SUMIFS('Estimates'!$F$5:$F$604,'Estimates'!$A$5:$A$604,$A64,'Estimates'!$B$5:$B$604,"PPS",'Estimates'!$D$5:$D$604,'Status'!$G$6,'Estimates'!$E$5:$E$604,'Status'!$E$7))))</x:f>
      </x:c>
      <x:c r="M64" s="13" t="str">
        <x:f>IF(COUNT(J64:L64)&lt;2,"",_xlfn.STDEV.S(J64:L64))</x:f>
      </x:c>
      <x:c r="N64" s="13" t="str">
        <x:f>IF(AND(ISNUMBER(K64),ISNUMBER(L64)),ABS(L64-K64),"")</x:f>
      </x:c>
      <x:c r="O64" s="14" t="str">
        <x:f>IF(AND(ISNUMBER(K64),ISNUMBER(L64)),IF(K64=0,"n.a.",ABS(L64-K64)/ABS(K64)),"")</x:f>
      </x:c>
      <x:c r="P64" s="2" t="str">
        <x:f>IF(COUNTA(A64)=0,"",IF('Status'!$B$6="","Set tolerance",IF(COUNT(J64:L64)&lt;3,"Need 3 levels",IF(OR(J64=0,K64=0),"Use abs. Δ",IF(AND(ABS(K64-J64)/ABS(J64)&lt;='Status'!$B$6,O64&lt;='Status'!$B$6),"Yes","No")))))</x:f>
      </x:c>
      <x:c r="Q64" s="13" t="str">
        <x:f>IF(AND(ISNUMBER(E64),ISNUMBER(L64)),ABS(E64-L64),"")</x:f>
      </x:c>
      <x:c r="R64" s="2" t="str">
        <x:f>IF(COUNTA(A64)=0,"",IF(COUNT(C64:E64,J64:L64)&gt;0,1,0))</x:f>
      </x:c>
      <x:c r="S64" s="2" t="str">
        <x:f>IF(COUNTA(A64)=0,"",IF(COUNTIFS($A$6:$A$69,A64)&gt;1,"Duplicate target",""))</x:f>
      </x:c>
    </x:row>
    <x:row r="65">
      <x:c r="A65" s="6"/>
      <x:c r="B65" s="20"/>
      <x:c r="C65" s="13" t="str">
        <x:f>IF(OR(COUNTA($A65)=0,'Status'!$E$5=""),"",IF(COUNTIFS('Estimates'!$A$5:$A$604,$A65,'Estimates'!$B$5:$B$604,"MPS",'Estimates'!$C$5:$C$604,'Status'!$E$5)=0,"",IF(COUNTIFS('Estimates'!$A$5:$A$604,$A65,'Estimates'!$B$5:$B$604,"MPS",'Estimates'!$C$5:$C$604,'Status'!$E$5)&gt;1,"DUP",SUMIFS('Estimates'!$F$5:$F$604,'Estimates'!$A$5:$A$604,$A65,'Estimates'!$B$5:$B$604,"MPS",'Estimates'!$C$5:$C$604,'Status'!$E$5))))</x:f>
      </x:c>
      <x:c r="D65" s="13" t="str">
        <x:f>IF(OR(COUNTA($A65)=0,'Status'!$F$5=""),"",IF(COUNTIFS('Estimates'!$A$5:$A$604,$A65,'Estimates'!$B$5:$B$604,"MPS",'Estimates'!$C$5:$C$604,'Status'!$F$5)=0,"",IF(COUNTIFS('Estimates'!$A$5:$A$604,$A65,'Estimates'!$B$5:$B$604,"MPS",'Estimates'!$C$5:$C$604,'Status'!$F$5)&gt;1,"DUP",SUMIFS('Estimates'!$F$5:$F$604,'Estimates'!$A$5:$A$604,$A65,'Estimates'!$B$5:$B$604,"MPS",'Estimates'!$C$5:$C$604,'Status'!$F$5))))</x:f>
      </x:c>
      <x:c r="E65" s="13" t="str">
        <x:f>IF(OR(COUNTA($A65)=0,'Status'!$G$5=""),"",IF(COUNTIFS('Estimates'!$A$5:$A$604,$A65,'Estimates'!$B$5:$B$604,"MPS",'Estimates'!$C$5:$C$604,'Status'!$G$5)=0,"",IF(COUNTIFS('Estimates'!$A$5:$A$604,$A65,'Estimates'!$B$5:$B$604,"MPS",'Estimates'!$C$5:$C$604,'Status'!$G$5)&gt;1,"DUP",SUMIFS('Estimates'!$F$5:$F$604,'Estimates'!$A$5:$A$604,$A65,'Estimates'!$B$5:$B$604,"MPS",'Estimates'!$C$5:$C$604,'Status'!$G$5))))</x:f>
      </x:c>
      <x:c r="F65" s="13" t="str">
        <x:f>IF(COUNT(C65:E65)&lt;2,"",_xlfn.STDEV.S(C65:E65))</x:f>
      </x:c>
      <x:c r="G65" s="13" t="str">
        <x:f>IF(AND(ISNUMBER(D65),ISNUMBER(E65)),ABS(E65-D65),"")</x:f>
      </x:c>
      <x:c r="H65" s="14" t="str">
        <x:f>IF(AND(ISNUMBER(D65),ISNUMBER(E65)),IF(D65=0,"n.a.",ABS(E65-D65)/ABS(D65)),"")</x:f>
      </x:c>
      <x:c r="I65" s="2" t="str">
        <x:f>IF(COUNTA(A65)=0,"",IF('Status'!$B$6="","Set tolerance",IF(COUNT(C65:E65)&lt;3,"Need 3 levels",IF(OR(C65=0,D65=0),"Use abs. Δ",IF(AND(ABS(D65-C65)/ABS(C65)&lt;='Status'!$B$6,H65&lt;='Status'!$B$6),"Yes","No")))))</x:f>
      </x:c>
      <x:c r="J65" s="13" t="str">
        <x:f>IF(OR(COUNTA($A65)=0,'Status'!$E$6=""),"",IF(COUNTIFS('Estimates'!$A$5:$A$604,$A65,'Estimates'!$B$5:$B$604,"PPS",'Estimates'!$D$5:$D$604,'Status'!$E$6,'Estimates'!$E$5:$E$604,'Status'!$E$7)=0,"",IF(COUNTIFS('Estimates'!$A$5:$A$604,$A65,'Estimates'!$B$5:$B$604,"PPS",'Estimates'!$D$5:$D$604,'Status'!$E$6,'Estimates'!$E$5:$E$604,'Status'!$E$7)&gt;1,"DUP",SUMIFS('Estimates'!$F$5:$F$604,'Estimates'!$A$5:$A$604,$A65,'Estimates'!$B$5:$B$604,"PPS",'Estimates'!$D$5:$D$604,'Status'!$E$6,'Estimates'!$E$5:$E$604,'Status'!$E$7))))</x:f>
      </x:c>
      <x:c r="K65" s="13" t="str">
        <x:f>IF(OR(COUNTA($A65)=0,'Status'!$F$6=""),"",IF(COUNTIFS('Estimates'!$A$5:$A$604,$A65,'Estimates'!$B$5:$B$604,"PPS",'Estimates'!$D$5:$D$604,'Status'!$F$6,'Estimates'!$E$5:$E$604,'Status'!$E$7)=0,"",IF(COUNTIFS('Estimates'!$A$5:$A$604,$A65,'Estimates'!$B$5:$B$604,"PPS",'Estimates'!$D$5:$D$604,'Status'!$F$6,'Estimates'!$E$5:$E$604,'Status'!$E$7)&gt;1,"DUP",SUMIFS('Estimates'!$F$5:$F$604,'Estimates'!$A$5:$A$604,$A65,'Estimates'!$B$5:$B$604,"PPS",'Estimates'!$D$5:$D$604,'Status'!$F$6,'Estimates'!$E$5:$E$604,'Status'!$E$7))))</x:f>
      </x:c>
      <x:c r="L65" s="13" t="str">
        <x:f>IF(OR(COUNTA($A65)=0,'Status'!$G$6=""),"",IF(COUNTIFS('Estimates'!$A$5:$A$604,$A65,'Estimates'!$B$5:$B$604,"PPS",'Estimates'!$D$5:$D$604,'Status'!$G$6,'Estimates'!$E$5:$E$604,'Status'!$E$7)=0,"",IF(COUNTIFS('Estimates'!$A$5:$A$604,$A65,'Estimates'!$B$5:$B$604,"PPS",'Estimates'!$D$5:$D$604,'Status'!$G$6,'Estimates'!$E$5:$E$604,'Status'!$E$7)&gt;1,"DUP",SUMIFS('Estimates'!$F$5:$F$604,'Estimates'!$A$5:$A$604,$A65,'Estimates'!$B$5:$B$604,"PPS",'Estimates'!$D$5:$D$604,'Status'!$G$6,'Estimates'!$E$5:$E$604,'Status'!$E$7))))</x:f>
      </x:c>
      <x:c r="M65" s="13" t="str">
        <x:f>IF(COUNT(J65:L65)&lt;2,"",_xlfn.STDEV.S(J65:L65))</x:f>
      </x:c>
      <x:c r="N65" s="13" t="str">
        <x:f>IF(AND(ISNUMBER(K65),ISNUMBER(L65)),ABS(L65-K65),"")</x:f>
      </x:c>
      <x:c r="O65" s="14" t="str">
        <x:f>IF(AND(ISNUMBER(K65),ISNUMBER(L65)),IF(K65=0,"n.a.",ABS(L65-K65)/ABS(K65)),"")</x:f>
      </x:c>
      <x:c r="P65" s="2" t="str">
        <x:f>IF(COUNTA(A65)=0,"",IF('Status'!$B$6="","Set tolerance",IF(COUNT(J65:L65)&lt;3,"Need 3 levels",IF(OR(J65=0,K65=0),"Use abs. Δ",IF(AND(ABS(K65-J65)/ABS(J65)&lt;='Status'!$B$6,O65&lt;='Status'!$B$6),"Yes","No")))))</x:f>
      </x:c>
      <x:c r="Q65" s="13" t="str">
        <x:f>IF(AND(ISNUMBER(E65),ISNUMBER(L65)),ABS(E65-L65),"")</x:f>
      </x:c>
      <x:c r="R65" s="2" t="str">
        <x:f>IF(COUNTA(A65)=0,"",IF(COUNT(C65:E65,J65:L65)&gt;0,1,0))</x:f>
      </x:c>
      <x:c r="S65" s="2" t="str">
        <x:f>IF(COUNTA(A65)=0,"",IF(COUNTIFS($A$6:$A$69,A65)&gt;1,"Duplicate target",""))</x:f>
      </x:c>
    </x:row>
    <x:row r="66">
      <x:c r="A66" s="6"/>
      <x:c r="B66" s="20"/>
      <x:c r="C66" s="13" t="str">
        <x:f>IF(OR(COUNTA($A66)=0,'Status'!$E$5=""),"",IF(COUNTIFS('Estimates'!$A$5:$A$604,$A66,'Estimates'!$B$5:$B$604,"MPS",'Estimates'!$C$5:$C$604,'Status'!$E$5)=0,"",IF(COUNTIFS('Estimates'!$A$5:$A$604,$A66,'Estimates'!$B$5:$B$604,"MPS",'Estimates'!$C$5:$C$604,'Status'!$E$5)&gt;1,"DUP",SUMIFS('Estimates'!$F$5:$F$604,'Estimates'!$A$5:$A$604,$A66,'Estimates'!$B$5:$B$604,"MPS",'Estimates'!$C$5:$C$604,'Status'!$E$5))))</x:f>
      </x:c>
      <x:c r="D66" s="13" t="str">
        <x:f>IF(OR(COUNTA($A66)=0,'Status'!$F$5=""),"",IF(COUNTIFS('Estimates'!$A$5:$A$604,$A66,'Estimates'!$B$5:$B$604,"MPS",'Estimates'!$C$5:$C$604,'Status'!$F$5)=0,"",IF(COUNTIFS('Estimates'!$A$5:$A$604,$A66,'Estimates'!$B$5:$B$604,"MPS",'Estimates'!$C$5:$C$604,'Status'!$F$5)&gt;1,"DUP",SUMIFS('Estimates'!$F$5:$F$604,'Estimates'!$A$5:$A$604,$A66,'Estimates'!$B$5:$B$604,"MPS",'Estimates'!$C$5:$C$604,'Status'!$F$5))))</x:f>
      </x:c>
      <x:c r="E66" s="13" t="str">
        <x:f>IF(OR(COUNTA($A66)=0,'Status'!$G$5=""),"",IF(COUNTIFS('Estimates'!$A$5:$A$604,$A66,'Estimates'!$B$5:$B$604,"MPS",'Estimates'!$C$5:$C$604,'Status'!$G$5)=0,"",IF(COUNTIFS('Estimates'!$A$5:$A$604,$A66,'Estimates'!$B$5:$B$604,"MPS",'Estimates'!$C$5:$C$604,'Status'!$G$5)&gt;1,"DUP",SUMIFS('Estimates'!$F$5:$F$604,'Estimates'!$A$5:$A$604,$A66,'Estimates'!$B$5:$B$604,"MPS",'Estimates'!$C$5:$C$604,'Status'!$G$5))))</x:f>
      </x:c>
      <x:c r="F66" s="13" t="str">
        <x:f>IF(COUNT(C66:E66)&lt;2,"",_xlfn.STDEV.S(C66:E66))</x:f>
      </x:c>
      <x:c r="G66" s="13" t="str">
        <x:f>IF(AND(ISNUMBER(D66),ISNUMBER(E66)),ABS(E66-D66),"")</x:f>
      </x:c>
      <x:c r="H66" s="14" t="str">
        <x:f>IF(AND(ISNUMBER(D66),ISNUMBER(E66)),IF(D66=0,"n.a.",ABS(E66-D66)/ABS(D66)),"")</x:f>
      </x:c>
      <x:c r="I66" s="2" t="str">
        <x:f>IF(COUNTA(A66)=0,"",IF('Status'!$B$6="","Set tolerance",IF(COUNT(C66:E66)&lt;3,"Need 3 levels",IF(OR(C66=0,D66=0),"Use abs. Δ",IF(AND(ABS(D66-C66)/ABS(C66)&lt;='Status'!$B$6,H66&lt;='Status'!$B$6),"Yes","No")))))</x:f>
      </x:c>
      <x:c r="J66" s="13" t="str">
        <x:f>IF(OR(COUNTA($A66)=0,'Status'!$E$6=""),"",IF(COUNTIFS('Estimates'!$A$5:$A$604,$A66,'Estimates'!$B$5:$B$604,"PPS",'Estimates'!$D$5:$D$604,'Status'!$E$6,'Estimates'!$E$5:$E$604,'Status'!$E$7)=0,"",IF(COUNTIFS('Estimates'!$A$5:$A$604,$A66,'Estimates'!$B$5:$B$604,"PPS",'Estimates'!$D$5:$D$604,'Status'!$E$6,'Estimates'!$E$5:$E$604,'Status'!$E$7)&gt;1,"DUP",SUMIFS('Estimates'!$F$5:$F$604,'Estimates'!$A$5:$A$604,$A66,'Estimates'!$B$5:$B$604,"PPS",'Estimates'!$D$5:$D$604,'Status'!$E$6,'Estimates'!$E$5:$E$604,'Status'!$E$7))))</x:f>
      </x:c>
      <x:c r="K66" s="13" t="str">
        <x:f>IF(OR(COUNTA($A66)=0,'Status'!$F$6=""),"",IF(COUNTIFS('Estimates'!$A$5:$A$604,$A66,'Estimates'!$B$5:$B$604,"PPS",'Estimates'!$D$5:$D$604,'Status'!$F$6,'Estimates'!$E$5:$E$604,'Status'!$E$7)=0,"",IF(COUNTIFS('Estimates'!$A$5:$A$604,$A66,'Estimates'!$B$5:$B$604,"PPS",'Estimates'!$D$5:$D$604,'Status'!$F$6,'Estimates'!$E$5:$E$604,'Status'!$E$7)&gt;1,"DUP",SUMIFS('Estimates'!$F$5:$F$604,'Estimates'!$A$5:$A$604,$A66,'Estimates'!$B$5:$B$604,"PPS",'Estimates'!$D$5:$D$604,'Status'!$F$6,'Estimates'!$E$5:$E$604,'Status'!$E$7))))</x:f>
      </x:c>
      <x:c r="L66" s="13" t="str">
        <x:f>IF(OR(COUNTA($A66)=0,'Status'!$G$6=""),"",IF(COUNTIFS('Estimates'!$A$5:$A$604,$A66,'Estimates'!$B$5:$B$604,"PPS",'Estimates'!$D$5:$D$604,'Status'!$G$6,'Estimates'!$E$5:$E$604,'Status'!$E$7)=0,"",IF(COUNTIFS('Estimates'!$A$5:$A$604,$A66,'Estimates'!$B$5:$B$604,"PPS",'Estimates'!$D$5:$D$604,'Status'!$G$6,'Estimates'!$E$5:$E$604,'Status'!$E$7)&gt;1,"DUP",SUMIFS('Estimates'!$F$5:$F$604,'Estimates'!$A$5:$A$604,$A66,'Estimates'!$B$5:$B$604,"PPS",'Estimates'!$D$5:$D$604,'Status'!$G$6,'Estimates'!$E$5:$E$604,'Status'!$E$7))))</x:f>
      </x:c>
      <x:c r="M66" s="13" t="str">
        <x:f>IF(COUNT(J66:L66)&lt;2,"",_xlfn.STDEV.S(J66:L66))</x:f>
      </x:c>
      <x:c r="N66" s="13" t="str">
        <x:f>IF(AND(ISNUMBER(K66),ISNUMBER(L66)),ABS(L66-K66),"")</x:f>
      </x:c>
      <x:c r="O66" s="14" t="str">
        <x:f>IF(AND(ISNUMBER(K66),ISNUMBER(L66)),IF(K66=0,"n.a.",ABS(L66-K66)/ABS(K66)),"")</x:f>
      </x:c>
      <x:c r="P66" s="2" t="str">
        <x:f>IF(COUNTA(A66)=0,"",IF('Status'!$B$6="","Set tolerance",IF(COUNT(J66:L66)&lt;3,"Need 3 levels",IF(OR(J66=0,K66=0),"Use abs. Δ",IF(AND(ABS(K66-J66)/ABS(J66)&lt;='Status'!$B$6,O66&lt;='Status'!$B$6),"Yes","No")))))</x:f>
      </x:c>
      <x:c r="Q66" s="13" t="str">
        <x:f>IF(AND(ISNUMBER(E66),ISNUMBER(L66)),ABS(E66-L66),"")</x:f>
      </x:c>
      <x:c r="R66" s="2" t="str">
        <x:f>IF(COUNTA(A66)=0,"",IF(COUNT(C66:E66,J66:L66)&gt;0,1,0))</x:f>
      </x:c>
      <x:c r="S66" s="2" t="str">
        <x:f>IF(COUNTA(A66)=0,"",IF(COUNTIFS($A$6:$A$69,A66)&gt;1,"Duplicate target",""))</x:f>
      </x:c>
    </x:row>
    <x:row r="67">
      <x:c r="A67" s="6"/>
      <x:c r="B67" s="20"/>
      <x:c r="C67" s="13" t="str">
        <x:f>IF(OR(COUNTA($A67)=0,'Status'!$E$5=""),"",IF(COUNTIFS('Estimates'!$A$5:$A$604,$A67,'Estimates'!$B$5:$B$604,"MPS",'Estimates'!$C$5:$C$604,'Status'!$E$5)=0,"",IF(COUNTIFS('Estimates'!$A$5:$A$604,$A67,'Estimates'!$B$5:$B$604,"MPS",'Estimates'!$C$5:$C$604,'Status'!$E$5)&gt;1,"DUP",SUMIFS('Estimates'!$F$5:$F$604,'Estimates'!$A$5:$A$604,$A67,'Estimates'!$B$5:$B$604,"MPS",'Estimates'!$C$5:$C$604,'Status'!$E$5))))</x:f>
      </x:c>
      <x:c r="D67" s="13" t="str">
        <x:f>IF(OR(COUNTA($A67)=0,'Status'!$F$5=""),"",IF(COUNTIFS('Estimates'!$A$5:$A$604,$A67,'Estimates'!$B$5:$B$604,"MPS",'Estimates'!$C$5:$C$604,'Status'!$F$5)=0,"",IF(COUNTIFS('Estimates'!$A$5:$A$604,$A67,'Estimates'!$B$5:$B$604,"MPS",'Estimates'!$C$5:$C$604,'Status'!$F$5)&gt;1,"DUP",SUMIFS('Estimates'!$F$5:$F$604,'Estimates'!$A$5:$A$604,$A67,'Estimates'!$B$5:$B$604,"MPS",'Estimates'!$C$5:$C$604,'Status'!$F$5))))</x:f>
      </x:c>
      <x:c r="E67" s="13" t="str">
        <x:f>IF(OR(COUNTA($A67)=0,'Status'!$G$5=""),"",IF(COUNTIFS('Estimates'!$A$5:$A$604,$A67,'Estimates'!$B$5:$B$604,"MPS",'Estimates'!$C$5:$C$604,'Status'!$G$5)=0,"",IF(COUNTIFS('Estimates'!$A$5:$A$604,$A67,'Estimates'!$B$5:$B$604,"MPS",'Estimates'!$C$5:$C$604,'Status'!$G$5)&gt;1,"DUP",SUMIFS('Estimates'!$F$5:$F$604,'Estimates'!$A$5:$A$604,$A67,'Estimates'!$B$5:$B$604,"MPS",'Estimates'!$C$5:$C$604,'Status'!$G$5))))</x:f>
      </x:c>
      <x:c r="F67" s="13" t="str">
        <x:f>IF(COUNT(C67:E67)&lt;2,"",_xlfn.STDEV.S(C67:E67))</x:f>
      </x:c>
      <x:c r="G67" s="13" t="str">
        <x:f>IF(AND(ISNUMBER(D67),ISNUMBER(E67)),ABS(E67-D67),"")</x:f>
      </x:c>
      <x:c r="H67" s="14" t="str">
        <x:f>IF(AND(ISNUMBER(D67),ISNUMBER(E67)),IF(D67=0,"n.a.",ABS(E67-D67)/ABS(D67)),"")</x:f>
      </x:c>
      <x:c r="I67" s="2" t="str">
        <x:f>IF(COUNTA(A67)=0,"",IF('Status'!$B$6="","Set tolerance",IF(COUNT(C67:E67)&lt;3,"Need 3 levels",IF(OR(C67=0,D67=0),"Use abs. Δ",IF(AND(ABS(D67-C67)/ABS(C67)&lt;='Status'!$B$6,H67&lt;='Status'!$B$6),"Yes","No")))))</x:f>
      </x:c>
      <x:c r="J67" s="13" t="str">
        <x:f>IF(OR(COUNTA($A67)=0,'Status'!$E$6=""),"",IF(COUNTIFS('Estimates'!$A$5:$A$604,$A67,'Estimates'!$B$5:$B$604,"PPS",'Estimates'!$D$5:$D$604,'Status'!$E$6,'Estimates'!$E$5:$E$604,'Status'!$E$7)=0,"",IF(COUNTIFS('Estimates'!$A$5:$A$604,$A67,'Estimates'!$B$5:$B$604,"PPS",'Estimates'!$D$5:$D$604,'Status'!$E$6,'Estimates'!$E$5:$E$604,'Status'!$E$7)&gt;1,"DUP",SUMIFS('Estimates'!$F$5:$F$604,'Estimates'!$A$5:$A$604,$A67,'Estimates'!$B$5:$B$604,"PPS",'Estimates'!$D$5:$D$604,'Status'!$E$6,'Estimates'!$E$5:$E$604,'Status'!$E$7))))</x:f>
      </x:c>
      <x:c r="K67" s="13" t="str">
        <x:f>IF(OR(COUNTA($A67)=0,'Status'!$F$6=""),"",IF(COUNTIFS('Estimates'!$A$5:$A$604,$A67,'Estimates'!$B$5:$B$604,"PPS",'Estimates'!$D$5:$D$604,'Status'!$F$6,'Estimates'!$E$5:$E$604,'Status'!$E$7)=0,"",IF(COUNTIFS('Estimates'!$A$5:$A$604,$A67,'Estimates'!$B$5:$B$604,"PPS",'Estimates'!$D$5:$D$604,'Status'!$F$6,'Estimates'!$E$5:$E$604,'Status'!$E$7)&gt;1,"DUP",SUMIFS('Estimates'!$F$5:$F$604,'Estimates'!$A$5:$A$604,$A67,'Estimates'!$B$5:$B$604,"PPS",'Estimates'!$D$5:$D$604,'Status'!$F$6,'Estimates'!$E$5:$E$604,'Status'!$E$7))))</x:f>
      </x:c>
      <x:c r="L67" s="13" t="str">
        <x:f>IF(OR(COUNTA($A67)=0,'Status'!$G$6=""),"",IF(COUNTIFS('Estimates'!$A$5:$A$604,$A67,'Estimates'!$B$5:$B$604,"PPS",'Estimates'!$D$5:$D$604,'Status'!$G$6,'Estimates'!$E$5:$E$604,'Status'!$E$7)=0,"",IF(COUNTIFS('Estimates'!$A$5:$A$604,$A67,'Estimates'!$B$5:$B$604,"PPS",'Estimates'!$D$5:$D$604,'Status'!$G$6,'Estimates'!$E$5:$E$604,'Status'!$E$7)&gt;1,"DUP",SUMIFS('Estimates'!$F$5:$F$604,'Estimates'!$A$5:$A$604,$A67,'Estimates'!$B$5:$B$604,"PPS",'Estimates'!$D$5:$D$604,'Status'!$G$6,'Estimates'!$E$5:$E$604,'Status'!$E$7))))</x:f>
      </x:c>
      <x:c r="M67" s="13" t="str">
        <x:f>IF(COUNT(J67:L67)&lt;2,"",_xlfn.STDEV.S(J67:L67))</x:f>
      </x:c>
      <x:c r="N67" s="13" t="str">
        <x:f>IF(AND(ISNUMBER(K67),ISNUMBER(L67)),ABS(L67-K67),"")</x:f>
      </x:c>
      <x:c r="O67" s="14" t="str">
        <x:f>IF(AND(ISNUMBER(K67),ISNUMBER(L67)),IF(K67=0,"n.a.",ABS(L67-K67)/ABS(K67)),"")</x:f>
      </x:c>
      <x:c r="P67" s="2" t="str">
        <x:f>IF(COUNTA(A67)=0,"",IF('Status'!$B$6="","Set tolerance",IF(COUNT(J67:L67)&lt;3,"Need 3 levels",IF(OR(J67=0,K67=0),"Use abs. Δ",IF(AND(ABS(K67-J67)/ABS(J67)&lt;='Status'!$B$6,O67&lt;='Status'!$B$6),"Yes","No")))))</x:f>
      </x:c>
      <x:c r="Q67" s="13" t="str">
        <x:f>IF(AND(ISNUMBER(E67),ISNUMBER(L67)),ABS(E67-L67),"")</x:f>
      </x:c>
      <x:c r="R67" s="2" t="str">
        <x:f>IF(COUNTA(A67)=0,"",IF(COUNT(C67:E67,J67:L67)&gt;0,1,0))</x:f>
      </x:c>
      <x:c r="S67" s="2" t="str">
        <x:f>IF(COUNTA(A67)=0,"",IF(COUNTIFS($A$6:$A$69,A67)&gt;1,"Duplicate target",""))</x:f>
      </x:c>
    </x:row>
    <x:row r="68">
      <x:c r="A68" s="6"/>
      <x:c r="B68" s="20"/>
      <x:c r="C68" s="13" t="str">
        <x:f>IF(OR(COUNTA($A68)=0,'Status'!$E$5=""),"",IF(COUNTIFS('Estimates'!$A$5:$A$604,$A68,'Estimates'!$B$5:$B$604,"MPS",'Estimates'!$C$5:$C$604,'Status'!$E$5)=0,"",IF(COUNTIFS('Estimates'!$A$5:$A$604,$A68,'Estimates'!$B$5:$B$604,"MPS",'Estimates'!$C$5:$C$604,'Status'!$E$5)&gt;1,"DUP",SUMIFS('Estimates'!$F$5:$F$604,'Estimates'!$A$5:$A$604,$A68,'Estimates'!$B$5:$B$604,"MPS",'Estimates'!$C$5:$C$604,'Status'!$E$5))))</x:f>
      </x:c>
      <x:c r="D68" s="13" t="str">
        <x:f>IF(OR(COUNTA($A68)=0,'Status'!$F$5=""),"",IF(COUNTIFS('Estimates'!$A$5:$A$604,$A68,'Estimates'!$B$5:$B$604,"MPS",'Estimates'!$C$5:$C$604,'Status'!$F$5)=0,"",IF(COUNTIFS('Estimates'!$A$5:$A$604,$A68,'Estimates'!$B$5:$B$604,"MPS",'Estimates'!$C$5:$C$604,'Status'!$F$5)&gt;1,"DUP",SUMIFS('Estimates'!$F$5:$F$604,'Estimates'!$A$5:$A$604,$A68,'Estimates'!$B$5:$B$604,"MPS",'Estimates'!$C$5:$C$604,'Status'!$F$5))))</x:f>
      </x:c>
      <x:c r="E68" s="13" t="str">
        <x:f>IF(OR(COUNTA($A68)=0,'Status'!$G$5=""),"",IF(COUNTIFS('Estimates'!$A$5:$A$604,$A68,'Estimates'!$B$5:$B$604,"MPS",'Estimates'!$C$5:$C$604,'Status'!$G$5)=0,"",IF(COUNTIFS('Estimates'!$A$5:$A$604,$A68,'Estimates'!$B$5:$B$604,"MPS",'Estimates'!$C$5:$C$604,'Status'!$G$5)&gt;1,"DUP",SUMIFS('Estimates'!$F$5:$F$604,'Estimates'!$A$5:$A$604,$A68,'Estimates'!$B$5:$B$604,"MPS",'Estimates'!$C$5:$C$604,'Status'!$G$5))))</x:f>
      </x:c>
      <x:c r="F68" s="13" t="str">
        <x:f>IF(COUNT(C68:E68)&lt;2,"",_xlfn.STDEV.S(C68:E68))</x:f>
      </x:c>
      <x:c r="G68" s="13" t="str">
        <x:f>IF(AND(ISNUMBER(D68),ISNUMBER(E68)),ABS(E68-D68),"")</x:f>
      </x:c>
      <x:c r="H68" s="14" t="str">
        <x:f>IF(AND(ISNUMBER(D68),ISNUMBER(E68)),IF(D68=0,"n.a.",ABS(E68-D68)/ABS(D68)),"")</x:f>
      </x:c>
      <x:c r="I68" s="2" t="str">
        <x:f>IF(COUNTA(A68)=0,"",IF('Status'!$B$6="","Set tolerance",IF(COUNT(C68:E68)&lt;3,"Need 3 levels",IF(OR(C68=0,D68=0),"Use abs. Δ",IF(AND(ABS(D68-C68)/ABS(C68)&lt;='Status'!$B$6,H68&lt;='Status'!$B$6),"Yes","No")))))</x:f>
      </x:c>
      <x:c r="J68" s="13" t="str">
        <x:f>IF(OR(COUNTA($A68)=0,'Status'!$E$6=""),"",IF(COUNTIFS('Estimates'!$A$5:$A$604,$A68,'Estimates'!$B$5:$B$604,"PPS",'Estimates'!$D$5:$D$604,'Status'!$E$6,'Estimates'!$E$5:$E$604,'Status'!$E$7)=0,"",IF(COUNTIFS('Estimates'!$A$5:$A$604,$A68,'Estimates'!$B$5:$B$604,"PPS",'Estimates'!$D$5:$D$604,'Status'!$E$6,'Estimates'!$E$5:$E$604,'Status'!$E$7)&gt;1,"DUP",SUMIFS('Estimates'!$F$5:$F$604,'Estimates'!$A$5:$A$604,$A68,'Estimates'!$B$5:$B$604,"PPS",'Estimates'!$D$5:$D$604,'Status'!$E$6,'Estimates'!$E$5:$E$604,'Status'!$E$7))))</x:f>
      </x:c>
      <x:c r="K68" s="13" t="str">
        <x:f>IF(OR(COUNTA($A68)=0,'Status'!$F$6=""),"",IF(COUNTIFS('Estimates'!$A$5:$A$604,$A68,'Estimates'!$B$5:$B$604,"PPS",'Estimates'!$D$5:$D$604,'Status'!$F$6,'Estimates'!$E$5:$E$604,'Status'!$E$7)=0,"",IF(COUNTIFS('Estimates'!$A$5:$A$604,$A68,'Estimates'!$B$5:$B$604,"PPS",'Estimates'!$D$5:$D$604,'Status'!$F$6,'Estimates'!$E$5:$E$604,'Status'!$E$7)&gt;1,"DUP",SUMIFS('Estimates'!$F$5:$F$604,'Estimates'!$A$5:$A$604,$A68,'Estimates'!$B$5:$B$604,"PPS",'Estimates'!$D$5:$D$604,'Status'!$F$6,'Estimates'!$E$5:$E$604,'Status'!$E$7))))</x:f>
      </x:c>
      <x:c r="L68" s="13" t="str">
        <x:f>IF(OR(COUNTA($A68)=0,'Status'!$G$6=""),"",IF(COUNTIFS('Estimates'!$A$5:$A$604,$A68,'Estimates'!$B$5:$B$604,"PPS",'Estimates'!$D$5:$D$604,'Status'!$G$6,'Estimates'!$E$5:$E$604,'Status'!$E$7)=0,"",IF(COUNTIFS('Estimates'!$A$5:$A$604,$A68,'Estimates'!$B$5:$B$604,"PPS",'Estimates'!$D$5:$D$604,'Status'!$G$6,'Estimates'!$E$5:$E$604,'Status'!$E$7)&gt;1,"DUP",SUMIFS('Estimates'!$F$5:$F$604,'Estimates'!$A$5:$A$604,$A68,'Estimates'!$B$5:$B$604,"PPS",'Estimates'!$D$5:$D$604,'Status'!$G$6,'Estimates'!$E$5:$E$604,'Status'!$E$7))))</x:f>
      </x:c>
      <x:c r="M68" s="13" t="str">
        <x:f>IF(COUNT(J68:L68)&lt;2,"",_xlfn.STDEV.S(J68:L68))</x:f>
      </x:c>
      <x:c r="N68" s="13" t="str">
        <x:f>IF(AND(ISNUMBER(K68),ISNUMBER(L68)),ABS(L68-K68),"")</x:f>
      </x:c>
      <x:c r="O68" s="14" t="str">
        <x:f>IF(AND(ISNUMBER(K68),ISNUMBER(L68)),IF(K68=0,"n.a.",ABS(L68-K68)/ABS(K68)),"")</x:f>
      </x:c>
      <x:c r="P68" s="2" t="str">
        <x:f>IF(COUNTA(A68)=0,"",IF('Status'!$B$6="","Set tolerance",IF(COUNT(J68:L68)&lt;3,"Need 3 levels",IF(OR(J68=0,K68=0),"Use abs. Δ",IF(AND(ABS(K68-J68)/ABS(J68)&lt;='Status'!$B$6,O68&lt;='Status'!$B$6),"Yes","No")))))</x:f>
      </x:c>
      <x:c r="Q68" s="13" t="str">
        <x:f>IF(AND(ISNUMBER(E68),ISNUMBER(L68)),ABS(E68-L68),"")</x:f>
      </x:c>
      <x:c r="R68" s="2" t="str">
        <x:f>IF(COUNTA(A68)=0,"",IF(COUNT(C68:E68,J68:L68)&gt;0,1,0))</x:f>
      </x:c>
      <x:c r="S68" s="2" t="str">
        <x:f>IF(COUNTA(A68)=0,"",IF(COUNTIFS($A$6:$A$69,A68)&gt;1,"Duplicate target",""))</x:f>
      </x:c>
    </x:row>
    <x:row r="69">
      <x:c r="A69" s="6"/>
      <x:c r="B69" s="20"/>
      <x:c r="C69" s="13" t="str">
        <x:f>IF(OR(COUNTA($A69)=0,'Status'!$E$5=""),"",IF(COUNTIFS('Estimates'!$A$5:$A$604,$A69,'Estimates'!$B$5:$B$604,"MPS",'Estimates'!$C$5:$C$604,'Status'!$E$5)=0,"",IF(COUNTIFS('Estimates'!$A$5:$A$604,$A69,'Estimates'!$B$5:$B$604,"MPS",'Estimates'!$C$5:$C$604,'Status'!$E$5)&gt;1,"DUP",SUMIFS('Estimates'!$F$5:$F$604,'Estimates'!$A$5:$A$604,$A69,'Estimates'!$B$5:$B$604,"MPS",'Estimates'!$C$5:$C$604,'Status'!$E$5))))</x:f>
      </x:c>
      <x:c r="D69" s="13" t="str">
        <x:f>IF(OR(COUNTA($A69)=0,'Status'!$F$5=""),"",IF(COUNTIFS('Estimates'!$A$5:$A$604,$A69,'Estimates'!$B$5:$B$604,"MPS",'Estimates'!$C$5:$C$604,'Status'!$F$5)=0,"",IF(COUNTIFS('Estimates'!$A$5:$A$604,$A69,'Estimates'!$B$5:$B$604,"MPS",'Estimates'!$C$5:$C$604,'Status'!$F$5)&gt;1,"DUP",SUMIFS('Estimates'!$F$5:$F$604,'Estimates'!$A$5:$A$604,$A69,'Estimates'!$B$5:$B$604,"MPS",'Estimates'!$C$5:$C$604,'Status'!$F$5))))</x:f>
      </x:c>
      <x:c r="E69" s="13" t="str">
        <x:f>IF(OR(COUNTA($A69)=0,'Status'!$G$5=""),"",IF(COUNTIFS('Estimates'!$A$5:$A$604,$A69,'Estimates'!$B$5:$B$604,"MPS",'Estimates'!$C$5:$C$604,'Status'!$G$5)=0,"",IF(COUNTIFS('Estimates'!$A$5:$A$604,$A69,'Estimates'!$B$5:$B$604,"MPS",'Estimates'!$C$5:$C$604,'Status'!$G$5)&gt;1,"DUP",SUMIFS('Estimates'!$F$5:$F$604,'Estimates'!$A$5:$A$604,$A69,'Estimates'!$B$5:$B$604,"MPS",'Estimates'!$C$5:$C$604,'Status'!$G$5))))</x:f>
      </x:c>
      <x:c r="F69" s="13" t="str">
        <x:f>IF(COUNT(C69:E69)&lt;2,"",_xlfn.STDEV.S(C69:E69))</x:f>
      </x:c>
      <x:c r="G69" s="13" t="str">
        <x:f>IF(AND(ISNUMBER(D69),ISNUMBER(E69)),ABS(E69-D69),"")</x:f>
      </x:c>
      <x:c r="H69" s="14" t="str">
        <x:f>IF(AND(ISNUMBER(D69),ISNUMBER(E69)),IF(D69=0,"n.a.",ABS(E69-D69)/ABS(D69)),"")</x:f>
      </x:c>
      <x:c r="I69" s="2" t="str">
        <x:f>IF(COUNTA(A69)=0,"",IF('Status'!$B$6="","Set tolerance",IF(COUNT(C69:E69)&lt;3,"Need 3 levels",IF(OR(C69=0,D69=0),"Use abs. Δ",IF(AND(ABS(D69-C69)/ABS(C69)&lt;='Status'!$B$6,H69&lt;='Status'!$B$6),"Yes","No")))))</x:f>
      </x:c>
      <x:c r="J69" s="13" t="str">
        <x:f>IF(OR(COUNTA($A69)=0,'Status'!$E$6=""),"",IF(COUNTIFS('Estimates'!$A$5:$A$604,$A69,'Estimates'!$B$5:$B$604,"PPS",'Estimates'!$D$5:$D$604,'Status'!$E$6,'Estimates'!$E$5:$E$604,'Status'!$E$7)=0,"",IF(COUNTIFS('Estimates'!$A$5:$A$604,$A69,'Estimates'!$B$5:$B$604,"PPS",'Estimates'!$D$5:$D$604,'Status'!$E$6,'Estimates'!$E$5:$E$604,'Status'!$E$7)&gt;1,"DUP",SUMIFS('Estimates'!$F$5:$F$604,'Estimates'!$A$5:$A$604,$A69,'Estimates'!$B$5:$B$604,"PPS",'Estimates'!$D$5:$D$604,'Status'!$E$6,'Estimates'!$E$5:$E$604,'Status'!$E$7))))</x:f>
      </x:c>
      <x:c r="K69" s="13" t="str">
        <x:f>IF(OR(COUNTA($A69)=0,'Status'!$F$6=""),"",IF(COUNTIFS('Estimates'!$A$5:$A$604,$A69,'Estimates'!$B$5:$B$604,"PPS",'Estimates'!$D$5:$D$604,'Status'!$F$6,'Estimates'!$E$5:$E$604,'Status'!$E$7)=0,"",IF(COUNTIFS('Estimates'!$A$5:$A$604,$A69,'Estimates'!$B$5:$B$604,"PPS",'Estimates'!$D$5:$D$604,'Status'!$F$6,'Estimates'!$E$5:$E$604,'Status'!$E$7)&gt;1,"DUP",SUMIFS('Estimates'!$F$5:$F$604,'Estimates'!$A$5:$A$604,$A69,'Estimates'!$B$5:$B$604,"PPS",'Estimates'!$D$5:$D$604,'Status'!$F$6,'Estimates'!$E$5:$E$604,'Status'!$E$7))))</x:f>
      </x:c>
      <x:c r="L69" s="13" t="str">
        <x:f>IF(OR(COUNTA($A69)=0,'Status'!$G$6=""),"",IF(COUNTIFS('Estimates'!$A$5:$A$604,$A69,'Estimates'!$B$5:$B$604,"PPS",'Estimates'!$D$5:$D$604,'Status'!$G$6,'Estimates'!$E$5:$E$604,'Status'!$E$7)=0,"",IF(COUNTIFS('Estimates'!$A$5:$A$604,$A69,'Estimates'!$B$5:$B$604,"PPS",'Estimates'!$D$5:$D$604,'Status'!$G$6,'Estimates'!$E$5:$E$604,'Status'!$E$7)&gt;1,"DUP",SUMIFS('Estimates'!$F$5:$F$604,'Estimates'!$A$5:$A$604,$A69,'Estimates'!$B$5:$B$604,"PPS",'Estimates'!$D$5:$D$604,'Status'!$G$6,'Estimates'!$E$5:$E$604,'Status'!$E$7))))</x:f>
      </x:c>
      <x:c r="M69" s="13" t="str">
        <x:f>IF(COUNT(J69:L69)&lt;2,"",_xlfn.STDEV.S(J69:L69))</x:f>
      </x:c>
      <x:c r="N69" s="13" t="str">
        <x:f>IF(AND(ISNUMBER(K69),ISNUMBER(L69)),ABS(L69-K69),"")</x:f>
      </x:c>
      <x:c r="O69" s="14" t="str">
        <x:f>IF(AND(ISNUMBER(K69),ISNUMBER(L69)),IF(K69=0,"n.a.",ABS(L69-K69)/ABS(K69)),"")</x:f>
      </x:c>
      <x:c r="P69" s="2" t="str">
        <x:f>IF(COUNTA(A69)=0,"",IF('Status'!$B$6="","Set tolerance",IF(COUNT(J69:L69)&lt;3,"Need 3 levels",IF(OR(J69=0,K69=0),"Use abs. Δ",IF(AND(ABS(K69-J69)/ABS(J69)&lt;='Status'!$B$6,O69&lt;='Status'!$B$6),"Yes","No")))))</x:f>
      </x:c>
      <x:c r="Q69" s="13" t="str">
        <x:f>IF(AND(ISNUMBER(E69),ISNUMBER(L69)),ABS(E69-L69),"")</x:f>
      </x:c>
      <x:c r="R69" s="2" t="str">
        <x:f>IF(COUNTA(A69)=0,"",IF(COUNT(C69:E69,J69:L69)&gt;0,1,0))</x:f>
      </x:c>
      <x:c r="S69" s="2" t="str">
        <x:f>IF(COUNTA(A69)=0,"",IF(COUNTIFS($A$6:$A$69,A69)&gt;1,"Duplicate target",""))</x:f>
      </x:c>
    </x:row>
  </x:sheetData>
  <x:conditionalFormatting sqref="I6:I69">
    <x:cfRule type="containsText" dxfId="0" priority="1" operator="containsText" text="Yes"/>
  </x:conditionalFormatting>
  <x:conditionalFormatting sqref="P6:P69">
    <x:cfRule type="containsText" dxfId="1" priority="2" operator="containsText" text="Yes"/>
  </x:conditionalFormatting>
  <x:conditionalFormatting sqref="C6:E69">
    <x:cfRule type="containsText" dxfId="2" priority="3" operator="containsText" text="DUP"/>
  </x:conditionalFormatting>
  <x:conditionalFormatting sqref="J6:L69">
    <x:cfRule type="containsText" dxfId="3" priority="4" operator="containsText" text="DUP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Succeeded estimates</x:v>
      </x:c>
      <x:c r="B2" s="2"/>
      <x:c r="C2" s="2"/>
      <x:c r="D2" s="2"/>
      <x:c r="E2" s="2"/>
      <x:c r="F2" s="2"/>
      <x:c r="G2" s="2"/>
      <x:c r="H2" s="2"/>
    </x:row>
    <x:row r="3">
      <x:c r="A3" s="21" t="str">
        <x:v>One row per succeeded qubit estimate. Keep earlier rows when a setting is rerun.</x:v>
      </x:c>
      <x:c r="B3" s="21"/>
      <x:c r="C3" s="21"/>
      <x:c r="D3" s="21"/>
      <x:c r="E3" s="21"/>
      <x:c r="F3" s="21"/>
      <x:c r="G3" s="21"/>
      <x:c r="H3" s="21"/>
    </x:row>
    <x:row r="4" ht="28" customHeight="1">
      <x:c r="A4" s="18" t="str">
        <x:v>Qubit</x:v>
      </x:c>
      <x:c r="B4" s="18" t="str">
        <x:v>Method</x:v>
      </x:c>
      <x:c r="C4" s="18" t="str">
        <x:v>MPS χ</x:v>
      </x:c>
      <x:c r="D4" s="18" t="str">
        <x:v>PPS ε</x:v>
      </x:c>
      <x:c r="E4" s="18" t="str">
        <x:v>PPS transpile</x:v>
      </x:c>
      <x:c r="F4" s="18" t="str">
        <x:v>Estimate</x:v>
      </x:c>
      <x:c r="G4" s="18" t="str">
        <x:v>Job ID</x:v>
      </x:c>
      <x:c r="H4" s="18" t="str">
        <x:v>Recorded UTC</x:v>
      </x:c>
    </x:row>
    <x:row r="5">
      <x:c r="A5" s="6"/>
      <x:c r="B5" s="6"/>
      <x:c r="C5" s="6"/>
      <x:c r="D5" s="12"/>
      <x:c r="E5" s="6"/>
      <x:c r="F5" s="23"/>
      <x:c r="G5" s="6"/>
      <x:c r="H5" s="25"/>
    </x:row>
    <x:row r="6">
      <x:c r="A6" s="6"/>
      <x:c r="B6" s="6"/>
      <x:c r="C6" s="6"/>
      <x:c r="D6" s="12"/>
      <x:c r="E6" s="6"/>
      <x:c r="F6" s="23"/>
      <x:c r="G6" s="6"/>
      <x:c r="H6" s="25"/>
    </x:row>
    <x:row r="7">
      <x:c r="A7" s="6"/>
      <x:c r="B7" s="6"/>
      <x:c r="C7" s="6"/>
      <x:c r="D7" s="12"/>
      <x:c r="E7" s="6"/>
      <x:c r="F7" s="23"/>
      <x:c r="G7" s="6"/>
      <x:c r="H7" s="25"/>
    </x:row>
    <x:row r="8">
      <x:c r="A8" s="6"/>
      <x:c r="B8" s="6"/>
      <x:c r="C8" s="6"/>
      <x:c r="D8" s="12"/>
      <x:c r="E8" s="6"/>
      <x:c r="F8" s="23"/>
      <x:c r="G8" s="6"/>
      <x:c r="H8" s="25"/>
    </x:row>
    <x:row r="9">
      <x:c r="A9" s="6"/>
      <x:c r="B9" s="6"/>
      <x:c r="C9" s="6"/>
      <x:c r="D9" s="12"/>
      <x:c r="E9" s="6"/>
      <x:c r="F9" s="23"/>
      <x:c r="G9" s="6"/>
      <x:c r="H9" s="25"/>
    </x:row>
    <x:row r="10">
      <x:c r="A10" s="6"/>
      <x:c r="B10" s="6"/>
      <x:c r="C10" s="6"/>
      <x:c r="D10" s="12"/>
      <x:c r="E10" s="6"/>
      <x:c r="F10" s="23"/>
      <x:c r="G10" s="6"/>
      <x:c r="H10" s="25"/>
    </x:row>
    <x:row r="11">
      <x:c r="A11" s="6"/>
      <x:c r="B11" s="6"/>
      <x:c r="C11" s="6"/>
      <x:c r="D11" s="12"/>
      <x:c r="E11" s="6"/>
      <x:c r="F11" s="23"/>
      <x:c r="G11" s="6"/>
      <x:c r="H11" s="25"/>
    </x:row>
    <x:row r="12">
      <x:c r="A12" s="6"/>
      <x:c r="B12" s="6"/>
      <x:c r="C12" s="6"/>
      <x:c r="D12" s="12"/>
      <x:c r="E12" s="6"/>
      <x:c r="F12" s="23"/>
      <x:c r="G12" s="6"/>
      <x:c r="H12" s="25"/>
    </x:row>
    <x:row r="13">
      <x:c r="A13" s="6"/>
      <x:c r="B13" s="6"/>
      <x:c r="C13" s="6"/>
      <x:c r="D13" s="12"/>
      <x:c r="E13" s="6"/>
      <x:c r="F13" s="23"/>
      <x:c r="G13" s="6"/>
      <x:c r="H13" s="25"/>
    </x:row>
    <x:row r="14">
      <x:c r="A14" s="6"/>
      <x:c r="B14" s="6"/>
      <x:c r="C14" s="6"/>
      <x:c r="D14" s="12"/>
      <x:c r="E14" s="6"/>
      <x:c r="F14" s="23"/>
      <x:c r="G14" s="6"/>
      <x:c r="H14" s="25"/>
    </x:row>
    <x:row r="15">
      <x:c r="A15" s="6"/>
      <x:c r="B15" s="6"/>
      <x:c r="C15" s="6"/>
      <x:c r="D15" s="12"/>
      <x:c r="E15" s="6"/>
      <x:c r="F15" s="23"/>
      <x:c r="G15" s="6"/>
      <x:c r="H15" s="25"/>
    </x:row>
    <x:row r="16">
      <x:c r="A16" s="6"/>
      <x:c r="B16" s="6"/>
      <x:c r="C16" s="6"/>
      <x:c r="D16" s="12"/>
      <x:c r="E16" s="6"/>
      <x:c r="F16" s="23"/>
      <x:c r="G16" s="6"/>
      <x:c r="H16" s="25"/>
    </x:row>
    <x:row r="17">
      <x:c r="A17" s="6"/>
      <x:c r="B17" s="6"/>
      <x:c r="C17" s="6"/>
      <x:c r="D17" s="12"/>
      <x:c r="E17" s="6"/>
      <x:c r="F17" s="23"/>
      <x:c r="G17" s="6"/>
      <x:c r="H17" s="25"/>
    </x:row>
    <x:row r="18">
      <x:c r="A18" s="6"/>
      <x:c r="B18" s="6"/>
      <x:c r="C18" s="6"/>
      <x:c r="D18" s="12"/>
      <x:c r="E18" s="6"/>
      <x:c r="F18" s="23"/>
      <x:c r="G18" s="6"/>
      <x:c r="H18" s="25"/>
    </x:row>
    <x:row r="19">
      <x:c r="A19" s="6"/>
      <x:c r="B19" s="6"/>
      <x:c r="C19" s="6"/>
      <x:c r="D19" s="12"/>
      <x:c r="E19" s="6"/>
      <x:c r="F19" s="23"/>
      <x:c r="G19" s="6"/>
      <x:c r="H19" s="25"/>
    </x:row>
    <x:row r="20">
      <x:c r="A20" s="6"/>
      <x:c r="B20" s="6"/>
      <x:c r="C20" s="6"/>
      <x:c r="D20" s="12"/>
      <x:c r="E20" s="6"/>
      <x:c r="F20" s="23"/>
      <x:c r="G20" s="6"/>
      <x:c r="H20" s="25"/>
    </x:row>
    <x:row r="21">
      <x:c r="D21" s="22"/>
      <x:c r="F21" s="24"/>
      <x:c r="H21" s="26"/>
    </x:row>
    <x:row r="22">
      <x:c r="D22" s="22"/>
      <x:c r="F22" s="24"/>
      <x:c r="H22" s="26"/>
    </x:row>
    <x:row r="23">
      <x:c r="D23" s="22"/>
      <x:c r="F23" s="24"/>
      <x:c r="H23" s="26"/>
    </x:row>
    <x:row r="24">
      <x:c r="D24" s="22"/>
      <x:c r="F24" s="24"/>
      <x:c r="H24" s="26"/>
    </x:row>
    <x:row r="25">
      <x:c r="D25" s="22"/>
      <x:c r="F25" s="24"/>
      <x:c r="H25" s="26"/>
    </x:row>
    <x:row r="26">
      <x:c r="D26" s="22"/>
      <x:c r="F26" s="24"/>
      <x:c r="H26" s="26"/>
    </x:row>
    <x:row r="27">
      <x:c r="D27" s="22"/>
      <x:c r="F27" s="24"/>
      <x:c r="H27" s="26"/>
    </x:row>
    <x:row r="28">
      <x:c r="D28" s="22"/>
      <x:c r="F28" s="24"/>
      <x:c r="H28" s="26"/>
    </x:row>
    <x:row r="29">
      <x:c r="D29" s="22"/>
      <x:c r="F29" s="24"/>
      <x:c r="H29" s="26"/>
    </x:row>
    <x:row r="30">
      <x:c r="D30" s="22"/>
      <x:c r="F30" s="24"/>
      <x:c r="H30" s="26"/>
    </x:row>
    <x:row r="31">
      <x:c r="D31" s="22"/>
      <x:c r="F31" s="24"/>
      <x:c r="H31" s="26"/>
    </x:row>
    <x:row r="32">
      <x:c r="D32" s="22"/>
      <x:c r="F32" s="24"/>
      <x:c r="H32" s="26"/>
    </x:row>
    <x:row r="33">
      <x:c r="D33" s="22"/>
      <x:c r="F33" s="24"/>
      <x:c r="H33" s="26"/>
    </x:row>
    <x:row r="34">
      <x:c r="D34" s="22"/>
      <x:c r="F34" s="24"/>
      <x:c r="H34" s="26"/>
    </x:row>
    <x:row r="35">
      <x:c r="D35" s="22"/>
      <x:c r="F35" s="24"/>
      <x:c r="H35" s="26"/>
    </x:row>
    <x:row r="36">
      <x:c r="D36" s="22"/>
      <x:c r="F36" s="24"/>
      <x:c r="H36" s="26"/>
    </x:row>
    <x:row r="37">
      <x:c r="D37" s="22"/>
      <x:c r="F37" s="24"/>
      <x:c r="H37" s="26"/>
    </x:row>
    <x:row r="38">
      <x:c r="D38" s="22"/>
      <x:c r="F38" s="24"/>
      <x:c r="H38" s="26"/>
    </x:row>
    <x:row r="39">
      <x:c r="D39" s="22"/>
      <x:c r="F39" s="24"/>
      <x:c r="H39" s="26"/>
    </x:row>
    <x:row r="40">
      <x:c r="D40" s="22"/>
      <x:c r="F40" s="24"/>
      <x:c r="H40" s="26"/>
    </x:row>
    <x:row r="41">
      <x:c r="D41" s="22"/>
      <x:c r="F41" s="24"/>
      <x:c r="H41" s="26"/>
    </x:row>
    <x:row r="42">
      <x:c r="D42" s="22"/>
      <x:c r="F42" s="24"/>
      <x:c r="H42" s="26"/>
    </x:row>
    <x:row r="43">
      <x:c r="D43" s="22"/>
      <x:c r="F43" s="24"/>
      <x:c r="H43" s="26"/>
    </x:row>
    <x:row r="44">
      <x:c r="D44" s="22"/>
      <x:c r="F44" s="24"/>
      <x:c r="H44" s="26"/>
    </x:row>
    <x:row r="45">
      <x:c r="D45" s="22"/>
      <x:c r="F45" s="24"/>
      <x:c r="H45" s="26"/>
    </x:row>
    <x:row r="46">
      <x:c r="D46" s="22"/>
      <x:c r="F46" s="24"/>
      <x:c r="H46" s="26"/>
    </x:row>
    <x:row r="47">
      <x:c r="D47" s="22"/>
      <x:c r="F47" s="24"/>
      <x:c r="H47" s="26"/>
    </x:row>
    <x:row r="48">
      <x:c r="D48" s="22"/>
      <x:c r="F48" s="24"/>
      <x:c r="H48" s="26"/>
    </x:row>
    <x:row r="49">
      <x:c r="D49" s="22"/>
      <x:c r="F49" s="24"/>
      <x:c r="H49" s="26"/>
    </x:row>
    <x:row r="50">
      <x:c r="D50" s="22"/>
      <x:c r="F50" s="24"/>
      <x:c r="H50" s="26"/>
    </x:row>
    <x:row r="51">
      <x:c r="D51" s="22"/>
      <x:c r="F51" s="24"/>
      <x:c r="H51" s="26"/>
    </x:row>
    <x:row r="52">
      <x:c r="D52" s="22"/>
      <x:c r="F52" s="24"/>
      <x:c r="H52" s="26"/>
    </x:row>
    <x:row r="53">
      <x:c r="D53" s="22"/>
      <x:c r="F53" s="24"/>
      <x:c r="H53" s="26"/>
    </x:row>
    <x:row r="54">
      <x:c r="D54" s="22"/>
      <x:c r="F54" s="24"/>
      <x:c r="H54" s="26"/>
    </x:row>
    <x:row r="55">
      <x:c r="D55" s="22"/>
      <x:c r="F55" s="24"/>
      <x:c r="H55" s="26"/>
    </x:row>
    <x:row r="56">
      <x:c r="D56" s="22"/>
      <x:c r="F56" s="24"/>
      <x:c r="H56" s="26"/>
    </x:row>
    <x:row r="57">
      <x:c r="D57" s="22"/>
      <x:c r="F57" s="24"/>
      <x:c r="H57" s="26"/>
    </x:row>
    <x:row r="58">
      <x:c r="D58" s="22"/>
      <x:c r="F58" s="24"/>
      <x:c r="H58" s="26"/>
    </x:row>
    <x:row r="59">
      <x:c r="D59" s="22"/>
      <x:c r="F59" s="24"/>
      <x:c r="H59" s="26"/>
    </x:row>
    <x:row r="60">
      <x:c r="D60" s="22"/>
      <x:c r="F60" s="24"/>
      <x:c r="H60" s="26"/>
    </x:row>
    <x:row r="61">
      <x:c r="D61" s="22"/>
      <x:c r="F61" s="24"/>
      <x:c r="H61" s="26"/>
    </x:row>
    <x:row r="62">
      <x:c r="D62" s="22"/>
      <x:c r="F62" s="24"/>
      <x:c r="H62" s="26"/>
    </x:row>
    <x:row r="63">
      <x:c r="D63" s="22"/>
      <x:c r="F63" s="24"/>
      <x:c r="H63" s="26"/>
    </x:row>
    <x:row r="64">
      <x:c r="D64" s="22"/>
      <x:c r="F64" s="24"/>
      <x:c r="H64" s="26"/>
    </x:row>
    <x:row r="65">
      <x:c r="D65" s="22"/>
      <x:c r="F65" s="24"/>
      <x:c r="H65" s="26"/>
    </x:row>
    <x:row r="66">
      <x:c r="D66" s="22"/>
      <x:c r="F66" s="24"/>
      <x:c r="H66" s="26"/>
    </x:row>
    <x:row r="67">
      <x:c r="D67" s="22"/>
      <x:c r="F67" s="24"/>
      <x:c r="H67" s="26"/>
    </x:row>
    <x:row r="68">
      <x:c r="D68" s="22"/>
      <x:c r="F68" s="24"/>
      <x:c r="H68" s="26"/>
    </x:row>
    <x:row r="69">
      <x:c r="D69" s="22"/>
      <x:c r="F69" s="24"/>
      <x:c r="H69" s="26"/>
    </x:row>
    <x:row r="70">
      <x:c r="D70" s="22"/>
      <x:c r="F70" s="24"/>
      <x:c r="H70" s="26"/>
    </x:row>
    <x:row r="71">
      <x:c r="D71" s="22"/>
      <x:c r="F71" s="24"/>
      <x:c r="H71" s="26"/>
    </x:row>
    <x:row r="72">
      <x:c r="D72" s="22"/>
      <x:c r="F72" s="24"/>
      <x:c r="H72" s="26"/>
    </x:row>
    <x:row r="73">
      <x:c r="D73" s="22"/>
      <x:c r="F73" s="24"/>
      <x:c r="H73" s="26"/>
    </x:row>
    <x:row r="74">
      <x:c r="D74" s="22"/>
      <x:c r="F74" s="24"/>
      <x:c r="H74" s="26"/>
    </x:row>
    <x:row r="75">
      <x:c r="D75" s="22"/>
      <x:c r="F75" s="24"/>
      <x:c r="H75" s="26"/>
    </x:row>
    <x:row r="76">
      <x:c r="D76" s="22"/>
      <x:c r="F76" s="24"/>
      <x:c r="H76" s="26"/>
    </x:row>
    <x:row r="77">
      <x:c r="D77" s="22"/>
      <x:c r="F77" s="24"/>
      <x:c r="H77" s="26"/>
    </x:row>
    <x:row r="78">
      <x:c r="D78" s="22"/>
      <x:c r="F78" s="24"/>
      <x:c r="H78" s="26"/>
    </x:row>
    <x:row r="79">
      <x:c r="D79" s="22"/>
      <x:c r="F79" s="24"/>
      <x:c r="H79" s="26"/>
    </x:row>
    <x:row r="80">
      <x:c r="D80" s="22"/>
      <x:c r="F80" s="24"/>
      <x:c r="H80" s="26"/>
    </x:row>
    <x:row r="81">
      <x:c r="D81" s="22"/>
      <x:c r="F81" s="24"/>
      <x:c r="H81" s="26"/>
    </x:row>
    <x:row r="82">
      <x:c r="D82" s="22"/>
      <x:c r="F82" s="24"/>
      <x:c r="H82" s="26"/>
    </x:row>
    <x:row r="83">
      <x:c r="D83" s="22"/>
      <x:c r="F83" s="24"/>
      <x:c r="H83" s="26"/>
    </x:row>
    <x:row r="84">
      <x:c r="D84" s="22"/>
      <x:c r="F84" s="24"/>
      <x:c r="H84" s="26"/>
    </x:row>
    <x:row r="85">
      <x:c r="D85" s="22"/>
      <x:c r="F85" s="24"/>
      <x:c r="H85" s="26"/>
    </x:row>
    <x:row r="86">
      <x:c r="D86" s="22"/>
      <x:c r="F86" s="24"/>
      <x:c r="H86" s="26"/>
    </x:row>
    <x:row r="87">
      <x:c r="D87" s="22"/>
      <x:c r="F87" s="24"/>
      <x:c r="H87" s="26"/>
    </x:row>
    <x:row r="88">
      <x:c r="D88" s="22"/>
      <x:c r="F88" s="24"/>
      <x:c r="H88" s="26"/>
    </x:row>
    <x:row r="89">
      <x:c r="D89" s="22"/>
      <x:c r="F89" s="24"/>
      <x:c r="H89" s="26"/>
    </x:row>
    <x:row r="90">
      <x:c r="D90" s="22"/>
      <x:c r="F90" s="24"/>
      <x:c r="H90" s="26"/>
    </x:row>
    <x:row r="91">
      <x:c r="D91" s="22"/>
      <x:c r="F91" s="24"/>
      <x:c r="H91" s="26"/>
    </x:row>
    <x:row r="92">
      <x:c r="D92" s="22"/>
      <x:c r="F92" s="24"/>
      <x:c r="H92" s="26"/>
    </x:row>
    <x:row r="93">
      <x:c r="D93" s="22"/>
      <x:c r="F93" s="24"/>
      <x:c r="H93" s="26"/>
    </x:row>
    <x:row r="94">
      <x:c r="D94" s="22"/>
      <x:c r="F94" s="24"/>
      <x:c r="H94" s="26"/>
    </x:row>
    <x:row r="95">
      <x:c r="D95" s="22"/>
      <x:c r="F95" s="24"/>
      <x:c r="H95" s="26"/>
    </x:row>
    <x:row r="96">
      <x:c r="D96" s="22"/>
      <x:c r="F96" s="24"/>
      <x:c r="H96" s="26"/>
    </x:row>
    <x:row r="97">
      <x:c r="D97" s="22"/>
      <x:c r="F97" s="24"/>
      <x:c r="H97" s="26"/>
    </x:row>
    <x:row r="98">
      <x:c r="D98" s="22"/>
      <x:c r="F98" s="24"/>
      <x:c r="H98" s="26"/>
    </x:row>
    <x:row r="99">
      <x:c r="D99" s="22"/>
      <x:c r="F99" s="24"/>
      <x:c r="H99" s="26"/>
    </x:row>
    <x:row r="100">
      <x:c r="D100" s="22"/>
      <x:c r="F100" s="24"/>
      <x:c r="H100" s="26"/>
    </x:row>
    <x:row r="101">
      <x:c r="D101" s="22"/>
      <x:c r="F101" s="24"/>
      <x:c r="H101" s="26"/>
    </x:row>
    <x:row r="102">
      <x:c r="D102" s="22"/>
      <x:c r="F102" s="24"/>
      <x:c r="H102" s="26"/>
    </x:row>
    <x:row r="103">
      <x:c r="D103" s="22"/>
      <x:c r="F103" s="24"/>
      <x:c r="H103" s="26"/>
    </x:row>
    <x:row r="104">
      <x:c r="D104" s="22"/>
      <x:c r="F104" s="24"/>
      <x:c r="H104" s="26"/>
    </x:row>
    <x:row r="105">
      <x:c r="D105" s="22"/>
      <x:c r="F105" s="24"/>
      <x:c r="H105" s="26"/>
    </x:row>
    <x:row r="106">
      <x:c r="D106" s="22"/>
      <x:c r="F106" s="24"/>
      <x:c r="H106" s="26"/>
    </x:row>
    <x:row r="107">
      <x:c r="D107" s="22"/>
      <x:c r="F107" s="24"/>
      <x:c r="H107" s="26"/>
    </x:row>
    <x:row r="108">
      <x:c r="D108" s="22"/>
      <x:c r="F108" s="24"/>
      <x:c r="H108" s="26"/>
    </x:row>
    <x:row r="109">
      <x:c r="D109" s="22"/>
      <x:c r="F109" s="24"/>
      <x:c r="H109" s="26"/>
    </x:row>
    <x:row r="110">
      <x:c r="D110" s="22"/>
      <x:c r="F110" s="24"/>
      <x:c r="H110" s="26"/>
    </x:row>
    <x:row r="111">
      <x:c r="D111" s="22"/>
      <x:c r="F111" s="24"/>
      <x:c r="H111" s="26"/>
    </x:row>
    <x:row r="112">
      <x:c r="D112" s="22"/>
      <x:c r="F112" s="24"/>
      <x:c r="H112" s="26"/>
    </x:row>
    <x:row r="113">
      <x:c r="D113" s="22"/>
      <x:c r="F113" s="24"/>
      <x:c r="H113" s="26"/>
    </x:row>
    <x:row r="114">
      <x:c r="D114" s="22"/>
      <x:c r="F114" s="24"/>
      <x:c r="H114" s="26"/>
    </x:row>
    <x:row r="115">
      <x:c r="D115" s="22"/>
      <x:c r="F115" s="24"/>
      <x:c r="H115" s="26"/>
    </x:row>
    <x:row r="116">
      <x:c r="D116" s="22"/>
      <x:c r="F116" s="24"/>
      <x:c r="H116" s="26"/>
    </x:row>
    <x:row r="117">
      <x:c r="D117" s="22"/>
      <x:c r="F117" s="24"/>
      <x:c r="H117" s="26"/>
    </x:row>
    <x:row r="118">
      <x:c r="D118" s="22"/>
      <x:c r="F118" s="24"/>
      <x:c r="H118" s="26"/>
    </x:row>
    <x:row r="119">
      <x:c r="D119" s="22"/>
      <x:c r="F119" s="24"/>
      <x:c r="H119" s="26"/>
    </x:row>
    <x:row r="120">
      <x:c r="D120" s="22"/>
      <x:c r="F120" s="24"/>
      <x:c r="H120" s="26"/>
    </x:row>
    <x:row r="121">
      <x:c r="D121" s="22"/>
      <x:c r="F121" s="24"/>
      <x:c r="H121" s="26"/>
    </x:row>
    <x:row r="122">
      <x:c r="D122" s="22"/>
      <x:c r="F122" s="24"/>
      <x:c r="H122" s="26"/>
    </x:row>
    <x:row r="123">
      <x:c r="D123" s="22"/>
      <x:c r="F123" s="24"/>
      <x:c r="H123" s="26"/>
    </x:row>
    <x:row r="124">
      <x:c r="D124" s="22"/>
      <x:c r="F124" s="24"/>
      <x:c r="H124" s="26"/>
    </x:row>
    <x:row r="125">
      <x:c r="D125" s="22"/>
      <x:c r="F125" s="24"/>
      <x:c r="H125" s="26"/>
    </x:row>
    <x:row r="126">
      <x:c r="D126" s="22"/>
      <x:c r="F126" s="24"/>
      <x:c r="H126" s="26"/>
    </x:row>
    <x:row r="127">
      <x:c r="D127" s="22"/>
      <x:c r="F127" s="24"/>
      <x:c r="H127" s="26"/>
    </x:row>
    <x:row r="128">
      <x:c r="D128" s="22"/>
      <x:c r="F128" s="24"/>
      <x:c r="H128" s="26"/>
    </x:row>
    <x:row r="129">
      <x:c r="D129" s="22"/>
      <x:c r="F129" s="24"/>
      <x:c r="H129" s="26"/>
    </x:row>
    <x:row r="130">
      <x:c r="D130" s="22"/>
      <x:c r="F130" s="24"/>
      <x:c r="H130" s="26"/>
    </x:row>
    <x:row r="131">
      <x:c r="D131" s="22"/>
      <x:c r="F131" s="24"/>
      <x:c r="H131" s="26"/>
    </x:row>
    <x:row r="132">
      <x:c r="D132" s="22"/>
      <x:c r="F132" s="24"/>
      <x:c r="H132" s="26"/>
    </x:row>
    <x:row r="133">
      <x:c r="D133" s="22"/>
      <x:c r="F133" s="24"/>
      <x:c r="H133" s="26"/>
    </x:row>
    <x:row r="134">
      <x:c r="D134" s="22"/>
      <x:c r="F134" s="24"/>
      <x:c r="H134" s="26"/>
    </x:row>
    <x:row r="135">
      <x:c r="D135" s="22"/>
      <x:c r="F135" s="24"/>
      <x:c r="H135" s="26"/>
    </x:row>
    <x:row r="136">
      <x:c r="D136" s="22"/>
      <x:c r="F136" s="24"/>
      <x:c r="H136" s="26"/>
    </x:row>
    <x:row r="137">
      <x:c r="D137" s="22"/>
      <x:c r="F137" s="24"/>
      <x:c r="H137" s="26"/>
    </x:row>
    <x:row r="138">
      <x:c r="D138" s="22"/>
      <x:c r="F138" s="24"/>
      <x:c r="H138" s="26"/>
    </x:row>
    <x:row r="139">
      <x:c r="D139" s="22"/>
      <x:c r="F139" s="24"/>
      <x:c r="H139" s="26"/>
    </x:row>
    <x:row r="140">
      <x:c r="D140" s="22"/>
      <x:c r="F140" s="24"/>
      <x:c r="H140" s="26"/>
    </x:row>
    <x:row r="141">
      <x:c r="D141" s="22"/>
      <x:c r="F141" s="24"/>
      <x:c r="H141" s="26"/>
    </x:row>
    <x:row r="142">
      <x:c r="D142" s="22"/>
      <x:c r="F142" s="24"/>
      <x:c r="H142" s="26"/>
    </x:row>
    <x:row r="143">
      <x:c r="D143" s="22"/>
      <x:c r="F143" s="24"/>
      <x:c r="H143" s="26"/>
    </x:row>
    <x:row r="144">
      <x:c r="D144" s="22"/>
      <x:c r="F144" s="24"/>
      <x:c r="H144" s="26"/>
    </x:row>
    <x:row r="145">
      <x:c r="D145" s="22"/>
      <x:c r="F145" s="24"/>
      <x:c r="H145" s="26"/>
    </x:row>
    <x:row r="146">
      <x:c r="D146" s="22"/>
      <x:c r="F146" s="24"/>
      <x:c r="H146" s="26"/>
    </x:row>
    <x:row r="147">
      <x:c r="D147" s="22"/>
      <x:c r="F147" s="24"/>
      <x:c r="H147" s="26"/>
    </x:row>
    <x:row r="148">
      <x:c r="D148" s="22"/>
      <x:c r="F148" s="24"/>
      <x:c r="H148" s="26"/>
    </x:row>
    <x:row r="149">
      <x:c r="D149" s="22"/>
      <x:c r="F149" s="24"/>
      <x:c r="H149" s="26"/>
    </x:row>
    <x:row r="150">
      <x:c r="D150" s="22"/>
      <x:c r="F150" s="24"/>
      <x:c r="H150" s="26"/>
    </x:row>
    <x:row r="151">
      <x:c r="D151" s="22"/>
      <x:c r="F151" s="24"/>
      <x:c r="H151" s="26"/>
    </x:row>
    <x:row r="152">
      <x:c r="D152" s="22"/>
      <x:c r="F152" s="24"/>
      <x:c r="H152" s="26"/>
    </x:row>
    <x:row r="153">
      <x:c r="D153" s="22"/>
      <x:c r="F153" s="24"/>
      <x:c r="H153" s="26"/>
    </x:row>
    <x:row r="154">
      <x:c r="D154" s="22"/>
      <x:c r="F154" s="24"/>
      <x:c r="H154" s="26"/>
    </x:row>
    <x:row r="155">
      <x:c r="D155" s="22"/>
      <x:c r="F155" s="24"/>
      <x:c r="H155" s="26"/>
    </x:row>
    <x:row r="156">
      <x:c r="D156" s="22"/>
      <x:c r="F156" s="24"/>
      <x:c r="H156" s="26"/>
    </x:row>
    <x:row r="157">
      <x:c r="D157" s="22"/>
      <x:c r="F157" s="24"/>
      <x:c r="H157" s="26"/>
    </x:row>
    <x:row r="158">
      <x:c r="D158" s="22"/>
      <x:c r="F158" s="24"/>
      <x:c r="H158" s="26"/>
    </x:row>
    <x:row r="159">
      <x:c r="D159" s="22"/>
      <x:c r="F159" s="24"/>
      <x:c r="H159" s="26"/>
    </x:row>
    <x:row r="160">
      <x:c r="D160" s="22"/>
      <x:c r="F160" s="24"/>
      <x:c r="H160" s="26"/>
    </x:row>
    <x:row r="161">
      <x:c r="D161" s="22"/>
      <x:c r="F161" s="24"/>
      <x:c r="H161" s="26"/>
    </x:row>
    <x:row r="162">
      <x:c r="D162" s="22"/>
      <x:c r="F162" s="24"/>
      <x:c r="H162" s="26"/>
    </x:row>
    <x:row r="163">
      <x:c r="D163" s="22"/>
      <x:c r="F163" s="24"/>
      <x:c r="H163" s="26"/>
    </x:row>
    <x:row r="164">
      <x:c r="D164" s="22"/>
      <x:c r="F164" s="24"/>
      <x:c r="H164" s="26"/>
    </x:row>
    <x:row r="165">
      <x:c r="D165" s="22"/>
      <x:c r="F165" s="24"/>
      <x:c r="H165" s="26"/>
    </x:row>
    <x:row r="166">
      <x:c r="D166" s="22"/>
      <x:c r="F166" s="24"/>
      <x:c r="H166" s="26"/>
    </x:row>
    <x:row r="167">
      <x:c r="D167" s="22"/>
      <x:c r="F167" s="24"/>
      <x:c r="H167" s="26"/>
    </x:row>
    <x:row r="168">
      <x:c r="D168" s="22"/>
      <x:c r="F168" s="24"/>
      <x:c r="H168" s="26"/>
    </x:row>
    <x:row r="169">
      <x:c r="D169" s="22"/>
      <x:c r="F169" s="24"/>
      <x:c r="H169" s="26"/>
    </x:row>
    <x:row r="170">
      <x:c r="D170" s="22"/>
      <x:c r="F170" s="24"/>
      <x:c r="H170" s="26"/>
    </x:row>
    <x:row r="171">
      <x:c r="D171" s="22"/>
      <x:c r="F171" s="24"/>
      <x:c r="H171" s="26"/>
    </x:row>
    <x:row r="172">
      <x:c r="D172" s="22"/>
      <x:c r="F172" s="24"/>
      <x:c r="H172" s="26"/>
    </x:row>
    <x:row r="173">
      <x:c r="D173" s="22"/>
      <x:c r="F173" s="24"/>
      <x:c r="H173" s="26"/>
    </x:row>
    <x:row r="174">
      <x:c r="D174" s="22"/>
      <x:c r="F174" s="24"/>
      <x:c r="H174" s="26"/>
    </x:row>
    <x:row r="175">
      <x:c r="D175" s="22"/>
      <x:c r="F175" s="24"/>
      <x:c r="H175" s="26"/>
    </x:row>
    <x:row r="176">
      <x:c r="D176" s="22"/>
      <x:c r="F176" s="24"/>
      <x:c r="H176" s="26"/>
    </x:row>
    <x:row r="177">
      <x:c r="D177" s="22"/>
      <x:c r="F177" s="24"/>
      <x:c r="H177" s="26"/>
    </x:row>
    <x:row r="178">
      <x:c r="D178" s="22"/>
      <x:c r="F178" s="24"/>
      <x:c r="H178" s="26"/>
    </x:row>
    <x:row r="179">
      <x:c r="D179" s="22"/>
      <x:c r="F179" s="24"/>
      <x:c r="H179" s="26"/>
    </x:row>
    <x:row r="180">
      <x:c r="D180" s="22"/>
      <x:c r="F180" s="24"/>
      <x:c r="H180" s="26"/>
    </x:row>
    <x:row r="181">
      <x:c r="D181" s="22"/>
      <x:c r="F181" s="24"/>
      <x:c r="H181" s="26"/>
    </x:row>
    <x:row r="182">
      <x:c r="D182" s="22"/>
      <x:c r="F182" s="24"/>
      <x:c r="H182" s="26"/>
    </x:row>
    <x:row r="183">
      <x:c r="D183" s="22"/>
      <x:c r="F183" s="24"/>
      <x:c r="H183" s="26"/>
    </x:row>
    <x:row r="184">
      <x:c r="D184" s="22"/>
      <x:c r="F184" s="24"/>
      <x:c r="H184" s="26"/>
    </x:row>
    <x:row r="185">
      <x:c r="D185" s="22"/>
      <x:c r="F185" s="24"/>
      <x:c r="H185" s="26"/>
    </x:row>
    <x:row r="186">
      <x:c r="D186" s="22"/>
      <x:c r="F186" s="24"/>
      <x:c r="H186" s="26"/>
    </x:row>
    <x:row r="187">
      <x:c r="D187" s="22"/>
      <x:c r="F187" s="24"/>
      <x:c r="H187" s="26"/>
    </x:row>
    <x:row r="188">
      <x:c r="D188" s="22"/>
      <x:c r="F188" s="24"/>
      <x:c r="H188" s="26"/>
    </x:row>
    <x:row r="189">
      <x:c r="D189" s="22"/>
      <x:c r="F189" s="24"/>
      <x:c r="H189" s="26"/>
    </x:row>
    <x:row r="190">
      <x:c r="D190" s="22"/>
      <x:c r="F190" s="24"/>
      <x:c r="H190" s="26"/>
    </x:row>
    <x:row r="191">
      <x:c r="D191" s="22"/>
      <x:c r="F191" s="24"/>
      <x:c r="H191" s="26"/>
    </x:row>
    <x:row r="192">
      <x:c r="D192" s="22"/>
      <x:c r="F192" s="24"/>
      <x:c r="H192" s="26"/>
    </x:row>
    <x:row r="193">
      <x:c r="D193" s="22"/>
      <x:c r="F193" s="24"/>
      <x:c r="H193" s="26"/>
    </x:row>
    <x:row r="194">
      <x:c r="D194" s="22"/>
      <x:c r="F194" s="24"/>
      <x:c r="H194" s="26"/>
    </x:row>
    <x:row r="195">
      <x:c r="D195" s="22"/>
      <x:c r="F195" s="24"/>
      <x:c r="H195" s="26"/>
    </x:row>
    <x:row r="196">
      <x:c r="D196" s="22"/>
      <x:c r="F196" s="24"/>
      <x:c r="H196" s="26"/>
    </x:row>
    <x:row r="197">
      <x:c r="D197" s="22"/>
      <x:c r="F197" s="24"/>
      <x:c r="H197" s="26"/>
    </x:row>
    <x:row r="198">
      <x:c r="D198" s="22"/>
      <x:c r="F198" s="24"/>
      <x:c r="H198" s="26"/>
    </x:row>
    <x:row r="199">
      <x:c r="D199" s="22"/>
      <x:c r="F199" s="24"/>
      <x:c r="H199" s="26"/>
    </x:row>
    <x:row r="200">
      <x:c r="D200" s="22"/>
      <x:c r="F200" s="24"/>
      <x:c r="H200" s="26"/>
    </x:row>
    <x:row r="201">
      <x:c r="D201" s="22"/>
      <x:c r="F201" s="24"/>
      <x:c r="H201" s="26"/>
    </x:row>
    <x:row r="202">
      <x:c r="D202" s="22"/>
      <x:c r="F202" s="24"/>
      <x:c r="H202" s="26"/>
    </x:row>
    <x:row r="203">
      <x:c r="D203" s="22"/>
      <x:c r="F203" s="24"/>
      <x:c r="H203" s="26"/>
    </x:row>
    <x:row r="204">
      <x:c r="D204" s="22"/>
      <x:c r="F204" s="24"/>
      <x:c r="H204" s="26"/>
    </x:row>
    <x:row r="205">
      <x:c r="D205" s="22"/>
      <x:c r="F205" s="24"/>
      <x:c r="H205" s="26"/>
    </x:row>
    <x:row r="206">
      <x:c r="D206" s="22"/>
      <x:c r="F206" s="24"/>
      <x:c r="H206" s="26"/>
    </x:row>
    <x:row r="207">
      <x:c r="D207" s="22"/>
      <x:c r="F207" s="24"/>
      <x:c r="H207" s="26"/>
    </x:row>
    <x:row r="208">
      <x:c r="D208" s="22"/>
      <x:c r="F208" s="24"/>
      <x:c r="H208" s="26"/>
    </x:row>
    <x:row r="209">
      <x:c r="D209" s="22"/>
      <x:c r="F209" s="24"/>
      <x:c r="H209" s="26"/>
    </x:row>
    <x:row r="210">
      <x:c r="D210" s="22"/>
      <x:c r="F210" s="24"/>
      <x:c r="H210" s="26"/>
    </x:row>
    <x:row r="211">
      <x:c r="D211" s="22"/>
      <x:c r="F211" s="24"/>
      <x:c r="H211" s="26"/>
    </x:row>
    <x:row r="212">
      <x:c r="D212" s="22"/>
      <x:c r="F212" s="24"/>
      <x:c r="H212" s="26"/>
    </x:row>
    <x:row r="213">
      <x:c r="D213" s="22"/>
      <x:c r="F213" s="24"/>
      <x:c r="H213" s="26"/>
    </x:row>
    <x:row r="214">
      <x:c r="D214" s="22"/>
      <x:c r="F214" s="24"/>
      <x:c r="H214" s="26"/>
    </x:row>
    <x:row r="215">
      <x:c r="D215" s="22"/>
      <x:c r="F215" s="24"/>
      <x:c r="H215" s="26"/>
    </x:row>
    <x:row r="216">
      <x:c r="D216" s="22"/>
      <x:c r="F216" s="24"/>
      <x:c r="H216" s="26"/>
    </x:row>
    <x:row r="217">
      <x:c r="D217" s="22"/>
      <x:c r="F217" s="24"/>
      <x:c r="H217" s="26"/>
    </x:row>
    <x:row r="218">
      <x:c r="D218" s="22"/>
      <x:c r="F218" s="24"/>
      <x:c r="H218" s="26"/>
    </x:row>
    <x:row r="219">
      <x:c r="D219" s="22"/>
      <x:c r="F219" s="24"/>
      <x:c r="H219" s="26"/>
    </x:row>
    <x:row r="220">
      <x:c r="D220" s="22"/>
      <x:c r="F220" s="24"/>
      <x:c r="H220" s="26"/>
    </x:row>
    <x:row r="221">
      <x:c r="D221" s="22"/>
      <x:c r="F221" s="24"/>
      <x:c r="H221" s="26"/>
    </x:row>
    <x:row r="222">
      <x:c r="D222" s="22"/>
      <x:c r="F222" s="24"/>
      <x:c r="H222" s="26"/>
    </x:row>
    <x:row r="223">
      <x:c r="D223" s="22"/>
      <x:c r="F223" s="24"/>
      <x:c r="H223" s="26"/>
    </x:row>
    <x:row r="224">
      <x:c r="D224" s="22"/>
      <x:c r="F224" s="24"/>
      <x:c r="H224" s="26"/>
    </x:row>
    <x:row r="225">
      <x:c r="D225" s="22"/>
      <x:c r="F225" s="24"/>
      <x:c r="H225" s="26"/>
    </x:row>
    <x:row r="226">
      <x:c r="D226" s="22"/>
      <x:c r="F226" s="24"/>
      <x:c r="H226" s="26"/>
    </x:row>
    <x:row r="227">
      <x:c r="D227" s="22"/>
      <x:c r="F227" s="24"/>
      <x:c r="H227" s="26"/>
    </x:row>
    <x:row r="228">
      <x:c r="D228" s="22"/>
      <x:c r="F228" s="24"/>
      <x:c r="H228" s="26"/>
    </x:row>
    <x:row r="229">
      <x:c r="D229" s="22"/>
      <x:c r="F229" s="24"/>
      <x:c r="H229" s="26"/>
    </x:row>
    <x:row r="230">
      <x:c r="D230" s="22"/>
      <x:c r="F230" s="24"/>
      <x:c r="H230" s="26"/>
    </x:row>
    <x:row r="231">
      <x:c r="D231" s="22"/>
      <x:c r="F231" s="24"/>
      <x:c r="H231" s="26"/>
    </x:row>
    <x:row r="232">
      <x:c r="D232" s="22"/>
      <x:c r="F232" s="24"/>
      <x:c r="H232" s="26"/>
    </x:row>
    <x:row r="233">
      <x:c r="D233" s="22"/>
      <x:c r="F233" s="24"/>
      <x:c r="H233" s="26"/>
    </x:row>
    <x:row r="234">
      <x:c r="D234" s="22"/>
      <x:c r="F234" s="24"/>
      <x:c r="H234" s="26"/>
    </x:row>
    <x:row r="235">
      <x:c r="D235" s="22"/>
      <x:c r="F235" s="24"/>
      <x:c r="H235" s="26"/>
    </x:row>
    <x:row r="236">
      <x:c r="D236" s="22"/>
      <x:c r="F236" s="24"/>
      <x:c r="H236" s="26"/>
    </x:row>
    <x:row r="237">
      <x:c r="D237" s="22"/>
      <x:c r="F237" s="24"/>
      <x:c r="H237" s="26"/>
    </x:row>
    <x:row r="238">
      <x:c r="D238" s="22"/>
      <x:c r="F238" s="24"/>
      <x:c r="H238" s="26"/>
    </x:row>
    <x:row r="239">
      <x:c r="D239" s="22"/>
      <x:c r="F239" s="24"/>
      <x:c r="H239" s="26"/>
    </x:row>
    <x:row r="240">
      <x:c r="D240" s="22"/>
      <x:c r="F240" s="24"/>
      <x:c r="H240" s="26"/>
    </x:row>
    <x:row r="241">
      <x:c r="D241" s="22"/>
      <x:c r="F241" s="24"/>
      <x:c r="H241" s="26"/>
    </x:row>
    <x:row r="242">
      <x:c r="D242" s="22"/>
      <x:c r="F242" s="24"/>
      <x:c r="H242" s="26"/>
    </x:row>
    <x:row r="243">
      <x:c r="D243" s="22"/>
      <x:c r="F243" s="24"/>
      <x:c r="H243" s="26"/>
    </x:row>
    <x:row r="244">
      <x:c r="D244" s="22"/>
      <x:c r="F244" s="24"/>
      <x:c r="H244" s="26"/>
    </x:row>
    <x:row r="245">
      <x:c r="D245" s="22"/>
      <x:c r="F245" s="24"/>
      <x:c r="H245" s="26"/>
    </x:row>
    <x:row r="246">
      <x:c r="D246" s="22"/>
      <x:c r="F246" s="24"/>
      <x:c r="H246" s="26"/>
    </x:row>
    <x:row r="247">
      <x:c r="D247" s="22"/>
      <x:c r="F247" s="24"/>
      <x:c r="H247" s="26"/>
    </x:row>
    <x:row r="248">
      <x:c r="D248" s="22"/>
      <x:c r="F248" s="24"/>
      <x:c r="H248" s="26"/>
    </x:row>
    <x:row r="249">
      <x:c r="D249" s="22"/>
      <x:c r="F249" s="24"/>
      <x:c r="H249" s="26"/>
    </x:row>
    <x:row r="250">
      <x:c r="D250" s="22"/>
      <x:c r="F250" s="24"/>
      <x:c r="H250" s="26"/>
    </x:row>
    <x:row r="251">
      <x:c r="D251" s="22"/>
      <x:c r="F251" s="24"/>
      <x:c r="H251" s="26"/>
    </x:row>
    <x:row r="252">
      <x:c r="D252" s="22"/>
      <x:c r="F252" s="24"/>
      <x:c r="H252" s="26"/>
    </x:row>
    <x:row r="253">
      <x:c r="D253" s="22"/>
      <x:c r="F253" s="24"/>
      <x:c r="H253" s="26"/>
    </x:row>
    <x:row r="254">
      <x:c r="D254" s="22"/>
      <x:c r="F254" s="24"/>
      <x:c r="H254" s="26"/>
    </x:row>
    <x:row r="255">
      <x:c r="D255" s="22"/>
      <x:c r="F255" s="24"/>
      <x:c r="H255" s="26"/>
    </x:row>
    <x:row r="256">
      <x:c r="D256" s="22"/>
      <x:c r="F256" s="24"/>
      <x:c r="H256" s="26"/>
    </x:row>
    <x:row r="257">
      <x:c r="D257" s="22"/>
      <x:c r="F257" s="24"/>
      <x:c r="H257" s="26"/>
    </x:row>
    <x:row r="258">
      <x:c r="D258" s="22"/>
      <x:c r="F258" s="24"/>
      <x:c r="H258" s="26"/>
    </x:row>
    <x:row r="259">
      <x:c r="D259" s="22"/>
      <x:c r="F259" s="24"/>
      <x:c r="H259" s="26"/>
    </x:row>
    <x:row r="260">
      <x:c r="D260" s="22"/>
      <x:c r="F260" s="24"/>
      <x:c r="H260" s="26"/>
    </x:row>
    <x:row r="261">
      <x:c r="D261" s="22"/>
      <x:c r="F261" s="24"/>
      <x:c r="H261" s="26"/>
    </x:row>
    <x:row r="262">
      <x:c r="D262" s="22"/>
      <x:c r="F262" s="24"/>
      <x:c r="H262" s="26"/>
    </x:row>
    <x:row r="263">
      <x:c r="D263" s="22"/>
      <x:c r="F263" s="24"/>
      <x:c r="H263" s="26"/>
    </x:row>
    <x:row r="264">
      <x:c r="D264" s="22"/>
      <x:c r="F264" s="24"/>
      <x:c r="H264" s="26"/>
    </x:row>
    <x:row r="265">
      <x:c r="D265" s="22"/>
      <x:c r="F265" s="24"/>
      <x:c r="H265" s="26"/>
    </x:row>
    <x:row r="266">
      <x:c r="D266" s="22"/>
      <x:c r="F266" s="24"/>
      <x:c r="H266" s="26"/>
    </x:row>
    <x:row r="267">
      <x:c r="D267" s="22"/>
      <x:c r="F267" s="24"/>
      <x:c r="H267" s="26"/>
    </x:row>
    <x:row r="268">
      <x:c r="D268" s="22"/>
      <x:c r="F268" s="24"/>
      <x:c r="H268" s="26"/>
    </x:row>
    <x:row r="269">
      <x:c r="D269" s="22"/>
      <x:c r="F269" s="24"/>
      <x:c r="H269" s="26"/>
    </x:row>
    <x:row r="270">
      <x:c r="D270" s="22"/>
      <x:c r="F270" s="24"/>
      <x:c r="H270" s="26"/>
    </x:row>
    <x:row r="271">
      <x:c r="D271" s="22"/>
      <x:c r="F271" s="24"/>
      <x:c r="H271" s="26"/>
    </x:row>
    <x:row r="272">
      <x:c r="D272" s="22"/>
      <x:c r="F272" s="24"/>
      <x:c r="H272" s="26"/>
    </x:row>
    <x:row r="273">
      <x:c r="D273" s="22"/>
      <x:c r="F273" s="24"/>
      <x:c r="H273" s="26"/>
    </x:row>
    <x:row r="274">
      <x:c r="D274" s="22"/>
      <x:c r="F274" s="24"/>
      <x:c r="H274" s="26"/>
    </x:row>
    <x:row r="275">
      <x:c r="D275" s="22"/>
      <x:c r="F275" s="24"/>
      <x:c r="H275" s="26"/>
    </x:row>
    <x:row r="276">
      <x:c r="D276" s="22"/>
      <x:c r="F276" s="24"/>
      <x:c r="H276" s="26"/>
    </x:row>
    <x:row r="277">
      <x:c r="D277" s="22"/>
      <x:c r="F277" s="24"/>
      <x:c r="H277" s="26"/>
    </x:row>
    <x:row r="278">
      <x:c r="D278" s="22"/>
      <x:c r="F278" s="24"/>
      <x:c r="H278" s="26"/>
    </x:row>
    <x:row r="279">
      <x:c r="D279" s="22"/>
      <x:c r="F279" s="24"/>
      <x:c r="H279" s="26"/>
    </x:row>
    <x:row r="280">
      <x:c r="D280" s="22"/>
      <x:c r="F280" s="24"/>
      <x:c r="H280" s="26"/>
    </x:row>
    <x:row r="281">
      <x:c r="D281" s="22"/>
      <x:c r="F281" s="24"/>
      <x:c r="H281" s="26"/>
    </x:row>
    <x:row r="282">
      <x:c r="D282" s="22"/>
      <x:c r="F282" s="24"/>
      <x:c r="H282" s="26"/>
    </x:row>
    <x:row r="283">
      <x:c r="D283" s="22"/>
      <x:c r="F283" s="24"/>
      <x:c r="H283" s="26"/>
    </x:row>
    <x:row r="284">
      <x:c r="D284" s="22"/>
      <x:c r="F284" s="24"/>
      <x:c r="H284" s="26"/>
    </x:row>
    <x:row r="285">
      <x:c r="D285" s="22"/>
      <x:c r="F285" s="24"/>
      <x:c r="H285" s="26"/>
    </x:row>
    <x:row r="286">
      <x:c r="D286" s="22"/>
      <x:c r="F286" s="24"/>
      <x:c r="H286" s="26"/>
    </x:row>
    <x:row r="287">
      <x:c r="D287" s="22"/>
      <x:c r="F287" s="24"/>
      <x:c r="H287" s="26"/>
    </x:row>
    <x:row r="288">
      <x:c r="D288" s="22"/>
      <x:c r="F288" s="24"/>
      <x:c r="H288" s="26"/>
    </x:row>
    <x:row r="289">
      <x:c r="D289" s="22"/>
      <x:c r="F289" s="24"/>
      <x:c r="H289" s="26"/>
    </x:row>
    <x:row r="290">
      <x:c r="D290" s="22"/>
      <x:c r="F290" s="24"/>
      <x:c r="H290" s="26"/>
    </x:row>
    <x:row r="291">
      <x:c r="D291" s="22"/>
      <x:c r="F291" s="24"/>
      <x:c r="H291" s="26"/>
    </x:row>
    <x:row r="292">
      <x:c r="D292" s="22"/>
      <x:c r="F292" s="24"/>
      <x:c r="H292" s="26"/>
    </x:row>
    <x:row r="293">
      <x:c r="D293" s="22"/>
      <x:c r="F293" s="24"/>
      <x:c r="H293" s="26"/>
    </x:row>
    <x:row r="294">
      <x:c r="D294" s="22"/>
      <x:c r="F294" s="24"/>
      <x:c r="H294" s="26"/>
    </x:row>
    <x:row r="295">
      <x:c r="D295" s="22"/>
      <x:c r="F295" s="24"/>
      <x:c r="H295" s="26"/>
    </x:row>
    <x:row r="296">
      <x:c r="D296" s="22"/>
      <x:c r="F296" s="24"/>
      <x:c r="H296" s="26"/>
    </x:row>
    <x:row r="297">
      <x:c r="D297" s="22"/>
      <x:c r="F297" s="24"/>
      <x:c r="H297" s="26"/>
    </x:row>
    <x:row r="298">
      <x:c r="D298" s="22"/>
      <x:c r="F298" s="24"/>
      <x:c r="H298" s="26"/>
    </x:row>
    <x:row r="299">
      <x:c r="D299" s="22"/>
      <x:c r="F299" s="24"/>
      <x:c r="H299" s="26"/>
    </x:row>
    <x:row r="300">
      <x:c r="D300" s="22"/>
      <x:c r="F300" s="24"/>
      <x:c r="H300" s="26"/>
    </x:row>
    <x:row r="301">
      <x:c r="D301" s="22"/>
      <x:c r="F301" s="24"/>
      <x:c r="H301" s="26"/>
    </x:row>
    <x:row r="302">
      <x:c r="D302" s="22"/>
      <x:c r="F302" s="24"/>
      <x:c r="H302" s="26"/>
    </x:row>
    <x:row r="303">
      <x:c r="D303" s="22"/>
      <x:c r="F303" s="24"/>
      <x:c r="H303" s="26"/>
    </x:row>
    <x:row r="304">
      <x:c r="D304" s="22"/>
      <x:c r="F304" s="24"/>
      <x:c r="H304" s="26"/>
    </x:row>
    <x:row r="305">
      <x:c r="D305" s="22"/>
      <x:c r="F305" s="24"/>
      <x:c r="H305" s="26"/>
    </x:row>
    <x:row r="306">
      <x:c r="D306" s="22"/>
      <x:c r="F306" s="24"/>
      <x:c r="H306" s="26"/>
    </x:row>
    <x:row r="307">
      <x:c r="D307" s="22"/>
      <x:c r="F307" s="24"/>
      <x:c r="H307" s="26"/>
    </x:row>
    <x:row r="308">
      <x:c r="D308" s="22"/>
      <x:c r="F308" s="24"/>
      <x:c r="H308" s="26"/>
    </x:row>
    <x:row r="309">
      <x:c r="D309" s="22"/>
      <x:c r="F309" s="24"/>
      <x:c r="H309" s="26"/>
    </x:row>
    <x:row r="310">
      <x:c r="D310" s="22"/>
      <x:c r="F310" s="24"/>
      <x:c r="H310" s="26"/>
    </x:row>
    <x:row r="311">
      <x:c r="D311" s="22"/>
      <x:c r="F311" s="24"/>
      <x:c r="H311" s="26"/>
    </x:row>
    <x:row r="312">
      <x:c r="D312" s="22"/>
      <x:c r="F312" s="24"/>
      <x:c r="H312" s="26"/>
    </x:row>
    <x:row r="313">
      <x:c r="D313" s="22"/>
      <x:c r="F313" s="24"/>
      <x:c r="H313" s="26"/>
    </x:row>
    <x:row r="314">
      <x:c r="D314" s="22"/>
      <x:c r="F314" s="24"/>
      <x:c r="H314" s="26"/>
    </x:row>
    <x:row r="315">
      <x:c r="D315" s="22"/>
      <x:c r="F315" s="24"/>
      <x:c r="H315" s="26"/>
    </x:row>
    <x:row r="316">
      <x:c r="D316" s="22"/>
      <x:c r="F316" s="24"/>
      <x:c r="H316" s="26"/>
    </x:row>
    <x:row r="317">
      <x:c r="D317" s="22"/>
      <x:c r="F317" s="24"/>
      <x:c r="H317" s="26"/>
    </x:row>
    <x:row r="318">
      <x:c r="D318" s="22"/>
      <x:c r="F318" s="24"/>
      <x:c r="H318" s="26"/>
    </x:row>
    <x:row r="319">
      <x:c r="D319" s="22"/>
      <x:c r="F319" s="24"/>
      <x:c r="H319" s="26"/>
    </x:row>
    <x:row r="320">
      <x:c r="D320" s="22"/>
      <x:c r="F320" s="24"/>
      <x:c r="H320" s="26"/>
    </x:row>
    <x:row r="321">
      <x:c r="D321" s="22"/>
      <x:c r="F321" s="24"/>
      <x:c r="H321" s="26"/>
    </x:row>
    <x:row r="322">
      <x:c r="D322" s="22"/>
      <x:c r="F322" s="24"/>
      <x:c r="H322" s="26"/>
    </x:row>
    <x:row r="323">
      <x:c r="D323" s="22"/>
      <x:c r="F323" s="24"/>
      <x:c r="H323" s="26"/>
    </x:row>
    <x:row r="324">
      <x:c r="D324" s="22"/>
      <x:c r="F324" s="24"/>
      <x:c r="H324" s="26"/>
    </x:row>
    <x:row r="325">
      <x:c r="D325" s="22"/>
      <x:c r="F325" s="24"/>
      <x:c r="H325" s="26"/>
    </x:row>
    <x:row r="326">
      <x:c r="D326" s="22"/>
      <x:c r="F326" s="24"/>
      <x:c r="H326" s="26"/>
    </x:row>
    <x:row r="327">
      <x:c r="D327" s="22"/>
      <x:c r="F327" s="24"/>
      <x:c r="H327" s="26"/>
    </x:row>
    <x:row r="328">
      <x:c r="D328" s="22"/>
      <x:c r="F328" s="24"/>
      <x:c r="H328" s="26"/>
    </x:row>
    <x:row r="329">
      <x:c r="D329" s="22"/>
      <x:c r="F329" s="24"/>
      <x:c r="H329" s="26"/>
    </x:row>
    <x:row r="330">
      <x:c r="D330" s="22"/>
      <x:c r="F330" s="24"/>
      <x:c r="H330" s="26"/>
    </x:row>
    <x:row r="331">
      <x:c r="D331" s="22"/>
      <x:c r="F331" s="24"/>
      <x:c r="H331" s="26"/>
    </x:row>
    <x:row r="332">
      <x:c r="D332" s="22"/>
      <x:c r="F332" s="24"/>
      <x:c r="H332" s="26"/>
    </x:row>
    <x:row r="333">
      <x:c r="D333" s="22"/>
      <x:c r="F333" s="24"/>
      <x:c r="H333" s="26"/>
    </x:row>
    <x:row r="334">
      <x:c r="D334" s="22"/>
      <x:c r="F334" s="24"/>
      <x:c r="H334" s="26"/>
    </x:row>
    <x:row r="335">
      <x:c r="D335" s="22"/>
      <x:c r="F335" s="24"/>
      <x:c r="H335" s="26"/>
    </x:row>
    <x:row r="336">
      <x:c r="D336" s="22"/>
      <x:c r="F336" s="24"/>
      <x:c r="H336" s="26"/>
    </x:row>
    <x:row r="337">
      <x:c r="D337" s="22"/>
      <x:c r="F337" s="24"/>
      <x:c r="H337" s="26"/>
    </x:row>
    <x:row r="338">
      <x:c r="D338" s="22"/>
      <x:c r="F338" s="24"/>
      <x:c r="H338" s="26"/>
    </x:row>
    <x:row r="339">
      <x:c r="D339" s="22"/>
      <x:c r="F339" s="24"/>
      <x:c r="H339" s="26"/>
    </x:row>
    <x:row r="340">
      <x:c r="D340" s="22"/>
      <x:c r="F340" s="24"/>
      <x:c r="H340" s="26"/>
    </x:row>
    <x:row r="341">
      <x:c r="D341" s="22"/>
      <x:c r="F341" s="24"/>
      <x:c r="H341" s="26"/>
    </x:row>
    <x:row r="342">
      <x:c r="D342" s="22"/>
      <x:c r="F342" s="24"/>
      <x:c r="H342" s="26"/>
    </x:row>
    <x:row r="343">
      <x:c r="D343" s="22"/>
      <x:c r="F343" s="24"/>
      <x:c r="H343" s="26"/>
    </x:row>
    <x:row r="344">
      <x:c r="D344" s="22"/>
      <x:c r="F344" s="24"/>
      <x:c r="H344" s="26"/>
    </x:row>
    <x:row r="345">
      <x:c r="D345" s="22"/>
      <x:c r="F345" s="24"/>
      <x:c r="H345" s="26"/>
    </x:row>
    <x:row r="346">
      <x:c r="D346" s="22"/>
      <x:c r="F346" s="24"/>
      <x:c r="H346" s="26"/>
    </x:row>
    <x:row r="347">
      <x:c r="D347" s="22"/>
      <x:c r="F347" s="24"/>
      <x:c r="H347" s="26"/>
    </x:row>
    <x:row r="348">
      <x:c r="D348" s="22"/>
      <x:c r="F348" s="24"/>
      <x:c r="H348" s="26"/>
    </x:row>
    <x:row r="349">
      <x:c r="D349" s="22"/>
      <x:c r="F349" s="24"/>
      <x:c r="H349" s="26"/>
    </x:row>
    <x:row r="350">
      <x:c r="D350" s="22"/>
      <x:c r="F350" s="24"/>
      <x:c r="H350" s="26"/>
    </x:row>
    <x:row r="351">
      <x:c r="D351" s="22"/>
      <x:c r="F351" s="24"/>
      <x:c r="H351" s="26"/>
    </x:row>
    <x:row r="352">
      <x:c r="D352" s="22"/>
      <x:c r="F352" s="24"/>
      <x:c r="H352" s="26"/>
    </x:row>
    <x:row r="353">
      <x:c r="D353" s="22"/>
      <x:c r="F353" s="24"/>
      <x:c r="H353" s="26"/>
    </x:row>
    <x:row r="354">
      <x:c r="D354" s="22"/>
      <x:c r="F354" s="24"/>
      <x:c r="H354" s="26"/>
    </x:row>
    <x:row r="355">
      <x:c r="D355" s="22"/>
      <x:c r="F355" s="24"/>
      <x:c r="H355" s="26"/>
    </x:row>
    <x:row r="356">
      <x:c r="D356" s="22"/>
      <x:c r="F356" s="24"/>
      <x:c r="H356" s="26"/>
    </x:row>
    <x:row r="357">
      <x:c r="D357" s="22"/>
      <x:c r="F357" s="24"/>
      <x:c r="H357" s="26"/>
    </x:row>
    <x:row r="358">
      <x:c r="D358" s="22"/>
      <x:c r="F358" s="24"/>
      <x:c r="H358" s="26"/>
    </x:row>
    <x:row r="359">
      <x:c r="D359" s="22"/>
      <x:c r="F359" s="24"/>
      <x:c r="H359" s="26"/>
    </x:row>
    <x:row r="360">
      <x:c r="D360" s="22"/>
      <x:c r="F360" s="24"/>
      <x:c r="H360" s="26"/>
    </x:row>
    <x:row r="361">
      <x:c r="D361" s="22"/>
      <x:c r="F361" s="24"/>
      <x:c r="H361" s="26"/>
    </x:row>
    <x:row r="362">
      <x:c r="D362" s="22"/>
      <x:c r="F362" s="24"/>
      <x:c r="H362" s="26"/>
    </x:row>
    <x:row r="363">
      <x:c r="D363" s="22"/>
      <x:c r="F363" s="24"/>
      <x:c r="H363" s="26"/>
    </x:row>
    <x:row r="364">
      <x:c r="D364" s="22"/>
      <x:c r="F364" s="24"/>
      <x:c r="H364" s="26"/>
    </x:row>
    <x:row r="365">
      <x:c r="D365" s="22"/>
      <x:c r="F365" s="24"/>
      <x:c r="H365" s="26"/>
    </x:row>
    <x:row r="366">
      <x:c r="D366" s="22"/>
      <x:c r="F366" s="24"/>
      <x:c r="H366" s="26"/>
    </x:row>
    <x:row r="367">
      <x:c r="D367" s="22"/>
      <x:c r="F367" s="24"/>
      <x:c r="H367" s="26"/>
    </x:row>
    <x:row r="368">
      <x:c r="D368" s="22"/>
      <x:c r="F368" s="24"/>
      <x:c r="H368" s="26"/>
    </x:row>
    <x:row r="369">
      <x:c r="D369" s="22"/>
      <x:c r="F369" s="24"/>
      <x:c r="H369" s="26"/>
    </x:row>
    <x:row r="370">
      <x:c r="D370" s="22"/>
      <x:c r="F370" s="24"/>
      <x:c r="H370" s="26"/>
    </x:row>
    <x:row r="371">
      <x:c r="D371" s="22"/>
      <x:c r="F371" s="24"/>
      <x:c r="H371" s="26"/>
    </x:row>
    <x:row r="372">
      <x:c r="D372" s="22"/>
      <x:c r="F372" s="24"/>
      <x:c r="H372" s="26"/>
    </x:row>
    <x:row r="373">
      <x:c r="D373" s="22"/>
      <x:c r="F373" s="24"/>
      <x:c r="H373" s="26"/>
    </x:row>
    <x:row r="374">
      <x:c r="D374" s="22"/>
      <x:c r="F374" s="24"/>
      <x:c r="H374" s="26"/>
    </x:row>
    <x:row r="375">
      <x:c r="D375" s="22"/>
      <x:c r="F375" s="24"/>
      <x:c r="H375" s="26"/>
    </x:row>
    <x:row r="376">
      <x:c r="D376" s="22"/>
      <x:c r="F376" s="24"/>
      <x:c r="H376" s="26"/>
    </x:row>
    <x:row r="377">
      <x:c r="D377" s="22"/>
      <x:c r="F377" s="24"/>
      <x:c r="H377" s="26"/>
    </x:row>
    <x:row r="378">
      <x:c r="D378" s="22"/>
      <x:c r="F378" s="24"/>
      <x:c r="H378" s="26"/>
    </x:row>
    <x:row r="379">
      <x:c r="D379" s="22"/>
      <x:c r="F379" s="24"/>
      <x:c r="H379" s="26"/>
    </x:row>
    <x:row r="380">
      <x:c r="D380" s="22"/>
      <x:c r="F380" s="24"/>
      <x:c r="H380" s="26"/>
    </x:row>
    <x:row r="381">
      <x:c r="D381" s="22"/>
      <x:c r="F381" s="24"/>
      <x:c r="H381" s="26"/>
    </x:row>
    <x:row r="382">
      <x:c r="D382" s="22"/>
      <x:c r="F382" s="24"/>
      <x:c r="H382" s="26"/>
    </x:row>
    <x:row r="383">
      <x:c r="D383" s="22"/>
      <x:c r="F383" s="24"/>
      <x:c r="H383" s="26"/>
    </x:row>
    <x:row r="384">
      <x:c r="D384" s="22"/>
      <x:c r="F384" s="24"/>
      <x:c r="H384" s="26"/>
    </x:row>
    <x:row r="385">
      <x:c r="D385" s="22"/>
      <x:c r="F385" s="24"/>
      <x:c r="H385" s="26"/>
    </x:row>
    <x:row r="386">
      <x:c r="D386" s="22"/>
      <x:c r="F386" s="24"/>
      <x:c r="H386" s="26"/>
    </x:row>
    <x:row r="387">
      <x:c r="D387" s="22"/>
      <x:c r="F387" s="24"/>
      <x:c r="H387" s="26"/>
    </x:row>
    <x:row r="388">
      <x:c r="D388" s="22"/>
      <x:c r="F388" s="24"/>
      <x:c r="H388" s="26"/>
    </x:row>
    <x:row r="389">
      <x:c r="D389" s="22"/>
      <x:c r="F389" s="24"/>
      <x:c r="H389" s="26"/>
    </x:row>
    <x:row r="390">
      <x:c r="D390" s="22"/>
      <x:c r="F390" s="24"/>
      <x:c r="H390" s="26"/>
    </x:row>
    <x:row r="391">
      <x:c r="D391" s="22"/>
      <x:c r="F391" s="24"/>
      <x:c r="H391" s="26"/>
    </x:row>
    <x:row r="392">
      <x:c r="D392" s="22"/>
      <x:c r="F392" s="24"/>
      <x:c r="H392" s="26"/>
    </x:row>
    <x:row r="393">
      <x:c r="D393" s="22"/>
      <x:c r="F393" s="24"/>
      <x:c r="H393" s="26"/>
    </x:row>
    <x:row r="394">
      <x:c r="D394" s="22"/>
      <x:c r="F394" s="24"/>
      <x:c r="H394" s="26"/>
    </x:row>
    <x:row r="395">
      <x:c r="D395" s="22"/>
      <x:c r="F395" s="24"/>
      <x:c r="H395" s="26"/>
    </x:row>
    <x:row r="396">
      <x:c r="D396" s="22"/>
      <x:c r="F396" s="24"/>
      <x:c r="H396" s="26"/>
    </x:row>
    <x:row r="397">
      <x:c r="D397" s="22"/>
      <x:c r="F397" s="24"/>
      <x:c r="H397" s="26"/>
    </x:row>
    <x:row r="398">
      <x:c r="D398" s="22"/>
      <x:c r="F398" s="24"/>
      <x:c r="H398" s="26"/>
    </x:row>
    <x:row r="399">
      <x:c r="D399" s="22"/>
      <x:c r="F399" s="24"/>
      <x:c r="H399" s="26"/>
    </x:row>
    <x:row r="400">
      <x:c r="D400" s="22"/>
      <x:c r="F400" s="24"/>
      <x:c r="H400" s="26"/>
    </x:row>
    <x:row r="401">
      <x:c r="D401" s="22"/>
      <x:c r="F401" s="24"/>
      <x:c r="H401" s="26"/>
    </x:row>
    <x:row r="402">
      <x:c r="D402" s="22"/>
      <x:c r="F402" s="24"/>
      <x:c r="H402" s="26"/>
    </x:row>
    <x:row r="403">
      <x:c r="D403" s="22"/>
      <x:c r="F403" s="24"/>
      <x:c r="H403" s="26"/>
    </x:row>
    <x:row r="404">
      <x:c r="D404" s="22"/>
      <x:c r="F404" s="24"/>
      <x:c r="H404" s="26"/>
    </x:row>
    <x:row r="405">
      <x:c r="D405" s="22"/>
      <x:c r="F405" s="24"/>
      <x:c r="H405" s="26"/>
    </x:row>
    <x:row r="406">
      <x:c r="D406" s="22"/>
      <x:c r="F406" s="24"/>
      <x:c r="H406" s="26"/>
    </x:row>
    <x:row r="407">
      <x:c r="D407" s="22"/>
      <x:c r="F407" s="24"/>
      <x:c r="H407" s="26"/>
    </x:row>
    <x:row r="408">
      <x:c r="D408" s="22"/>
      <x:c r="F408" s="24"/>
      <x:c r="H408" s="26"/>
    </x:row>
    <x:row r="409">
      <x:c r="D409" s="22"/>
      <x:c r="F409" s="24"/>
      <x:c r="H409" s="26"/>
    </x:row>
    <x:row r="410">
      <x:c r="D410" s="22"/>
      <x:c r="F410" s="24"/>
      <x:c r="H410" s="26"/>
    </x:row>
    <x:row r="411">
      <x:c r="D411" s="22"/>
      <x:c r="F411" s="24"/>
      <x:c r="H411" s="26"/>
    </x:row>
    <x:row r="412">
      <x:c r="D412" s="22"/>
      <x:c r="F412" s="24"/>
      <x:c r="H412" s="26"/>
    </x:row>
    <x:row r="413">
      <x:c r="D413" s="22"/>
      <x:c r="F413" s="24"/>
      <x:c r="H413" s="26"/>
    </x:row>
    <x:row r="414">
      <x:c r="D414" s="22"/>
      <x:c r="F414" s="24"/>
      <x:c r="H414" s="26"/>
    </x:row>
    <x:row r="415">
      <x:c r="D415" s="22"/>
      <x:c r="F415" s="24"/>
      <x:c r="H415" s="26"/>
    </x:row>
    <x:row r="416">
      <x:c r="D416" s="22"/>
      <x:c r="F416" s="24"/>
      <x:c r="H416" s="26"/>
    </x:row>
    <x:row r="417">
      <x:c r="D417" s="22"/>
      <x:c r="F417" s="24"/>
      <x:c r="H417" s="26"/>
    </x:row>
    <x:row r="418">
      <x:c r="D418" s="22"/>
      <x:c r="F418" s="24"/>
      <x:c r="H418" s="26"/>
    </x:row>
    <x:row r="419">
      <x:c r="D419" s="22"/>
      <x:c r="F419" s="24"/>
      <x:c r="H419" s="26"/>
    </x:row>
    <x:row r="420">
      <x:c r="D420" s="22"/>
      <x:c r="F420" s="24"/>
      <x:c r="H420" s="26"/>
    </x:row>
    <x:row r="421">
      <x:c r="D421" s="22"/>
      <x:c r="F421" s="24"/>
      <x:c r="H421" s="26"/>
    </x:row>
    <x:row r="422">
      <x:c r="D422" s="22"/>
      <x:c r="F422" s="24"/>
      <x:c r="H422" s="26"/>
    </x:row>
    <x:row r="423">
      <x:c r="D423" s="22"/>
      <x:c r="F423" s="24"/>
      <x:c r="H423" s="26"/>
    </x:row>
    <x:row r="424">
      <x:c r="D424" s="22"/>
      <x:c r="F424" s="24"/>
      <x:c r="H424" s="26"/>
    </x:row>
    <x:row r="425">
      <x:c r="D425" s="22"/>
      <x:c r="F425" s="24"/>
      <x:c r="H425" s="26"/>
    </x:row>
    <x:row r="426">
      <x:c r="D426" s="22"/>
      <x:c r="F426" s="24"/>
      <x:c r="H426" s="26"/>
    </x:row>
    <x:row r="427">
      <x:c r="D427" s="22"/>
      <x:c r="F427" s="24"/>
      <x:c r="H427" s="26"/>
    </x:row>
    <x:row r="428">
      <x:c r="D428" s="22"/>
      <x:c r="F428" s="24"/>
      <x:c r="H428" s="26"/>
    </x:row>
    <x:row r="429">
      <x:c r="D429" s="22"/>
      <x:c r="F429" s="24"/>
      <x:c r="H429" s="26"/>
    </x:row>
    <x:row r="430">
      <x:c r="D430" s="22"/>
      <x:c r="F430" s="24"/>
      <x:c r="H430" s="26"/>
    </x:row>
    <x:row r="431">
      <x:c r="D431" s="22"/>
      <x:c r="F431" s="24"/>
      <x:c r="H431" s="26"/>
    </x:row>
    <x:row r="432">
      <x:c r="D432" s="22"/>
      <x:c r="F432" s="24"/>
      <x:c r="H432" s="26"/>
    </x:row>
    <x:row r="433">
      <x:c r="D433" s="22"/>
      <x:c r="F433" s="24"/>
      <x:c r="H433" s="26"/>
    </x:row>
    <x:row r="434">
      <x:c r="D434" s="22"/>
      <x:c r="F434" s="24"/>
      <x:c r="H434" s="26"/>
    </x:row>
    <x:row r="435">
      <x:c r="D435" s="22"/>
      <x:c r="F435" s="24"/>
      <x:c r="H435" s="26"/>
    </x:row>
    <x:row r="436">
      <x:c r="D436" s="22"/>
      <x:c r="F436" s="24"/>
      <x:c r="H436" s="26"/>
    </x:row>
    <x:row r="437">
      <x:c r="D437" s="22"/>
      <x:c r="F437" s="24"/>
      <x:c r="H437" s="26"/>
    </x:row>
    <x:row r="438">
      <x:c r="D438" s="22"/>
      <x:c r="F438" s="24"/>
      <x:c r="H438" s="26"/>
    </x:row>
    <x:row r="439">
      <x:c r="D439" s="22"/>
      <x:c r="F439" s="24"/>
      <x:c r="H439" s="26"/>
    </x:row>
    <x:row r="440">
      <x:c r="D440" s="22"/>
      <x:c r="F440" s="24"/>
      <x:c r="H440" s="26"/>
    </x:row>
    <x:row r="441">
      <x:c r="D441" s="22"/>
      <x:c r="F441" s="24"/>
      <x:c r="H441" s="26"/>
    </x:row>
    <x:row r="442">
      <x:c r="D442" s="22"/>
      <x:c r="F442" s="24"/>
      <x:c r="H442" s="26"/>
    </x:row>
    <x:row r="443">
      <x:c r="D443" s="22"/>
      <x:c r="F443" s="24"/>
      <x:c r="H443" s="26"/>
    </x:row>
    <x:row r="444">
      <x:c r="D444" s="22"/>
      <x:c r="F444" s="24"/>
      <x:c r="H444" s="26"/>
    </x:row>
    <x:row r="445">
      <x:c r="D445" s="22"/>
      <x:c r="F445" s="24"/>
      <x:c r="H445" s="26"/>
    </x:row>
    <x:row r="446">
      <x:c r="D446" s="22"/>
      <x:c r="F446" s="24"/>
      <x:c r="H446" s="26"/>
    </x:row>
    <x:row r="447">
      <x:c r="D447" s="22"/>
      <x:c r="F447" s="24"/>
      <x:c r="H447" s="26"/>
    </x:row>
    <x:row r="448">
      <x:c r="D448" s="22"/>
      <x:c r="F448" s="24"/>
      <x:c r="H448" s="26"/>
    </x:row>
    <x:row r="449">
      <x:c r="D449" s="22"/>
      <x:c r="F449" s="24"/>
      <x:c r="H449" s="26"/>
    </x:row>
    <x:row r="450">
      <x:c r="D450" s="22"/>
      <x:c r="F450" s="24"/>
      <x:c r="H450" s="26"/>
    </x:row>
    <x:row r="451">
      <x:c r="D451" s="22"/>
      <x:c r="F451" s="24"/>
      <x:c r="H451" s="26"/>
    </x:row>
    <x:row r="452">
      <x:c r="D452" s="22"/>
      <x:c r="F452" s="24"/>
      <x:c r="H452" s="26"/>
    </x:row>
    <x:row r="453">
      <x:c r="D453" s="22"/>
      <x:c r="F453" s="24"/>
      <x:c r="H453" s="26"/>
    </x:row>
    <x:row r="454">
      <x:c r="D454" s="22"/>
      <x:c r="F454" s="24"/>
      <x:c r="H454" s="26"/>
    </x:row>
    <x:row r="455">
      <x:c r="D455" s="22"/>
      <x:c r="F455" s="24"/>
      <x:c r="H455" s="26"/>
    </x:row>
    <x:row r="456">
      <x:c r="D456" s="22"/>
      <x:c r="F456" s="24"/>
      <x:c r="H456" s="26"/>
    </x:row>
    <x:row r="457">
      <x:c r="D457" s="22"/>
      <x:c r="F457" s="24"/>
      <x:c r="H457" s="26"/>
    </x:row>
    <x:row r="458">
      <x:c r="D458" s="22"/>
      <x:c r="F458" s="24"/>
      <x:c r="H458" s="26"/>
    </x:row>
    <x:row r="459">
      <x:c r="D459" s="22"/>
      <x:c r="F459" s="24"/>
      <x:c r="H459" s="26"/>
    </x:row>
    <x:row r="460">
      <x:c r="D460" s="22"/>
      <x:c r="F460" s="24"/>
      <x:c r="H460" s="26"/>
    </x:row>
    <x:row r="461">
      <x:c r="D461" s="22"/>
      <x:c r="F461" s="24"/>
      <x:c r="H461" s="26"/>
    </x:row>
    <x:row r="462">
      <x:c r="D462" s="22"/>
      <x:c r="F462" s="24"/>
      <x:c r="H462" s="26"/>
    </x:row>
    <x:row r="463">
      <x:c r="D463" s="22"/>
      <x:c r="F463" s="24"/>
      <x:c r="H463" s="26"/>
    </x:row>
    <x:row r="464">
      <x:c r="D464" s="22"/>
      <x:c r="F464" s="24"/>
      <x:c r="H464" s="26"/>
    </x:row>
    <x:row r="465">
      <x:c r="D465" s="22"/>
      <x:c r="F465" s="24"/>
      <x:c r="H465" s="26"/>
    </x:row>
    <x:row r="466">
      <x:c r="D466" s="22"/>
      <x:c r="F466" s="24"/>
      <x:c r="H466" s="26"/>
    </x:row>
    <x:row r="467">
      <x:c r="D467" s="22"/>
      <x:c r="F467" s="24"/>
      <x:c r="H467" s="26"/>
    </x:row>
    <x:row r="468">
      <x:c r="D468" s="22"/>
      <x:c r="F468" s="24"/>
      <x:c r="H468" s="26"/>
    </x:row>
    <x:row r="469">
      <x:c r="D469" s="22"/>
      <x:c r="F469" s="24"/>
      <x:c r="H469" s="26"/>
    </x:row>
    <x:row r="470">
      <x:c r="D470" s="22"/>
      <x:c r="F470" s="24"/>
      <x:c r="H470" s="26"/>
    </x:row>
    <x:row r="471">
      <x:c r="D471" s="22"/>
      <x:c r="F471" s="24"/>
      <x:c r="H471" s="26"/>
    </x:row>
    <x:row r="472">
      <x:c r="D472" s="22"/>
      <x:c r="F472" s="24"/>
      <x:c r="H472" s="26"/>
    </x:row>
    <x:row r="473">
      <x:c r="D473" s="22"/>
      <x:c r="F473" s="24"/>
      <x:c r="H473" s="26"/>
    </x:row>
    <x:row r="474">
      <x:c r="D474" s="22"/>
      <x:c r="F474" s="24"/>
      <x:c r="H474" s="26"/>
    </x:row>
    <x:row r="475">
      <x:c r="D475" s="22"/>
      <x:c r="F475" s="24"/>
      <x:c r="H475" s="26"/>
    </x:row>
    <x:row r="476">
      <x:c r="D476" s="22"/>
      <x:c r="F476" s="24"/>
      <x:c r="H476" s="26"/>
    </x:row>
    <x:row r="477">
      <x:c r="D477" s="22"/>
      <x:c r="F477" s="24"/>
      <x:c r="H477" s="26"/>
    </x:row>
    <x:row r="478">
      <x:c r="D478" s="22"/>
      <x:c r="F478" s="24"/>
      <x:c r="H478" s="26"/>
    </x:row>
    <x:row r="479">
      <x:c r="D479" s="22"/>
      <x:c r="F479" s="24"/>
      <x:c r="H479" s="26"/>
    </x:row>
    <x:row r="480">
      <x:c r="D480" s="22"/>
      <x:c r="F480" s="24"/>
      <x:c r="H480" s="26"/>
    </x:row>
    <x:row r="481">
      <x:c r="D481" s="22"/>
      <x:c r="F481" s="24"/>
      <x:c r="H481" s="26"/>
    </x:row>
    <x:row r="482">
      <x:c r="D482" s="22"/>
      <x:c r="F482" s="24"/>
      <x:c r="H482" s="26"/>
    </x:row>
    <x:row r="483">
      <x:c r="D483" s="22"/>
      <x:c r="F483" s="24"/>
      <x:c r="H483" s="26"/>
    </x:row>
    <x:row r="484">
      <x:c r="D484" s="22"/>
      <x:c r="F484" s="24"/>
      <x:c r="H484" s="26"/>
    </x:row>
    <x:row r="485">
      <x:c r="D485" s="22"/>
      <x:c r="F485" s="24"/>
      <x:c r="H485" s="26"/>
    </x:row>
    <x:row r="486">
      <x:c r="D486" s="22"/>
      <x:c r="F486" s="24"/>
      <x:c r="H486" s="26"/>
    </x:row>
    <x:row r="487">
      <x:c r="D487" s="22"/>
      <x:c r="F487" s="24"/>
      <x:c r="H487" s="26"/>
    </x:row>
    <x:row r="488">
      <x:c r="D488" s="22"/>
      <x:c r="F488" s="24"/>
      <x:c r="H488" s="26"/>
    </x:row>
    <x:row r="489">
      <x:c r="D489" s="22"/>
      <x:c r="F489" s="24"/>
      <x:c r="H489" s="26"/>
    </x:row>
    <x:row r="490">
      <x:c r="D490" s="22"/>
      <x:c r="F490" s="24"/>
      <x:c r="H490" s="26"/>
    </x:row>
    <x:row r="491">
      <x:c r="D491" s="22"/>
      <x:c r="F491" s="24"/>
      <x:c r="H491" s="26"/>
    </x:row>
    <x:row r="492">
      <x:c r="D492" s="22"/>
      <x:c r="F492" s="24"/>
      <x:c r="H492" s="26"/>
    </x:row>
    <x:row r="493">
      <x:c r="D493" s="22"/>
      <x:c r="F493" s="24"/>
      <x:c r="H493" s="26"/>
    </x:row>
    <x:row r="494">
      <x:c r="D494" s="22"/>
      <x:c r="F494" s="24"/>
      <x:c r="H494" s="26"/>
    </x:row>
    <x:row r="495">
      <x:c r="D495" s="22"/>
      <x:c r="F495" s="24"/>
      <x:c r="H495" s="26"/>
    </x:row>
    <x:row r="496">
      <x:c r="D496" s="22"/>
      <x:c r="F496" s="24"/>
      <x:c r="H496" s="26"/>
    </x:row>
    <x:row r="497">
      <x:c r="D497" s="22"/>
      <x:c r="F497" s="24"/>
      <x:c r="H497" s="26"/>
    </x:row>
    <x:row r="498">
      <x:c r="D498" s="22"/>
      <x:c r="F498" s="24"/>
      <x:c r="H498" s="26"/>
    </x:row>
    <x:row r="499">
      <x:c r="D499" s="22"/>
      <x:c r="F499" s="24"/>
      <x:c r="H499" s="26"/>
    </x:row>
    <x:row r="500">
      <x:c r="D500" s="22"/>
      <x:c r="F500" s="24"/>
      <x:c r="H500" s="26"/>
    </x:row>
    <x:row r="501">
      <x:c r="D501" s="22"/>
      <x:c r="F501" s="24"/>
      <x:c r="H501" s="26"/>
    </x:row>
    <x:row r="502">
      <x:c r="D502" s="22"/>
      <x:c r="F502" s="24"/>
      <x:c r="H502" s="26"/>
    </x:row>
    <x:row r="503">
      <x:c r="D503" s="22"/>
      <x:c r="F503" s="24"/>
      <x:c r="H503" s="26"/>
    </x:row>
    <x:row r="504">
      <x:c r="D504" s="22"/>
      <x:c r="F504" s="24"/>
      <x:c r="H504" s="26"/>
    </x:row>
    <x:row r="505">
      <x:c r="D505" s="22"/>
      <x:c r="F505" s="24"/>
      <x:c r="H505" s="26"/>
    </x:row>
    <x:row r="506">
      <x:c r="D506" s="22"/>
      <x:c r="F506" s="24"/>
      <x:c r="H506" s="26"/>
    </x:row>
    <x:row r="507">
      <x:c r="D507" s="22"/>
      <x:c r="F507" s="24"/>
      <x:c r="H507" s="26"/>
    </x:row>
    <x:row r="508">
      <x:c r="D508" s="22"/>
      <x:c r="F508" s="24"/>
      <x:c r="H508" s="26"/>
    </x:row>
    <x:row r="509">
      <x:c r="D509" s="22"/>
      <x:c r="F509" s="24"/>
      <x:c r="H509" s="26"/>
    </x:row>
    <x:row r="510">
      <x:c r="D510" s="22"/>
      <x:c r="F510" s="24"/>
      <x:c r="H510" s="26"/>
    </x:row>
    <x:row r="511">
      <x:c r="D511" s="22"/>
      <x:c r="F511" s="24"/>
      <x:c r="H511" s="26"/>
    </x:row>
    <x:row r="512">
      <x:c r="D512" s="22"/>
      <x:c r="F512" s="24"/>
      <x:c r="H512" s="26"/>
    </x:row>
    <x:row r="513">
      <x:c r="D513" s="22"/>
      <x:c r="F513" s="24"/>
      <x:c r="H513" s="26"/>
    </x:row>
    <x:row r="514">
      <x:c r="D514" s="22"/>
      <x:c r="F514" s="24"/>
      <x:c r="H514" s="26"/>
    </x:row>
    <x:row r="515">
      <x:c r="D515" s="22"/>
      <x:c r="F515" s="24"/>
      <x:c r="H515" s="26"/>
    </x:row>
    <x:row r="516">
      <x:c r="D516" s="22"/>
      <x:c r="F516" s="24"/>
      <x:c r="H516" s="26"/>
    </x:row>
    <x:row r="517">
      <x:c r="D517" s="22"/>
      <x:c r="F517" s="24"/>
      <x:c r="H517" s="26"/>
    </x:row>
    <x:row r="518">
      <x:c r="D518" s="22"/>
      <x:c r="F518" s="24"/>
      <x:c r="H518" s="26"/>
    </x:row>
    <x:row r="519">
      <x:c r="D519" s="22"/>
      <x:c r="F519" s="24"/>
      <x:c r="H519" s="26"/>
    </x:row>
    <x:row r="520">
      <x:c r="D520" s="22"/>
      <x:c r="F520" s="24"/>
      <x:c r="H520" s="26"/>
    </x:row>
    <x:row r="521">
      <x:c r="D521" s="22"/>
      <x:c r="F521" s="24"/>
      <x:c r="H521" s="26"/>
    </x:row>
    <x:row r="522">
      <x:c r="D522" s="22"/>
      <x:c r="F522" s="24"/>
      <x:c r="H522" s="26"/>
    </x:row>
    <x:row r="523">
      <x:c r="D523" s="22"/>
      <x:c r="F523" s="24"/>
      <x:c r="H523" s="26"/>
    </x:row>
    <x:row r="524">
      <x:c r="D524" s="22"/>
      <x:c r="F524" s="24"/>
      <x:c r="H524" s="26"/>
    </x:row>
    <x:row r="525">
      <x:c r="D525" s="22"/>
      <x:c r="F525" s="24"/>
      <x:c r="H525" s="26"/>
    </x:row>
    <x:row r="526">
      <x:c r="D526" s="22"/>
      <x:c r="F526" s="24"/>
      <x:c r="H526" s="26"/>
    </x:row>
    <x:row r="527">
      <x:c r="D527" s="22"/>
      <x:c r="F527" s="24"/>
      <x:c r="H527" s="26"/>
    </x:row>
    <x:row r="528">
      <x:c r="D528" s="22"/>
      <x:c r="F528" s="24"/>
      <x:c r="H528" s="26"/>
    </x:row>
    <x:row r="529">
      <x:c r="D529" s="22"/>
      <x:c r="F529" s="24"/>
      <x:c r="H529" s="26"/>
    </x:row>
    <x:row r="530">
      <x:c r="D530" s="22"/>
      <x:c r="F530" s="24"/>
      <x:c r="H530" s="26"/>
    </x:row>
    <x:row r="531">
      <x:c r="D531" s="22"/>
      <x:c r="F531" s="24"/>
      <x:c r="H531" s="26"/>
    </x:row>
    <x:row r="532">
      <x:c r="D532" s="22"/>
      <x:c r="F532" s="24"/>
      <x:c r="H532" s="26"/>
    </x:row>
    <x:row r="533">
      <x:c r="D533" s="22"/>
      <x:c r="F533" s="24"/>
      <x:c r="H533" s="26"/>
    </x:row>
    <x:row r="534">
      <x:c r="D534" s="22"/>
      <x:c r="F534" s="24"/>
      <x:c r="H534" s="26"/>
    </x:row>
    <x:row r="535">
      <x:c r="D535" s="22"/>
      <x:c r="F535" s="24"/>
      <x:c r="H535" s="26"/>
    </x:row>
    <x:row r="536">
      <x:c r="D536" s="22"/>
      <x:c r="F536" s="24"/>
      <x:c r="H536" s="26"/>
    </x:row>
    <x:row r="537">
      <x:c r="D537" s="22"/>
      <x:c r="F537" s="24"/>
      <x:c r="H537" s="26"/>
    </x:row>
    <x:row r="538">
      <x:c r="D538" s="22"/>
      <x:c r="F538" s="24"/>
      <x:c r="H538" s="26"/>
    </x:row>
    <x:row r="539">
      <x:c r="D539" s="22"/>
      <x:c r="F539" s="24"/>
      <x:c r="H539" s="26"/>
    </x:row>
    <x:row r="540">
      <x:c r="D540" s="22"/>
      <x:c r="F540" s="24"/>
      <x:c r="H540" s="26"/>
    </x:row>
    <x:row r="541">
      <x:c r="D541" s="22"/>
      <x:c r="F541" s="24"/>
      <x:c r="H541" s="26"/>
    </x:row>
    <x:row r="542">
      <x:c r="D542" s="22"/>
      <x:c r="F542" s="24"/>
      <x:c r="H542" s="26"/>
    </x:row>
    <x:row r="543">
      <x:c r="D543" s="22"/>
      <x:c r="F543" s="24"/>
      <x:c r="H543" s="26"/>
    </x:row>
    <x:row r="544">
      <x:c r="D544" s="22"/>
      <x:c r="F544" s="24"/>
      <x:c r="H544" s="26"/>
    </x:row>
    <x:row r="545">
      <x:c r="D545" s="22"/>
      <x:c r="F545" s="24"/>
      <x:c r="H545" s="26"/>
    </x:row>
    <x:row r="546">
      <x:c r="D546" s="22"/>
      <x:c r="F546" s="24"/>
      <x:c r="H546" s="26"/>
    </x:row>
    <x:row r="547">
      <x:c r="D547" s="22"/>
      <x:c r="F547" s="24"/>
      <x:c r="H547" s="26"/>
    </x:row>
    <x:row r="548">
      <x:c r="D548" s="22"/>
      <x:c r="F548" s="24"/>
      <x:c r="H548" s="26"/>
    </x:row>
    <x:row r="549">
      <x:c r="D549" s="22"/>
      <x:c r="F549" s="24"/>
      <x:c r="H549" s="26"/>
    </x:row>
    <x:row r="550">
      <x:c r="D550" s="22"/>
      <x:c r="F550" s="24"/>
      <x:c r="H550" s="26"/>
    </x:row>
    <x:row r="551">
      <x:c r="D551" s="22"/>
      <x:c r="F551" s="24"/>
      <x:c r="H551" s="26"/>
    </x:row>
    <x:row r="552">
      <x:c r="D552" s="22"/>
      <x:c r="F552" s="24"/>
      <x:c r="H552" s="26"/>
    </x:row>
    <x:row r="553">
      <x:c r="D553" s="22"/>
      <x:c r="F553" s="24"/>
      <x:c r="H553" s="26"/>
    </x:row>
    <x:row r="554">
      <x:c r="D554" s="22"/>
      <x:c r="F554" s="24"/>
      <x:c r="H554" s="26"/>
    </x:row>
    <x:row r="555">
      <x:c r="D555" s="22"/>
      <x:c r="F555" s="24"/>
      <x:c r="H555" s="26"/>
    </x:row>
    <x:row r="556">
      <x:c r="D556" s="22"/>
      <x:c r="F556" s="24"/>
      <x:c r="H556" s="26"/>
    </x:row>
    <x:row r="557">
      <x:c r="D557" s="22"/>
      <x:c r="F557" s="24"/>
      <x:c r="H557" s="26"/>
    </x:row>
    <x:row r="558">
      <x:c r="D558" s="22"/>
      <x:c r="F558" s="24"/>
      <x:c r="H558" s="26"/>
    </x:row>
    <x:row r="559">
      <x:c r="D559" s="22"/>
      <x:c r="F559" s="24"/>
      <x:c r="H559" s="26"/>
    </x:row>
    <x:row r="560">
      <x:c r="D560" s="22"/>
      <x:c r="F560" s="24"/>
      <x:c r="H560" s="26"/>
    </x:row>
    <x:row r="561">
      <x:c r="D561" s="22"/>
      <x:c r="F561" s="24"/>
      <x:c r="H561" s="26"/>
    </x:row>
    <x:row r="562">
      <x:c r="D562" s="22"/>
      <x:c r="F562" s="24"/>
      <x:c r="H562" s="26"/>
    </x:row>
    <x:row r="563">
      <x:c r="D563" s="22"/>
      <x:c r="F563" s="24"/>
      <x:c r="H563" s="26"/>
    </x:row>
    <x:row r="564">
      <x:c r="D564" s="22"/>
      <x:c r="F564" s="24"/>
      <x:c r="H564" s="26"/>
    </x:row>
    <x:row r="565">
      <x:c r="D565" s="22"/>
      <x:c r="F565" s="24"/>
      <x:c r="H565" s="26"/>
    </x:row>
    <x:row r="566">
      <x:c r="D566" s="22"/>
      <x:c r="F566" s="24"/>
      <x:c r="H566" s="26"/>
    </x:row>
    <x:row r="567">
      <x:c r="D567" s="22"/>
      <x:c r="F567" s="24"/>
      <x:c r="H567" s="26"/>
    </x:row>
    <x:row r="568">
      <x:c r="D568" s="22"/>
      <x:c r="F568" s="24"/>
      <x:c r="H568" s="26"/>
    </x:row>
    <x:row r="569">
      <x:c r="D569" s="22"/>
      <x:c r="F569" s="24"/>
      <x:c r="H569" s="26"/>
    </x:row>
    <x:row r="570">
      <x:c r="D570" s="22"/>
      <x:c r="F570" s="24"/>
      <x:c r="H570" s="26"/>
    </x:row>
    <x:row r="571">
      <x:c r="D571" s="22"/>
      <x:c r="F571" s="24"/>
      <x:c r="H571" s="26"/>
    </x:row>
    <x:row r="572">
      <x:c r="D572" s="22"/>
      <x:c r="F572" s="24"/>
      <x:c r="H572" s="26"/>
    </x:row>
    <x:row r="573">
      <x:c r="D573" s="22"/>
      <x:c r="F573" s="24"/>
      <x:c r="H573" s="26"/>
    </x:row>
    <x:row r="574">
      <x:c r="D574" s="22"/>
      <x:c r="F574" s="24"/>
      <x:c r="H574" s="26"/>
    </x:row>
    <x:row r="575">
      <x:c r="D575" s="22"/>
      <x:c r="F575" s="24"/>
      <x:c r="H575" s="26"/>
    </x:row>
    <x:row r="576">
      <x:c r="D576" s="22"/>
      <x:c r="F576" s="24"/>
      <x:c r="H576" s="26"/>
    </x:row>
    <x:row r="577">
      <x:c r="D577" s="22"/>
      <x:c r="F577" s="24"/>
      <x:c r="H577" s="26"/>
    </x:row>
    <x:row r="578">
      <x:c r="D578" s="22"/>
      <x:c r="F578" s="24"/>
      <x:c r="H578" s="26"/>
    </x:row>
    <x:row r="579">
      <x:c r="D579" s="22"/>
      <x:c r="F579" s="24"/>
      <x:c r="H579" s="26"/>
    </x:row>
    <x:row r="580">
      <x:c r="D580" s="22"/>
      <x:c r="F580" s="24"/>
      <x:c r="H580" s="26"/>
    </x:row>
    <x:row r="581">
      <x:c r="D581" s="22"/>
      <x:c r="F581" s="24"/>
      <x:c r="H581" s="26"/>
    </x:row>
    <x:row r="582">
      <x:c r="D582" s="22"/>
      <x:c r="F582" s="24"/>
      <x:c r="H582" s="26"/>
    </x:row>
    <x:row r="583">
      <x:c r="D583" s="22"/>
      <x:c r="F583" s="24"/>
      <x:c r="H583" s="26"/>
    </x:row>
    <x:row r="584">
      <x:c r="D584" s="22"/>
      <x:c r="F584" s="24"/>
      <x:c r="H584" s="26"/>
    </x:row>
    <x:row r="585">
      <x:c r="D585" s="22"/>
      <x:c r="F585" s="24"/>
      <x:c r="H585" s="26"/>
    </x:row>
    <x:row r="586">
      <x:c r="D586" s="22"/>
      <x:c r="F586" s="24"/>
      <x:c r="H586" s="26"/>
    </x:row>
    <x:row r="587">
      <x:c r="D587" s="22"/>
      <x:c r="F587" s="24"/>
      <x:c r="H587" s="26"/>
    </x:row>
    <x:row r="588">
      <x:c r="D588" s="22"/>
      <x:c r="F588" s="24"/>
      <x:c r="H588" s="26"/>
    </x:row>
    <x:row r="589">
      <x:c r="D589" s="22"/>
      <x:c r="F589" s="24"/>
      <x:c r="H589" s="26"/>
    </x:row>
    <x:row r="590">
      <x:c r="D590" s="22"/>
      <x:c r="F590" s="24"/>
      <x:c r="H590" s="26"/>
    </x:row>
    <x:row r="591">
      <x:c r="D591" s="22"/>
      <x:c r="F591" s="24"/>
      <x:c r="H591" s="26"/>
    </x:row>
    <x:row r="592">
      <x:c r="D592" s="22"/>
      <x:c r="F592" s="24"/>
      <x:c r="H592" s="26"/>
    </x:row>
    <x:row r="593">
      <x:c r="D593" s="22"/>
      <x:c r="F593" s="24"/>
      <x:c r="H593" s="26"/>
    </x:row>
    <x:row r="594">
      <x:c r="D594" s="22"/>
      <x:c r="F594" s="24"/>
      <x:c r="H594" s="26"/>
    </x:row>
    <x:row r="595">
      <x:c r="D595" s="22"/>
      <x:c r="F595" s="24"/>
      <x:c r="H595" s="26"/>
    </x:row>
    <x:row r="596">
      <x:c r="D596" s="22"/>
      <x:c r="F596" s="24"/>
      <x:c r="H596" s="26"/>
    </x:row>
    <x:row r="597">
      <x:c r="D597" s="22"/>
      <x:c r="F597" s="24"/>
      <x:c r="H597" s="26"/>
    </x:row>
    <x:row r="598">
      <x:c r="D598" s="22"/>
      <x:c r="F598" s="24"/>
      <x:c r="H598" s="26"/>
    </x:row>
    <x:row r="599">
      <x:c r="D599" s="22"/>
      <x:c r="F599" s="24"/>
      <x:c r="H599" s="26"/>
    </x:row>
    <x:row r="600">
      <x:c r="D600" s="22"/>
      <x:c r="F600" s="24"/>
      <x:c r="H600" s="26"/>
    </x:row>
    <x:row r="601">
      <x:c r="D601" s="22"/>
      <x:c r="F601" s="24"/>
      <x:c r="H601" s="26"/>
    </x:row>
    <x:row r="602">
      <x:c r="D602" s="22"/>
      <x:c r="F602" s="24"/>
      <x:c r="H602" s="26"/>
    </x:row>
    <x:row r="603">
      <x:c r="D603" s="22"/>
      <x:c r="F603" s="24"/>
      <x:c r="H603" s="26"/>
    </x:row>
    <x:row r="604">
      <x:c r="D604" s="22"/>
      <x:c r="F604" s="24"/>
      <x:c r="H604" s="26"/>
    </x:row>
  </x:sheetData>
  <x:dataValidations count="1">
    <x:dataValidation type="list" sqref="B5:B604">
      <x:formula1>"MPS,PPS,Exact"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22" hidden="0" customWidth="1"/>
    <x:col min="12" max="12" width="14" hidden="0" customWidth="1"/>
    <x:col min="13" max="13" width="14" hidden="0" customWidth="1"/>
    <x:col min="14" max="14" width="17" hidden="0" customWidth="1"/>
    <x:col min="15" max="15" width="17" hidden="0" customWidth="1"/>
    <x:col min="16" max="16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Job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1" t="str">
        <x:v>One row per submitted job. Record credits once, even if the job returns many qubits.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28" customHeight="1">
      <x:c r="A4" s="18" t="str">
        <x:v>Job ID</x:v>
      </x:c>
      <x:c r="B4" s="18" t="str">
        <x:v>Job key</x:v>
      </x:c>
      <x:c r="C4" s="18" t="str">
        <x:v>Qubits covered</x:v>
      </x:c>
      <x:c r="D4" s="18" t="str">
        <x:v>Method</x:v>
      </x:c>
      <x:c r="E4" s="18" t="str">
        <x:v>Device</x:v>
      </x:c>
      <x:c r="F4" s="18" t="str">
        <x:v>MPS χ</x:v>
      </x:c>
      <x:c r="G4" s="18" t="str">
        <x:v>PPS ε</x:v>
      </x:c>
      <x:c r="H4" s="18" t="str">
        <x:v>Transpile</x:v>
      </x:c>
      <x:c r="I4" s="18" t="str">
        <x:v>Status</x:v>
      </x:c>
      <x:c r="J4" s="18" t="str">
        <x:v>Started UTC</x:v>
      </x:c>
      <x:c r="K4" s="18" t="str">
        <x:v>Finished UTC</x:v>
      </x:c>
      <x:c r="L4" s="18" t="str">
        <x:v>Wall s</x:v>
      </x:c>
      <x:c r="M4" s="18" t="str">
        <x:v>Credits</x:v>
      </x:c>
      <x:c r="N4" s="18" t="str">
        <x:v>SDK version</x:v>
      </x:c>
      <x:c r="O4" s="18" t="str">
        <x:v>Kit version</x:v>
      </x:c>
      <x:c r="P4" s="18" t="str">
        <x:v>Error</x:v>
      </x:c>
    </x:row>
    <x:row r="5">
      <x:c r="A5" s="6"/>
      <x:c r="B5" s="6"/>
      <x:c r="C5" s="6"/>
      <x:c r="D5" s="6"/>
      <x:c r="E5" s="6"/>
      <x:c r="F5" s="6"/>
      <x:c r="G5" s="12"/>
      <x:c r="H5" s="6"/>
      <x:c r="I5" s="6"/>
      <x:c r="J5" s="25"/>
      <x:c r="K5" s="25"/>
      <x:c r="L5" s="8"/>
      <x:c r="M5" s="8"/>
      <x:c r="N5" s="6"/>
      <x:c r="O5" s="6"/>
      <x:c r="P5" s="6"/>
    </x:row>
    <x:row r="6">
      <x:c r="A6" s="6"/>
      <x:c r="B6" s="6"/>
      <x:c r="C6" s="6"/>
      <x:c r="D6" s="6"/>
      <x:c r="E6" s="6"/>
      <x:c r="F6" s="6"/>
      <x:c r="G6" s="12"/>
      <x:c r="H6" s="6"/>
      <x:c r="I6" s="6"/>
      <x:c r="J6" s="25"/>
      <x:c r="K6" s="25"/>
      <x:c r="L6" s="8"/>
      <x:c r="M6" s="8"/>
      <x:c r="N6" s="6"/>
      <x:c r="O6" s="6"/>
      <x:c r="P6" s="6"/>
    </x:row>
    <x:row r="7">
      <x:c r="A7" s="6"/>
      <x:c r="B7" s="6"/>
      <x:c r="C7" s="6"/>
      <x:c r="D7" s="6"/>
      <x:c r="E7" s="6"/>
      <x:c r="F7" s="6"/>
      <x:c r="G7" s="12"/>
      <x:c r="H7" s="6"/>
      <x:c r="I7" s="6"/>
      <x:c r="J7" s="25"/>
      <x:c r="K7" s="25"/>
      <x:c r="L7" s="8"/>
      <x:c r="M7" s="8"/>
      <x:c r="N7" s="6"/>
      <x:c r="O7" s="6"/>
      <x:c r="P7" s="6"/>
    </x:row>
    <x:row r="8">
      <x:c r="A8" s="6"/>
      <x:c r="B8" s="6"/>
      <x:c r="C8" s="6"/>
      <x:c r="D8" s="6"/>
      <x:c r="E8" s="6"/>
      <x:c r="F8" s="6"/>
      <x:c r="G8" s="12"/>
      <x:c r="H8" s="6"/>
      <x:c r="I8" s="6"/>
      <x:c r="J8" s="25"/>
      <x:c r="K8" s="25"/>
      <x:c r="L8" s="8"/>
      <x:c r="M8" s="8"/>
      <x:c r="N8" s="6"/>
      <x:c r="O8" s="6"/>
      <x:c r="P8" s="6"/>
    </x:row>
    <x:row r="9">
      <x:c r="A9" s="6"/>
      <x:c r="B9" s="6"/>
      <x:c r="C9" s="6"/>
      <x:c r="D9" s="6"/>
      <x:c r="E9" s="6"/>
      <x:c r="F9" s="6"/>
      <x:c r="G9" s="12"/>
      <x:c r="H9" s="6"/>
      <x:c r="I9" s="6"/>
      <x:c r="J9" s="25"/>
      <x:c r="K9" s="25"/>
      <x:c r="L9" s="8"/>
      <x:c r="M9" s="8"/>
      <x:c r="N9" s="6"/>
      <x:c r="O9" s="6"/>
      <x:c r="P9" s="6"/>
    </x:row>
    <x:row r="10">
      <x:c r="A10" s="6"/>
      <x:c r="B10" s="6"/>
      <x:c r="C10" s="6"/>
      <x:c r="D10" s="6"/>
      <x:c r="E10" s="6"/>
      <x:c r="F10" s="6"/>
      <x:c r="G10" s="12"/>
      <x:c r="H10" s="6"/>
      <x:c r="I10" s="6"/>
      <x:c r="J10" s="25"/>
      <x:c r="K10" s="25"/>
      <x:c r="L10" s="8"/>
      <x:c r="M10" s="8"/>
      <x:c r="N10" s="6"/>
      <x:c r="O10" s="6"/>
      <x:c r="P10" s="6"/>
    </x:row>
    <x:row r="11">
      <x:c r="A11" s="6"/>
      <x:c r="B11" s="6"/>
      <x:c r="C11" s="6"/>
      <x:c r="D11" s="6"/>
      <x:c r="E11" s="6"/>
      <x:c r="F11" s="6"/>
      <x:c r="G11" s="12"/>
      <x:c r="H11" s="6"/>
      <x:c r="I11" s="6"/>
      <x:c r="J11" s="25"/>
      <x:c r="K11" s="25"/>
      <x:c r="L11" s="8"/>
      <x:c r="M11" s="8"/>
      <x:c r="N11" s="6"/>
      <x:c r="O11" s="6"/>
      <x:c r="P11" s="6"/>
    </x:row>
    <x:row r="12">
      <x:c r="A12" s="6"/>
      <x:c r="B12" s="6"/>
      <x:c r="C12" s="6"/>
      <x:c r="D12" s="6"/>
      <x:c r="E12" s="6"/>
      <x:c r="F12" s="6"/>
      <x:c r="G12" s="12"/>
      <x:c r="H12" s="6"/>
      <x:c r="I12" s="6"/>
      <x:c r="J12" s="25"/>
      <x:c r="K12" s="25"/>
      <x:c r="L12" s="8"/>
      <x:c r="M12" s="8"/>
      <x:c r="N12" s="6"/>
      <x:c r="O12" s="6"/>
      <x:c r="P12" s="6"/>
    </x:row>
    <x:row r="13">
      <x:c r="A13" s="6"/>
      <x:c r="B13" s="6"/>
      <x:c r="C13" s="6"/>
      <x:c r="D13" s="6"/>
      <x:c r="E13" s="6"/>
      <x:c r="F13" s="6"/>
      <x:c r="G13" s="12"/>
      <x:c r="H13" s="6"/>
      <x:c r="I13" s="6"/>
      <x:c r="J13" s="25"/>
      <x:c r="K13" s="25"/>
      <x:c r="L13" s="8"/>
      <x:c r="M13" s="8"/>
      <x:c r="N13" s="6"/>
      <x:c r="O13" s="6"/>
      <x:c r="P13" s="6"/>
    </x:row>
    <x:row r="14">
      <x:c r="A14" s="6"/>
      <x:c r="B14" s="6"/>
      <x:c r="C14" s="6"/>
      <x:c r="D14" s="6"/>
      <x:c r="E14" s="6"/>
      <x:c r="F14" s="6"/>
      <x:c r="G14" s="12"/>
      <x:c r="H14" s="6"/>
      <x:c r="I14" s="6"/>
      <x:c r="J14" s="25"/>
      <x:c r="K14" s="25"/>
      <x:c r="L14" s="8"/>
      <x:c r="M14" s="8"/>
      <x:c r="N14" s="6"/>
      <x:c r="O14" s="6"/>
      <x:c r="P14" s="6"/>
    </x:row>
    <x:row r="15">
      <x:c r="A15" s="6"/>
      <x:c r="B15" s="6"/>
      <x:c r="C15" s="6"/>
      <x:c r="D15" s="6"/>
      <x:c r="E15" s="6"/>
      <x:c r="F15" s="6"/>
      <x:c r="G15" s="12"/>
      <x:c r="H15" s="6"/>
      <x:c r="I15" s="6"/>
      <x:c r="J15" s="25"/>
      <x:c r="K15" s="25"/>
      <x:c r="L15" s="8"/>
      <x:c r="M15" s="8"/>
      <x:c r="N15" s="6"/>
      <x:c r="O15" s="6"/>
      <x:c r="P15" s="6"/>
    </x:row>
    <x:row r="16">
      <x:c r="A16" s="6"/>
      <x:c r="B16" s="6"/>
      <x:c r="C16" s="6"/>
      <x:c r="D16" s="6"/>
      <x:c r="E16" s="6"/>
      <x:c r="F16" s="6"/>
      <x:c r="G16" s="12"/>
      <x:c r="H16" s="6"/>
      <x:c r="I16" s="6"/>
      <x:c r="J16" s="25"/>
      <x:c r="K16" s="25"/>
      <x:c r="L16" s="8"/>
      <x:c r="M16" s="8"/>
      <x:c r="N16" s="6"/>
      <x:c r="O16" s="6"/>
      <x:c r="P16" s="6"/>
    </x:row>
    <x:row r="17">
      <x:c r="A17" s="6"/>
      <x:c r="B17" s="6"/>
      <x:c r="C17" s="6"/>
      <x:c r="D17" s="6"/>
      <x:c r="E17" s="6"/>
      <x:c r="F17" s="6"/>
      <x:c r="G17" s="12"/>
      <x:c r="H17" s="6"/>
      <x:c r="I17" s="6"/>
      <x:c r="J17" s="25"/>
      <x:c r="K17" s="25"/>
      <x:c r="L17" s="8"/>
      <x:c r="M17" s="8"/>
      <x:c r="N17" s="6"/>
      <x:c r="O17" s="6"/>
      <x:c r="P17" s="6"/>
    </x:row>
    <x:row r="18">
      <x:c r="A18" s="6"/>
      <x:c r="B18" s="6"/>
      <x:c r="C18" s="6"/>
      <x:c r="D18" s="6"/>
      <x:c r="E18" s="6"/>
      <x:c r="F18" s="6"/>
      <x:c r="G18" s="12"/>
      <x:c r="H18" s="6"/>
      <x:c r="I18" s="6"/>
      <x:c r="J18" s="25"/>
      <x:c r="K18" s="25"/>
      <x:c r="L18" s="8"/>
      <x:c r="M18" s="8"/>
      <x:c r="N18" s="6"/>
      <x:c r="O18" s="6"/>
      <x:c r="P18" s="6"/>
    </x:row>
    <x:row r="19">
      <x:c r="A19" s="6"/>
      <x:c r="B19" s="6"/>
      <x:c r="C19" s="6"/>
      <x:c r="D19" s="6"/>
      <x:c r="E19" s="6"/>
      <x:c r="F19" s="6"/>
      <x:c r="G19" s="12"/>
      <x:c r="H19" s="6"/>
      <x:c r="I19" s="6"/>
      <x:c r="J19" s="25"/>
      <x:c r="K19" s="25"/>
      <x:c r="L19" s="8"/>
      <x:c r="M19" s="8"/>
      <x:c r="N19" s="6"/>
      <x:c r="O19" s="6"/>
      <x:c r="P19" s="6"/>
    </x:row>
    <x:row r="20">
      <x:c r="A20" s="6"/>
      <x:c r="B20" s="6"/>
      <x:c r="C20" s="6"/>
      <x:c r="D20" s="6"/>
      <x:c r="E20" s="6"/>
      <x:c r="F20" s="6"/>
      <x:c r="G20" s="12"/>
      <x:c r="H20" s="6"/>
      <x:c r="I20" s="6"/>
      <x:c r="J20" s="25"/>
      <x:c r="K20" s="25"/>
      <x:c r="L20" s="8"/>
      <x:c r="M20" s="8"/>
      <x:c r="N20" s="6"/>
      <x:c r="O20" s="6"/>
      <x:c r="P20" s="6"/>
    </x:row>
    <x:row r="21">
      <x:c r="G21" s="22"/>
      <x:c r="J21" s="26"/>
      <x:c r="K21" s="26"/>
      <x:c r="L21" s="27"/>
      <x:c r="M21" s="27"/>
    </x:row>
    <x:row r="22">
      <x:c r="G22" s="22"/>
      <x:c r="J22" s="26"/>
      <x:c r="K22" s="26"/>
      <x:c r="L22" s="27"/>
      <x:c r="M22" s="27"/>
    </x:row>
    <x:row r="23">
      <x:c r="G23" s="22"/>
      <x:c r="J23" s="26"/>
      <x:c r="K23" s="26"/>
      <x:c r="L23" s="27"/>
      <x:c r="M23" s="27"/>
    </x:row>
    <x:row r="24">
      <x:c r="G24" s="22"/>
      <x:c r="J24" s="26"/>
      <x:c r="K24" s="26"/>
      <x:c r="L24" s="27"/>
      <x:c r="M24" s="27"/>
    </x:row>
    <x:row r="25">
      <x:c r="G25" s="22"/>
      <x:c r="J25" s="26"/>
      <x:c r="K25" s="26"/>
      <x:c r="L25" s="27"/>
      <x:c r="M25" s="27"/>
    </x:row>
    <x:row r="26">
      <x:c r="G26" s="22"/>
      <x:c r="J26" s="26"/>
      <x:c r="K26" s="26"/>
      <x:c r="L26" s="27"/>
      <x:c r="M26" s="27"/>
    </x:row>
    <x:row r="27">
      <x:c r="G27" s="22"/>
      <x:c r="J27" s="26"/>
      <x:c r="K27" s="26"/>
      <x:c r="L27" s="27"/>
      <x:c r="M27" s="27"/>
    </x:row>
    <x:row r="28">
      <x:c r="G28" s="22"/>
      <x:c r="J28" s="26"/>
      <x:c r="K28" s="26"/>
      <x:c r="L28" s="27"/>
      <x:c r="M28" s="27"/>
    </x:row>
    <x:row r="29">
      <x:c r="G29" s="22"/>
      <x:c r="J29" s="26"/>
      <x:c r="K29" s="26"/>
      <x:c r="L29" s="27"/>
      <x:c r="M29" s="27"/>
    </x:row>
    <x:row r="30">
      <x:c r="G30" s="22"/>
      <x:c r="J30" s="26"/>
      <x:c r="K30" s="26"/>
      <x:c r="L30" s="27"/>
      <x:c r="M30" s="27"/>
    </x:row>
    <x:row r="31">
      <x:c r="G31" s="22"/>
      <x:c r="J31" s="26"/>
      <x:c r="K31" s="26"/>
      <x:c r="L31" s="27"/>
      <x:c r="M31" s="27"/>
    </x:row>
    <x:row r="32">
      <x:c r="G32" s="22"/>
      <x:c r="J32" s="26"/>
      <x:c r="K32" s="26"/>
      <x:c r="L32" s="27"/>
      <x:c r="M32" s="27"/>
    </x:row>
    <x:row r="33">
      <x:c r="G33" s="22"/>
      <x:c r="J33" s="26"/>
      <x:c r="K33" s="26"/>
      <x:c r="L33" s="27"/>
      <x:c r="M33" s="27"/>
    </x:row>
    <x:row r="34">
      <x:c r="G34" s="22"/>
      <x:c r="J34" s="26"/>
      <x:c r="K34" s="26"/>
      <x:c r="L34" s="27"/>
      <x:c r="M34" s="27"/>
    </x:row>
    <x:row r="35">
      <x:c r="G35" s="22"/>
      <x:c r="J35" s="26"/>
      <x:c r="K35" s="26"/>
      <x:c r="L35" s="27"/>
      <x:c r="M35" s="27"/>
    </x:row>
    <x:row r="36">
      <x:c r="G36" s="22"/>
      <x:c r="J36" s="26"/>
      <x:c r="K36" s="26"/>
      <x:c r="L36" s="27"/>
      <x:c r="M36" s="27"/>
    </x:row>
    <x:row r="37">
      <x:c r="G37" s="22"/>
      <x:c r="J37" s="26"/>
      <x:c r="K37" s="26"/>
      <x:c r="L37" s="27"/>
      <x:c r="M37" s="27"/>
    </x:row>
    <x:row r="38">
      <x:c r="G38" s="22"/>
      <x:c r="J38" s="26"/>
      <x:c r="K38" s="26"/>
      <x:c r="L38" s="27"/>
      <x:c r="M38" s="27"/>
    </x:row>
    <x:row r="39">
      <x:c r="G39" s="22"/>
      <x:c r="J39" s="26"/>
      <x:c r="K39" s="26"/>
      <x:c r="L39" s="27"/>
      <x:c r="M39" s="27"/>
    </x:row>
    <x:row r="40">
      <x:c r="G40" s="22"/>
      <x:c r="J40" s="26"/>
      <x:c r="K40" s="26"/>
      <x:c r="L40" s="27"/>
      <x:c r="M40" s="27"/>
    </x:row>
    <x:row r="41">
      <x:c r="G41" s="22"/>
      <x:c r="J41" s="26"/>
      <x:c r="K41" s="26"/>
      <x:c r="L41" s="27"/>
      <x:c r="M41" s="27"/>
    </x:row>
    <x:row r="42">
      <x:c r="G42" s="22"/>
      <x:c r="J42" s="26"/>
      <x:c r="K42" s="26"/>
      <x:c r="L42" s="27"/>
      <x:c r="M42" s="27"/>
    </x:row>
    <x:row r="43">
      <x:c r="G43" s="22"/>
      <x:c r="J43" s="26"/>
      <x:c r="K43" s="26"/>
      <x:c r="L43" s="27"/>
      <x:c r="M43" s="27"/>
    </x:row>
    <x:row r="44">
      <x:c r="G44" s="22"/>
      <x:c r="J44" s="26"/>
      <x:c r="K44" s="26"/>
      <x:c r="L44" s="27"/>
      <x:c r="M44" s="27"/>
    </x:row>
    <x:row r="45">
      <x:c r="G45" s="22"/>
      <x:c r="J45" s="26"/>
      <x:c r="K45" s="26"/>
      <x:c r="L45" s="27"/>
      <x:c r="M45" s="27"/>
    </x:row>
    <x:row r="46">
      <x:c r="G46" s="22"/>
      <x:c r="J46" s="26"/>
      <x:c r="K46" s="26"/>
      <x:c r="L46" s="27"/>
      <x:c r="M46" s="27"/>
    </x:row>
    <x:row r="47">
      <x:c r="G47" s="22"/>
      <x:c r="J47" s="26"/>
      <x:c r="K47" s="26"/>
      <x:c r="L47" s="27"/>
      <x:c r="M47" s="27"/>
    </x:row>
    <x:row r="48">
      <x:c r="G48" s="22"/>
      <x:c r="J48" s="26"/>
      <x:c r="K48" s="26"/>
      <x:c r="L48" s="27"/>
      <x:c r="M48" s="27"/>
    </x:row>
    <x:row r="49">
      <x:c r="G49" s="22"/>
      <x:c r="J49" s="26"/>
      <x:c r="K49" s="26"/>
      <x:c r="L49" s="27"/>
      <x:c r="M49" s="27"/>
    </x:row>
    <x:row r="50">
      <x:c r="G50" s="22"/>
      <x:c r="J50" s="26"/>
      <x:c r="K50" s="26"/>
      <x:c r="L50" s="27"/>
      <x:c r="M50" s="27"/>
    </x:row>
    <x:row r="51">
      <x:c r="G51" s="22"/>
      <x:c r="J51" s="26"/>
      <x:c r="K51" s="26"/>
      <x:c r="L51" s="27"/>
      <x:c r="M51" s="27"/>
    </x:row>
    <x:row r="52">
      <x:c r="G52" s="22"/>
      <x:c r="J52" s="26"/>
      <x:c r="K52" s="26"/>
      <x:c r="L52" s="27"/>
      <x:c r="M52" s="27"/>
    </x:row>
    <x:row r="53">
      <x:c r="G53" s="22"/>
      <x:c r="J53" s="26"/>
      <x:c r="K53" s="26"/>
      <x:c r="L53" s="27"/>
      <x:c r="M53" s="27"/>
    </x:row>
    <x:row r="54">
      <x:c r="G54" s="22"/>
      <x:c r="J54" s="26"/>
      <x:c r="K54" s="26"/>
      <x:c r="L54" s="27"/>
      <x:c r="M54" s="27"/>
    </x:row>
    <x:row r="55">
      <x:c r="G55" s="22"/>
      <x:c r="J55" s="26"/>
      <x:c r="K55" s="26"/>
      <x:c r="L55" s="27"/>
      <x:c r="M55" s="27"/>
    </x:row>
    <x:row r="56">
      <x:c r="G56" s="22"/>
      <x:c r="J56" s="26"/>
      <x:c r="K56" s="26"/>
      <x:c r="L56" s="27"/>
      <x:c r="M56" s="27"/>
    </x:row>
    <x:row r="57">
      <x:c r="G57" s="22"/>
      <x:c r="J57" s="26"/>
      <x:c r="K57" s="26"/>
      <x:c r="L57" s="27"/>
      <x:c r="M57" s="27"/>
    </x:row>
    <x:row r="58">
      <x:c r="G58" s="22"/>
      <x:c r="J58" s="26"/>
      <x:c r="K58" s="26"/>
      <x:c r="L58" s="27"/>
      <x:c r="M58" s="27"/>
    </x:row>
    <x:row r="59">
      <x:c r="G59" s="22"/>
      <x:c r="J59" s="26"/>
      <x:c r="K59" s="26"/>
      <x:c r="L59" s="27"/>
      <x:c r="M59" s="27"/>
    </x:row>
    <x:row r="60">
      <x:c r="G60" s="22"/>
      <x:c r="J60" s="26"/>
      <x:c r="K60" s="26"/>
      <x:c r="L60" s="27"/>
      <x:c r="M60" s="27"/>
    </x:row>
    <x:row r="61">
      <x:c r="G61" s="22"/>
      <x:c r="J61" s="26"/>
      <x:c r="K61" s="26"/>
      <x:c r="L61" s="27"/>
      <x:c r="M61" s="27"/>
    </x:row>
    <x:row r="62">
      <x:c r="G62" s="22"/>
      <x:c r="J62" s="26"/>
      <x:c r="K62" s="26"/>
      <x:c r="L62" s="27"/>
      <x:c r="M62" s="27"/>
    </x:row>
    <x:row r="63">
      <x:c r="G63" s="22"/>
      <x:c r="J63" s="26"/>
      <x:c r="K63" s="26"/>
      <x:c r="L63" s="27"/>
      <x:c r="M63" s="27"/>
    </x:row>
    <x:row r="64">
      <x:c r="G64" s="22"/>
      <x:c r="J64" s="26"/>
      <x:c r="K64" s="26"/>
      <x:c r="L64" s="27"/>
      <x:c r="M64" s="27"/>
    </x:row>
    <x:row r="65">
      <x:c r="G65" s="22"/>
      <x:c r="J65" s="26"/>
      <x:c r="K65" s="26"/>
      <x:c r="L65" s="27"/>
      <x:c r="M65" s="27"/>
    </x:row>
    <x:row r="66">
      <x:c r="G66" s="22"/>
      <x:c r="J66" s="26"/>
      <x:c r="K66" s="26"/>
      <x:c r="L66" s="27"/>
      <x:c r="M66" s="27"/>
    </x:row>
    <x:row r="67">
      <x:c r="G67" s="22"/>
      <x:c r="J67" s="26"/>
      <x:c r="K67" s="26"/>
      <x:c r="L67" s="27"/>
      <x:c r="M67" s="27"/>
    </x:row>
    <x:row r="68">
      <x:c r="G68" s="22"/>
      <x:c r="J68" s="26"/>
      <x:c r="K68" s="26"/>
      <x:c r="L68" s="27"/>
      <x:c r="M68" s="27"/>
    </x:row>
    <x:row r="69">
      <x:c r="G69" s="22"/>
      <x:c r="J69" s="26"/>
      <x:c r="K69" s="26"/>
      <x:c r="L69" s="27"/>
      <x:c r="M69" s="27"/>
    </x:row>
    <x:row r="70">
      <x:c r="G70" s="22"/>
      <x:c r="J70" s="26"/>
      <x:c r="K70" s="26"/>
      <x:c r="L70" s="27"/>
      <x:c r="M70" s="27"/>
    </x:row>
    <x:row r="71">
      <x:c r="G71" s="22"/>
      <x:c r="J71" s="26"/>
      <x:c r="K71" s="26"/>
      <x:c r="L71" s="27"/>
      <x:c r="M71" s="27"/>
    </x:row>
    <x:row r="72">
      <x:c r="G72" s="22"/>
      <x:c r="J72" s="26"/>
      <x:c r="K72" s="26"/>
      <x:c r="L72" s="27"/>
      <x:c r="M72" s="27"/>
    </x:row>
    <x:row r="73">
      <x:c r="G73" s="22"/>
      <x:c r="J73" s="26"/>
      <x:c r="K73" s="26"/>
      <x:c r="L73" s="27"/>
      <x:c r="M73" s="27"/>
    </x:row>
    <x:row r="74">
      <x:c r="G74" s="22"/>
      <x:c r="J74" s="26"/>
      <x:c r="K74" s="26"/>
      <x:c r="L74" s="27"/>
      <x:c r="M74" s="27"/>
    </x:row>
    <x:row r="75">
      <x:c r="G75" s="22"/>
      <x:c r="J75" s="26"/>
      <x:c r="K75" s="26"/>
      <x:c r="L75" s="27"/>
      <x:c r="M75" s="27"/>
    </x:row>
    <x:row r="76">
      <x:c r="G76" s="22"/>
      <x:c r="J76" s="26"/>
      <x:c r="K76" s="26"/>
      <x:c r="L76" s="27"/>
      <x:c r="M76" s="27"/>
    </x:row>
    <x:row r="77">
      <x:c r="G77" s="22"/>
      <x:c r="J77" s="26"/>
      <x:c r="K77" s="26"/>
      <x:c r="L77" s="27"/>
      <x:c r="M77" s="27"/>
    </x:row>
    <x:row r="78">
      <x:c r="G78" s="22"/>
      <x:c r="J78" s="26"/>
      <x:c r="K78" s="26"/>
      <x:c r="L78" s="27"/>
      <x:c r="M78" s="27"/>
    </x:row>
    <x:row r="79">
      <x:c r="G79" s="22"/>
      <x:c r="J79" s="26"/>
      <x:c r="K79" s="26"/>
      <x:c r="L79" s="27"/>
      <x:c r="M79" s="27"/>
    </x:row>
    <x:row r="80">
      <x:c r="G80" s="22"/>
      <x:c r="J80" s="26"/>
      <x:c r="K80" s="26"/>
      <x:c r="L80" s="27"/>
      <x:c r="M80" s="27"/>
    </x:row>
    <x:row r="81">
      <x:c r="G81" s="22"/>
      <x:c r="J81" s="26"/>
      <x:c r="K81" s="26"/>
      <x:c r="L81" s="27"/>
      <x:c r="M81" s="27"/>
    </x:row>
    <x:row r="82">
      <x:c r="G82" s="22"/>
      <x:c r="J82" s="26"/>
      <x:c r="K82" s="26"/>
      <x:c r="L82" s="27"/>
      <x:c r="M82" s="27"/>
    </x:row>
    <x:row r="83">
      <x:c r="G83" s="22"/>
      <x:c r="J83" s="26"/>
      <x:c r="K83" s="26"/>
      <x:c r="L83" s="27"/>
      <x:c r="M83" s="27"/>
    </x:row>
    <x:row r="84">
      <x:c r="G84" s="22"/>
      <x:c r="J84" s="26"/>
      <x:c r="K84" s="26"/>
      <x:c r="L84" s="27"/>
      <x:c r="M84" s="27"/>
    </x:row>
    <x:row r="85">
      <x:c r="G85" s="22"/>
      <x:c r="J85" s="26"/>
      <x:c r="K85" s="26"/>
      <x:c r="L85" s="27"/>
      <x:c r="M85" s="27"/>
    </x:row>
    <x:row r="86">
      <x:c r="G86" s="22"/>
      <x:c r="J86" s="26"/>
      <x:c r="K86" s="26"/>
      <x:c r="L86" s="27"/>
      <x:c r="M86" s="27"/>
    </x:row>
    <x:row r="87">
      <x:c r="G87" s="22"/>
      <x:c r="J87" s="26"/>
      <x:c r="K87" s="26"/>
      <x:c r="L87" s="27"/>
      <x:c r="M87" s="27"/>
    </x:row>
    <x:row r="88">
      <x:c r="G88" s="22"/>
      <x:c r="J88" s="26"/>
      <x:c r="K88" s="26"/>
      <x:c r="L88" s="27"/>
      <x:c r="M88" s="27"/>
    </x:row>
    <x:row r="89">
      <x:c r="G89" s="22"/>
      <x:c r="J89" s="26"/>
      <x:c r="K89" s="26"/>
      <x:c r="L89" s="27"/>
      <x:c r="M89" s="27"/>
    </x:row>
    <x:row r="90">
      <x:c r="G90" s="22"/>
      <x:c r="J90" s="26"/>
      <x:c r="K90" s="26"/>
      <x:c r="L90" s="27"/>
      <x:c r="M90" s="27"/>
    </x:row>
    <x:row r="91">
      <x:c r="G91" s="22"/>
      <x:c r="J91" s="26"/>
      <x:c r="K91" s="26"/>
      <x:c r="L91" s="27"/>
      <x:c r="M91" s="27"/>
    </x:row>
    <x:row r="92">
      <x:c r="G92" s="22"/>
      <x:c r="J92" s="26"/>
      <x:c r="K92" s="26"/>
      <x:c r="L92" s="27"/>
      <x:c r="M92" s="27"/>
    </x:row>
    <x:row r="93">
      <x:c r="G93" s="22"/>
      <x:c r="J93" s="26"/>
      <x:c r="K93" s="26"/>
      <x:c r="L93" s="27"/>
      <x:c r="M93" s="27"/>
    </x:row>
    <x:row r="94">
      <x:c r="G94" s="22"/>
      <x:c r="J94" s="26"/>
      <x:c r="K94" s="26"/>
      <x:c r="L94" s="27"/>
      <x:c r="M94" s="27"/>
    </x:row>
    <x:row r="95">
      <x:c r="G95" s="22"/>
      <x:c r="J95" s="26"/>
      <x:c r="K95" s="26"/>
      <x:c r="L95" s="27"/>
      <x:c r="M95" s="27"/>
    </x:row>
    <x:row r="96">
      <x:c r="G96" s="22"/>
      <x:c r="J96" s="26"/>
      <x:c r="K96" s="26"/>
      <x:c r="L96" s="27"/>
      <x:c r="M96" s="27"/>
    </x:row>
    <x:row r="97">
      <x:c r="G97" s="22"/>
      <x:c r="J97" s="26"/>
      <x:c r="K97" s="26"/>
      <x:c r="L97" s="27"/>
      <x:c r="M97" s="27"/>
    </x:row>
    <x:row r="98">
      <x:c r="G98" s="22"/>
      <x:c r="J98" s="26"/>
      <x:c r="K98" s="26"/>
      <x:c r="L98" s="27"/>
      <x:c r="M98" s="27"/>
    </x:row>
    <x:row r="99">
      <x:c r="G99" s="22"/>
      <x:c r="J99" s="26"/>
      <x:c r="K99" s="26"/>
      <x:c r="L99" s="27"/>
      <x:c r="M99" s="27"/>
    </x:row>
    <x:row r="100">
      <x:c r="G100" s="22"/>
      <x:c r="J100" s="26"/>
      <x:c r="K100" s="26"/>
      <x:c r="L100" s="27"/>
      <x:c r="M100" s="27"/>
    </x:row>
    <x:row r="101">
      <x:c r="G101" s="22"/>
      <x:c r="J101" s="26"/>
      <x:c r="K101" s="26"/>
      <x:c r="L101" s="27"/>
      <x:c r="M101" s="27"/>
    </x:row>
    <x:row r="102">
      <x:c r="G102" s="22"/>
      <x:c r="J102" s="26"/>
      <x:c r="K102" s="26"/>
      <x:c r="L102" s="27"/>
      <x:c r="M102" s="27"/>
    </x:row>
    <x:row r="103">
      <x:c r="G103" s="22"/>
      <x:c r="J103" s="26"/>
      <x:c r="K103" s="26"/>
      <x:c r="L103" s="27"/>
      <x:c r="M103" s="27"/>
    </x:row>
    <x:row r="104">
      <x:c r="G104" s="22"/>
      <x:c r="J104" s="26"/>
      <x:c r="K104" s="26"/>
      <x:c r="L104" s="27"/>
      <x:c r="M104" s="27"/>
    </x:row>
    <x:row r="105">
      <x:c r="G105" s="22"/>
      <x:c r="J105" s="26"/>
      <x:c r="K105" s="26"/>
      <x:c r="L105" s="27"/>
      <x:c r="M105" s="27"/>
    </x:row>
    <x:row r="106">
      <x:c r="G106" s="22"/>
      <x:c r="J106" s="26"/>
      <x:c r="K106" s="26"/>
      <x:c r="L106" s="27"/>
      <x:c r="M106" s="27"/>
    </x:row>
    <x:row r="107">
      <x:c r="G107" s="22"/>
      <x:c r="J107" s="26"/>
      <x:c r="K107" s="26"/>
      <x:c r="L107" s="27"/>
      <x:c r="M107" s="27"/>
    </x:row>
    <x:row r="108">
      <x:c r="G108" s="22"/>
      <x:c r="J108" s="26"/>
      <x:c r="K108" s="26"/>
      <x:c r="L108" s="27"/>
      <x:c r="M108" s="27"/>
    </x:row>
    <x:row r="109">
      <x:c r="G109" s="22"/>
      <x:c r="J109" s="26"/>
      <x:c r="K109" s="26"/>
      <x:c r="L109" s="27"/>
      <x:c r="M109" s="27"/>
    </x:row>
    <x:row r="110">
      <x:c r="G110" s="22"/>
      <x:c r="J110" s="26"/>
      <x:c r="K110" s="26"/>
      <x:c r="L110" s="27"/>
      <x:c r="M110" s="27"/>
    </x:row>
    <x:row r="111">
      <x:c r="G111" s="22"/>
      <x:c r="J111" s="26"/>
      <x:c r="K111" s="26"/>
      <x:c r="L111" s="27"/>
      <x:c r="M111" s="27"/>
    </x:row>
    <x:row r="112">
      <x:c r="G112" s="22"/>
      <x:c r="J112" s="26"/>
      <x:c r="K112" s="26"/>
      <x:c r="L112" s="27"/>
      <x:c r="M112" s="27"/>
    </x:row>
    <x:row r="113">
      <x:c r="G113" s="22"/>
      <x:c r="J113" s="26"/>
      <x:c r="K113" s="26"/>
      <x:c r="L113" s="27"/>
      <x:c r="M113" s="27"/>
    </x:row>
    <x:row r="114">
      <x:c r="G114" s="22"/>
      <x:c r="J114" s="26"/>
      <x:c r="K114" s="26"/>
      <x:c r="L114" s="27"/>
      <x:c r="M114" s="27"/>
    </x:row>
    <x:row r="115">
      <x:c r="G115" s="22"/>
      <x:c r="J115" s="26"/>
      <x:c r="K115" s="26"/>
      <x:c r="L115" s="27"/>
      <x:c r="M115" s="27"/>
    </x:row>
    <x:row r="116">
      <x:c r="G116" s="22"/>
      <x:c r="J116" s="26"/>
      <x:c r="K116" s="26"/>
      <x:c r="L116" s="27"/>
      <x:c r="M116" s="27"/>
    </x:row>
    <x:row r="117">
      <x:c r="G117" s="22"/>
      <x:c r="J117" s="26"/>
      <x:c r="K117" s="26"/>
      <x:c r="L117" s="27"/>
      <x:c r="M117" s="27"/>
    </x:row>
    <x:row r="118">
      <x:c r="G118" s="22"/>
      <x:c r="J118" s="26"/>
      <x:c r="K118" s="26"/>
      <x:c r="L118" s="27"/>
      <x:c r="M118" s="27"/>
    </x:row>
    <x:row r="119">
      <x:c r="G119" s="22"/>
      <x:c r="J119" s="26"/>
      <x:c r="K119" s="26"/>
      <x:c r="L119" s="27"/>
      <x:c r="M119" s="27"/>
    </x:row>
    <x:row r="120">
      <x:c r="G120" s="22"/>
      <x:c r="J120" s="26"/>
      <x:c r="K120" s="26"/>
      <x:c r="L120" s="27"/>
      <x:c r="M120" s="27"/>
    </x:row>
    <x:row r="121">
      <x:c r="G121" s="22"/>
      <x:c r="J121" s="26"/>
      <x:c r="K121" s="26"/>
      <x:c r="L121" s="27"/>
      <x:c r="M121" s="27"/>
    </x:row>
    <x:row r="122">
      <x:c r="G122" s="22"/>
      <x:c r="J122" s="26"/>
      <x:c r="K122" s="26"/>
      <x:c r="L122" s="27"/>
      <x:c r="M122" s="27"/>
    </x:row>
    <x:row r="123">
      <x:c r="G123" s="22"/>
      <x:c r="J123" s="26"/>
      <x:c r="K123" s="26"/>
      <x:c r="L123" s="27"/>
      <x:c r="M123" s="27"/>
    </x:row>
    <x:row r="124">
      <x:c r="G124" s="22"/>
      <x:c r="J124" s="26"/>
      <x:c r="K124" s="26"/>
      <x:c r="L124" s="27"/>
      <x:c r="M124" s="27"/>
    </x:row>
    <x:row r="125">
      <x:c r="G125" s="22"/>
      <x:c r="J125" s="26"/>
      <x:c r="K125" s="26"/>
      <x:c r="L125" s="27"/>
      <x:c r="M125" s="27"/>
    </x:row>
    <x:row r="126">
      <x:c r="G126" s="22"/>
      <x:c r="J126" s="26"/>
      <x:c r="K126" s="26"/>
      <x:c r="L126" s="27"/>
      <x:c r="M126" s="27"/>
    </x:row>
    <x:row r="127">
      <x:c r="G127" s="22"/>
      <x:c r="J127" s="26"/>
      <x:c r="K127" s="26"/>
      <x:c r="L127" s="27"/>
      <x:c r="M127" s="27"/>
    </x:row>
    <x:row r="128">
      <x:c r="G128" s="22"/>
      <x:c r="J128" s="26"/>
      <x:c r="K128" s="26"/>
      <x:c r="L128" s="27"/>
      <x:c r="M128" s="27"/>
    </x:row>
    <x:row r="129">
      <x:c r="G129" s="22"/>
      <x:c r="J129" s="26"/>
      <x:c r="K129" s="26"/>
      <x:c r="L129" s="27"/>
      <x:c r="M129" s="27"/>
    </x:row>
    <x:row r="130">
      <x:c r="G130" s="22"/>
      <x:c r="J130" s="26"/>
      <x:c r="K130" s="26"/>
      <x:c r="L130" s="27"/>
      <x:c r="M130" s="27"/>
    </x:row>
    <x:row r="131">
      <x:c r="G131" s="22"/>
      <x:c r="J131" s="26"/>
      <x:c r="K131" s="26"/>
      <x:c r="L131" s="27"/>
      <x:c r="M131" s="27"/>
    </x:row>
    <x:row r="132">
      <x:c r="G132" s="22"/>
      <x:c r="J132" s="26"/>
      <x:c r="K132" s="26"/>
      <x:c r="L132" s="27"/>
      <x:c r="M132" s="27"/>
    </x:row>
    <x:row r="133">
      <x:c r="G133" s="22"/>
      <x:c r="J133" s="26"/>
      <x:c r="K133" s="26"/>
      <x:c r="L133" s="27"/>
      <x:c r="M133" s="27"/>
    </x:row>
    <x:row r="134">
      <x:c r="G134" s="22"/>
      <x:c r="J134" s="26"/>
      <x:c r="K134" s="26"/>
      <x:c r="L134" s="27"/>
      <x:c r="M134" s="27"/>
    </x:row>
    <x:row r="135">
      <x:c r="G135" s="22"/>
      <x:c r="J135" s="26"/>
      <x:c r="K135" s="26"/>
      <x:c r="L135" s="27"/>
      <x:c r="M135" s="27"/>
    </x:row>
    <x:row r="136">
      <x:c r="G136" s="22"/>
      <x:c r="J136" s="26"/>
      <x:c r="K136" s="26"/>
      <x:c r="L136" s="27"/>
      <x:c r="M136" s="27"/>
    </x:row>
    <x:row r="137">
      <x:c r="G137" s="22"/>
      <x:c r="J137" s="26"/>
      <x:c r="K137" s="26"/>
      <x:c r="L137" s="27"/>
      <x:c r="M137" s="27"/>
    </x:row>
    <x:row r="138">
      <x:c r="G138" s="22"/>
      <x:c r="J138" s="26"/>
      <x:c r="K138" s="26"/>
      <x:c r="L138" s="27"/>
      <x:c r="M138" s="27"/>
    </x:row>
    <x:row r="139">
      <x:c r="G139" s="22"/>
      <x:c r="J139" s="26"/>
      <x:c r="K139" s="26"/>
      <x:c r="L139" s="27"/>
      <x:c r="M139" s="27"/>
    </x:row>
    <x:row r="140">
      <x:c r="G140" s="22"/>
      <x:c r="J140" s="26"/>
      <x:c r="K140" s="26"/>
      <x:c r="L140" s="27"/>
      <x:c r="M140" s="27"/>
    </x:row>
    <x:row r="141">
      <x:c r="G141" s="22"/>
      <x:c r="J141" s="26"/>
      <x:c r="K141" s="26"/>
      <x:c r="L141" s="27"/>
      <x:c r="M141" s="27"/>
    </x:row>
    <x:row r="142">
      <x:c r="G142" s="22"/>
      <x:c r="J142" s="26"/>
      <x:c r="K142" s="26"/>
      <x:c r="L142" s="27"/>
      <x:c r="M142" s="27"/>
    </x:row>
    <x:row r="143">
      <x:c r="G143" s="22"/>
      <x:c r="J143" s="26"/>
      <x:c r="K143" s="26"/>
      <x:c r="L143" s="27"/>
      <x:c r="M143" s="27"/>
    </x:row>
    <x:row r="144">
      <x:c r="G144" s="22"/>
      <x:c r="J144" s="26"/>
      <x:c r="K144" s="26"/>
      <x:c r="L144" s="27"/>
      <x:c r="M144" s="27"/>
    </x:row>
    <x:row r="145">
      <x:c r="G145" s="22"/>
      <x:c r="J145" s="26"/>
      <x:c r="K145" s="26"/>
      <x:c r="L145" s="27"/>
      <x:c r="M145" s="27"/>
    </x:row>
    <x:row r="146">
      <x:c r="G146" s="22"/>
      <x:c r="J146" s="26"/>
      <x:c r="K146" s="26"/>
      <x:c r="L146" s="27"/>
      <x:c r="M146" s="27"/>
    </x:row>
    <x:row r="147">
      <x:c r="G147" s="22"/>
      <x:c r="J147" s="26"/>
      <x:c r="K147" s="26"/>
      <x:c r="L147" s="27"/>
      <x:c r="M147" s="27"/>
    </x:row>
    <x:row r="148">
      <x:c r="G148" s="22"/>
      <x:c r="J148" s="26"/>
      <x:c r="K148" s="26"/>
      <x:c r="L148" s="27"/>
      <x:c r="M148" s="27"/>
    </x:row>
    <x:row r="149">
      <x:c r="G149" s="22"/>
      <x:c r="J149" s="26"/>
      <x:c r="K149" s="26"/>
      <x:c r="L149" s="27"/>
      <x:c r="M149" s="27"/>
    </x:row>
    <x:row r="150">
      <x:c r="G150" s="22"/>
      <x:c r="J150" s="26"/>
      <x:c r="K150" s="26"/>
      <x:c r="L150" s="27"/>
      <x:c r="M150" s="27"/>
    </x:row>
    <x:row r="151">
      <x:c r="G151" s="22"/>
      <x:c r="J151" s="26"/>
      <x:c r="K151" s="26"/>
      <x:c r="L151" s="27"/>
      <x:c r="M151" s="27"/>
    </x:row>
    <x:row r="152">
      <x:c r="G152" s="22"/>
      <x:c r="J152" s="26"/>
      <x:c r="K152" s="26"/>
      <x:c r="L152" s="27"/>
      <x:c r="M152" s="27"/>
    </x:row>
    <x:row r="153">
      <x:c r="G153" s="22"/>
      <x:c r="J153" s="26"/>
      <x:c r="K153" s="26"/>
      <x:c r="L153" s="27"/>
      <x:c r="M153" s="27"/>
    </x:row>
    <x:row r="154">
      <x:c r="G154" s="22"/>
      <x:c r="J154" s="26"/>
      <x:c r="K154" s="26"/>
      <x:c r="L154" s="27"/>
      <x:c r="M154" s="27"/>
    </x:row>
    <x:row r="155">
      <x:c r="G155" s="22"/>
      <x:c r="J155" s="26"/>
      <x:c r="K155" s="26"/>
      <x:c r="L155" s="27"/>
      <x:c r="M155" s="27"/>
    </x:row>
    <x:row r="156">
      <x:c r="G156" s="22"/>
      <x:c r="J156" s="26"/>
      <x:c r="K156" s="26"/>
      <x:c r="L156" s="27"/>
      <x:c r="M156" s="27"/>
    </x:row>
    <x:row r="157">
      <x:c r="G157" s="22"/>
      <x:c r="J157" s="26"/>
      <x:c r="K157" s="26"/>
      <x:c r="L157" s="27"/>
      <x:c r="M157" s="27"/>
    </x:row>
    <x:row r="158">
      <x:c r="G158" s="22"/>
      <x:c r="J158" s="26"/>
      <x:c r="K158" s="26"/>
      <x:c r="L158" s="27"/>
      <x:c r="M158" s="27"/>
    </x:row>
    <x:row r="159">
      <x:c r="G159" s="22"/>
      <x:c r="J159" s="26"/>
      <x:c r="K159" s="26"/>
      <x:c r="L159" s="27"/>
      <x:c r="M159" s="27"/>
    </x:row>
    <x:row r="160">
      <x:c r="G160" s="22"/>
      <x:c r="J160" s="26"/>
      <x:c r="K160" s="26"/>
      <x:c r="L160" s="27"/>
      <x:c r="M160" s="27"/>
    </x:row>
    <x:row r="161">
      <x:c r="G161" s="22"/>
      <x:c r="J161" s="26"/>
      <x:c r="K161" s="26"/>
      <x:c r="L161" s="27"/>
      <x:c r="M161" s="27"/>
    </x:row>
    <x:row r="162">
      <x:c r="G162" s="22"/>
      <x:c r="J162" s="26"/>
      <x:c r="K162" s="26"/>
      <x:c r="L162" s="27"/>
      <x:c r="M162" s="27"/>
    </x:row>
    <x:row r="163">
      <x:c r="G163" s="22"/>
      <x:c r="J163" s="26"/>
      <x:c r="K163" s="26"/>
      <x:c r="L163" s="27"/>
      <x:c r="M163" s="27"/>
    </x:row>
    <x:row r="164">
      <x:c r="G164" s="22"/>
      <x:c r="J164" s="26"/>
      <x:c r="K164" s="26"/>
      <x:c r="L164" s="27"/>
      <x:c r="M164" s="27"/>
    </x:row>
    <x:row r="165">
      <x:c r="G165" s="22"/>
      <x:c r="J165" s="26"/>
      <x:c r="K165" s="26"/>
      <x:c r="L165" s="27"/>
      <x:c r="M165" s="27"/>
    </x:row>
    <x:row r="166">
      <x:c r="G166" s="22"/>
      <x:c r="J166" s="26"/>
      <x:c r="K166" s="26"/>
      <x:c r="L166" s="27"/>
      <x:c r="M166" s="27"/>
    </x:row>
    <x:row r="167">
      <x:c r="G167" s="22"/>
      <x:c r="J167" s="26"/>
      <x:c r="K167" s="26"/>
      <x:c r="L167" s="27"/>
      <x:c r="M167" s="27"/>
    </x:row>
    <x:row r="168">
      <x:c r="G168" s="22"/>
      <x:c r="J168" s="26"/>
      <x:c r="K168" s="26"/>
      <x:c r="L168" s="27"/>
      <x:c r="M168" s="27"/>
    </x:row>
    <x:row r="169">
      <x:c r="G169" s="22"/>
      <x:c r="J169" s="26"/>
      <x:c r="K169" s="26"/>
      <x:c r="L169" s="27"/>
      <x:c r="M169" s="27"/>
    </x:row>
    <x:row r="170">
      <x:c r="G170" s="22"/>
      <x:c r="J170" s="26"/>
      <x:c r="K170" s="26"/>
      <x:c r="L170" s="27"/>
      <x:c r="M170" s="27"/>
    </x:row>
    <x:row r="171">
      <x:c r="G171" s="22"/>
      <x:c r="J171" s="26"/>
      <x:c r="K171" s="26"/>
      <x:c r="L171" s="27"/>
      <x:c r="M171" s="27"/>
    </x:row>
    <x:row r="172">
      <x:c r="G172" s="22"/>
      <x:c r="J172" s="26"/>
      <x:c r="K172" s="26"/>
      <x:c r="L172" s="27"/>
      <x:c r="M172" s="27"/>
    </x:row>
    <x:row r="173">
      <x:c r="G173" s="22"/>
      <x:c r="J173" s="26"/>
      <x:c r="K173" s="26"/>
      <x:c r="L173" s="27"/>
      <x:c r="M173" s="27"/>
    </x:row>
    <x:row r="174">
      <x:c r="G174" s="22"/>
      <x:c r="J174" s="26"/>
      <x:c r="K174" s="26"/>
      <x:c r="L174" s="27"/>
      <x:c r="M174" s="27"/>
    </x:row>
    <x:row r="175">
      <x:c r="G175" s="22"/>
      <x:c r="J175" s="26"/>
      <x:c r="K175" s="26"/>
      <x:c r="L175" s="27"/>
      <x:c r="M175" s="27"/>
    </x:row>
    <x:row r="176">
      <x:c r="G176" s="22"/>
      <x:c r="J176" s="26"/>
      <x:c r="K176" s="26"/>
      <x:c r="L176" s="27"/>
      <x:c r="M176" s="27"/>
    </x:row>
    <x:row r="177">
      <x:c r="G177" s="22"/>
      <x:c r="J177" s="26"/>
      <x:c r="K177" s="26"/>
      <x:c r="L177" s="27"/>
      <x:c r="M177" s="27"/>
    </x:row>
    <x:row r="178">
      <x:c r="G178" s="22"/>
      <x:c r="J178" s="26"/>
      <x:c r="K178" s="26"/>
      <x:c r="L178" s="27"/>
      <x:c r="M178" s="27"/>
    </x:row>
    <x:row r="179">
      <x:c r="G179" s="22"/>
      <x:c r="J179" s="26"/>
      <x:c r="K179" s="26"/>
      <x:c r="L179" s="27"/>
      <x:c r="M179" s="27"/>
    </x:row>
    <x:row r="180">
      <x:c r="G180" s="22"/>
      <x:c r="J180" s="26"/>
      <x:c r="K180" s="26"/>
      <x:c r="L180" s="27"/>
      <x:c r="M180" s="27"/>
    </x:row>
    <x:row r="181">
      <x:c r="G181" s="22"/>
      <x:c r="J181" s="26"/>
      <x:c r="K181" s="26"/>
      <x:c r="L181" s="27"/>
      <x:c r="M181" s="27"/>
    </x:row>
    <x:row r="182">
      <x:c r="G182" s="22"/>
      <x:c r="J182" s="26"/>
      <x:c r="K182" s="26"/>
      <x:c r="L182" s="27"/>
      <x:c r="M182" s="27"/>
    </x:row>
    <x:row r="183">
      <x:c r="G183" s="22"/>
      <x:c r="J183" s="26"/>
      <x:c r="K183" s="26"/>
      <x:c r="L183" s="27"/>
      <x:c r="M183" s="27"/>
    </x:row>
    <x:row r="184">
      <x:c r="G184" s="22"/>
      <x:c r="J184" s="26"/>
      <x:c r="K184" s="26"/>
      <x:c r="L184" s="27"/>
      <x:c r="M184" s="27"/>
    </x:row>
    <x:row r="185">
      <x:c r="G185" s="22"/>
      <x:c r="J185" s="26"/>
      <x:c r="K185" s="26"/>
      <x:c r="L185" s="27"/>
      <x:c r="M185" s="27"/>
    </x:row>
    <x:row r="186">
      <x:c r="G186" s="22"/>
      <x:c r="J186" s="26"/>
      <x:c r="K186" s="26"/>
      <x:c r="L186" s="27"/>
      <x:c r="M186" s="27"/>
    </x:row>
    <x:row r="187">
      <x:c r="G187" s="22"/>
      <x:c r="J187" s="26"/>
      <x:c r="K187" s="26"/>
      <x:c r="L187" s="27"/>
      <x:c r="M187" s="27"/>
    </x:row>
    <x:row r="188">
      <x:c r="G188" s="22"/>
      <x:c r="J188" s="26"/>
      <x:c r="K188" s="26"/>
      <x:c r="L188" s="27"/>
      <x:c r="M188" s="27"/>
    </x:row>
    <x:row r="189">
      <x:c r="G189" s="22"/>
      <x:c r="J189" s="26"/>
      <x:c r="K189" s="26"/>
      <x:c r="L189" s="27"/>
      <x:c r="M189" s="27"/>
    </x:row>
    <x:row r="190">
      <x:c r="G190" s="22"/>
      <x:c r="J190" s="26"/>
      <x:c r="K190" s="26"/>
      <x:c r="L190" s="27"/>
      <x:c r="M190" s="27"/>
    </x:row>
    <x:row r="191">
      <x:c r="G191" s="22"/>
      <x:c r="J191" s="26"/>
      <x:c r="K191" s="26"/>
      <x:c r="L191" s="27"/>
      <x:c r="M191" s="27"/>
    </x:row>
    <x:row r="192">
      <x:c r="G192" s="22"/>
      <x:c r="J192" s="26"/>
      <x:c r="K192" s="26"/>
      <x:c r="L192" s="27"/>
      <x:c r="M192" s="27"/>
    </x:row>
    <x:row r="193">
      <x:c r="G193" s="22"/>
      <x:c r="J193" s="26"/>
      <x:c r="K193" s="26"/>
      <x:c r="L193" s="27"/>
      <x:c r="M193" s="27"/>
    </x:row>
    <x:row r="194">
      <x:c r="G194" s="22"/>
      <x:c r="J194" s="26"/>
      <x:c r="K194" s="26"/>
      <x:c r="L194" s="27"/>
      <x:c r="M194" s="27"/>
    </x:row>
    <x:row r="195">
      <x:c r="G195" s="22"/>
      <x:c r="J195" s="26"/>
      <x:c r="K195" s="26"/>
      <x:c r="L195" s="27"/>
      <x:c r="M195" s="27"/>
    </x:row>
    <x:row r="196">
      <x:c r="G196" s="22"/>
      <x:c r="J196" s="26"/>
      <x:c r="K196" s="26"/>
      <x:c r="L196" s="27"/>
      <x:c r="M196" s="27"/>
    </x:row>
    <x:row r="197">
      <x:c r="G197" s="22"/>
      <x:c r="J197" s="26"/>
      <x:c r="K197" s="26"/>
      <x:c r="L197" s="27"/>
      <x:c r="M197" s="27"/>
    </x:row>
    <x:row r="198">
      <x:c r="G198" s="22"/>
      <x:c r="J198" s="26"/>
      <x:c r="K198" s="26"/>
      <x:c r="L198" s="27"/>
      <x:c r="M198" s="27"/>
    </x:row>
    <x:row r="199">
      <x:c r="G199" s="22"/>
      <x:c r="J199" s="26"/>
      <x:c r="K199" s="26"/>
      <x:c r="L199" s="27"/>
      <x:c r="M199" s="27"/>
    </x:row>
    <x:row r="200">
      <x:c r="G200" s="22"/>
      <x:c r="J200" s="26"/>
      <x:c r="K200" s="26"/>
      <x:c r="L200" s="27"/>
      <x:c r="M200" s="27"/>
    </x:row>
    <x:row r="201">
      <x:c r="G201" s="22"/>
      <x:c r="J201" s="26"/>
      <x:c r="K201" s="26"/>
      <x:c r="L201" s="27"/>
      <x:c r="M201" s="27"/>
    </x:row>
    <x:row r="202">
      <x:c r="G202" s="22"/>
      <x:c r="J202" s="26"/>
      <x:c r="K202" s="26"/>
      <x:c r="L202" s="27"/>
      <x:c r="M202" s="27"/>
    </x:row>
    <x:row r="203">
      <x:c r="G203" s="22"/>
      <x:c r="J203" s="26"/>
      <x:c r="K203" s="26"/>
      <x:c r="L203" s="27"/>
      <x:c r="M203" s="27"/>
    </x:row>
    <x:row r="204">
      <x:c r="G204" s="22"/>
      <x:c r="J204" s="26"/>
      <x:c r="K204" s="26"/>
      <x:c r="L204" s="27"/>
      <x:c r="M204" s="27"/>
    </x:row>
    <x:row r="205">
      <x:c r="G205" s="22"/>
      <x:c r="J205" s="26"/>
      <x:c r="K205" s="26"/>
      <x:c r="L205" s="27"/>
      <x:c r="M205" s="27"/>
    </x:row>
    <x:row r="206">
      <x:c r="G206" s="22"/>
      <x:c r="J206" s="26"/>
      <x:c r="K206" s="26"/>
      <x:c r="L206" s="27"/>
      <x:c r="M206" s="27"/>
    </x:row>
    <x:row r="207">
      <x:c r="G207" s="22"/>
      <x:c r="J207" s="26"/>
      <x:c r="K207" s="26"/>
      <x:c r="L207" s="27"/>
      <x:c r="M207" s="27"/>
    </x:row>
    <x:row r="208">
      <x:c r="G208" s="22"/>
      <x:c r="J208" s="26"/>
      <x:c r="K208" s="26"/>
      <x:c r="L208" s="27"/>
      <x:c r="M208" s="27"/>
    </x:row>
    <x:row r="209">
      <x:c r="G209" s="22"/>
      <x:c r="J209" s="26"/>
      <x:c r="K209" s="26"/>
      <x:c r="L209" s="27"/>
      <x:c r="M209" s="27"/>
    </x:row>
    <x:row r="210">
      <x:c r="G210" s="22"/>
      <x:c r="J210" s="26"/>
      <x:c r="K210" s="26"/>
      <x:c r="L210" s="27"/>
      <x:c r="M210" s="27"/>
    </x:row>
    <x:row r="211">
      <x:c r="G211" s="22"/>
      <x:c r="J211" s="26"/>
      <x:c r="K211" s="26"/>
      <x:c r="L211" s="27"/>
      <x:c r="M211" s="27"/>
    </x:row>
    <x:row r="212">
      <x:c r="G212" s="22"/>
      <x:c r="J212" s="26"/>
      <x:c r="K212" s="26"/>
      <x:c r="L212" s="27"/>
      <x:c r="M212" s="27"/>
    </x:row>
    <x:row r="213">
      <x:c r="G213" s="22"/>
      <x:c r="J213" s="26"/>
      <x:c r="K213" s="26"/>
      <x:c r="L213" s="27"/>
      <x:c r="M213" s="27"/>
    </x:row>
    <x:row r="214">
      <x:c r="G214" s="22"/>
      <x:c r="J214" s="26"/>
      <x:c r="K214" s="26"/>
      <x:c r="L214" s="27"/>
      <x:c r="M214" s="27"/>
    </x:row>
    <x:row r="215">
      <x:c r="G215" s="22"/>
      <x:c r="J215" s="26"/>
      <x:c r="K215" s="26"/>
      <x:c r="L215" s="27"/>
      <x:c r="M215" s="27"/>
    </x:row>
    <x:row r="216">
      <x:c r="G216" s="22"/>
      <x:c r="J216" s="26"/>
      <x:c r="K216" s="26"/>
      <x:c r="L216" s="27"/>
      <x:c r="M216" s="27"/>
    </x:row>
    <x:row r="217">
      <x:c r="G217" s="22"/>
      <x:c r="J217" s="26"/>
      <x:c r="K217" s="26"/>
      <x:c r="L217" s="27"/>
      <x:c r="M217" s="27"/>
    </x:row>
    <x:row r="218">
      <x:c r="G218" s="22"/>
      <x:c r="J218" s="26"/>
      <x:c r="K218" s="26"/>
      <x:c r="L218" s="27"/>
      <x:c r="M218" s="27"/>
    </x:row>
    <x:row r="219">
      <x:c r="G219" s="22"/>
      <x:c r="J219" s="26"/>
      <x:c r="K219" s="26"/>
      <x:c r="L219" s="27"/>
      <x:c r="M219" s="27"/>
    </x:row>
    <x:row r="220">
      <x:c r="G220" s="22"/>
      <x:c r="J220" s="26"/>
      <x:c r="K220" s="26"/>
      <x:c r="L220" s="27"/>
      <x:c r="M220" s="27"/>
    </x:row>
    <x:row r="221">
      <x:c r="G221" s="22"/>
      <x:c r="J221" s="26"/>
      <x:c r="K221" s="26"/>
      <x:c r="L221" s="27"/>
      <x:c r="M221" s="27"/>
    </x:row>
    <x:row r="222">
      <x:c r="G222" s="22"/>
      <x:c r="J222" s="26"/>
      <x:c r="K222" s="26"/>
      <x:c r="L222" s="27"/>
      <x:c r="M222" s="27"/>
    </x:row>
    <x:row r="223">
      <x:c r="G223" s="22"/>
      <x:c r="J223" s="26"/>
      <x:c r="K223" s="26"/>
      <x:c r="L223" s="27"/>
      <x:c r="M223" s="27"/>
    </x:row>
    <x:row r="224">
      <x:c r="G224" s="22"/>
      <x:c r="J224" s="26"/>
      <x:c r="K224" s="26"/>
      <x:c r="L224" s="27"/>
      <x:c r="M224" s="27"/>
    </x:row>
    <x:row r="225">
      <x:c r="G225" s="22"/>
      <x:c r="J225" s="26"/>
      <x:c r="K225" s="26"/>
      <x:c r="L225" s="27"/>
      <x:c r="M225" s="27"/>
    </x:row>
    <x:row r="226">
      <x:c r="G226" s="22"/>
      <x:c r="J226" s="26"/>
      <x:c r="K226" s="26"/>
      <x:c r="L226" s="27"/>
      <x:c r="M226" s="27"/>
    </x:row>
    <x:row r="227">
      <x:c r="G227" s="22"/>
      <x:c r="J227" s="26"/>
      <x:c r="K227" s="26"/>
      <x:c r="L227" s="27"/>
      <x:c r="M227" s="27"/>
    </x:row>
    <x:row r="228">
      <x:c r="G228" s="22"/>
      <x:c r="J228" s="26"/>
      <x:c r="K228" s="26"/>
      <x:c r="L228" s="27"/>
      <x:c r="M228" s="27"/>
    </x:row>
    <x:row r="229">
      <x:c r="G229" s="22"/>
      <x:c r="J229" s="26"/>
      <x:c r="K229" s="26"/>
      <x:c r="L229" s="27"/>
      <x:c r="M229" s="27"/>
    </x:row>
    <x:row r="230">
      <x:c r="G230" s="22"/>
      <x:c r="J230" s="26"/>
      <x:c r="K230" s="26"/>
      <x:c r="L230" s="27"/>
      <x:c r="M230" s="27"/>
    </x:row>
    <x:row r="231">
      <x:c r="G231" s="22"/>
      <x:c r="J231" s="26"/>
      <x:c r="K231" s="26"/>
      <x:c r="L231" s="27"/>
      <x:c r="M231" s="27"/>
    </x:row>
    <x:row r="232">
      <x:c r="G232" s="22"/>
      <x:c r="J232" s="26"/>
      <x:c r="K232" s="26"/>
      <x:c r="L232" s="27"/>
      <x:c r="M232" s="27"/>
    </x:row>
    <x:row r="233">
      <x:c r="G233" s="22"/>
      <x:c r="J233" s="26"/>
      <x:c r="K233" s="26"/>
      <x:c r="L233" s="27"/>
      <x:c r="M233" s="27"/>
    </x:row>
    <x:row r="234">
      <x:c r="G234" s="22"/>
      <x:c r="J234" s="26"/>
      <x:c r="K234" s="26"/>
      <x:c r="L234" s="27"/>
      <x:c r="M234" s="27"/>
    </x:row>
    <x:row r="235">
      <x:c r="G235" s="22"/>
      <x:c r="J235" s="26"/>
      <x:c r="K235" s="26"/>
      <x:c r="L235" s="27"/>
      <x:c r="M235" s="27"/>
    </x:row>
    <x:row r="236">
      <x:c r="G236" s="22"/>
      <x:c r="J236" s="26"/>
      <x:c r="K236" s="26"/>
      <x:c r="L236" s="27"/>
      <x:c r="M236" s="27"/>
    </x:row>
    <x:row r="237">
      <x:c r="G237" s="22"/>
      <x:c r="J237" s="26"/>
      <x:c r="K237" s="26"/>
      <x:c r="L237" s="27"/>
      <x:c r="M237" s="27"/>
    </x:row>
    <x:row r="238">
      <x:c r="G238" s="22"/>
      <x:c r="J238" s="26"/>
      <x:c r="K238" s="26"/>
      <x:c r="L238" s="27"/>
      <x:c r="M238" s="27"/>
    </x:row>
    <x:row r="239">
      <x:c r="G239" s="22"/>
      <x:c r="J239" s="26"/>
      <x:c r="K239" s="26"/>
      <x:c r="L239" s="27"/>
      <x:c r="M239" s="27"/>
    </x:row>
    <x:row r="240">
      <x:c r="G240" s="22"/>
      <x:c r="J240" s="26"/>
      <x:c r="K240" s="26"/>
      <x:c r="L240" s="27"/>
      <x:c r="M240" s="27"/>
    </x:row>
    <x:row r="241">
      <x:c r="G241" s="22"/>
      <x:c r="J241" s="26"/>
      <x:c r="K241" s="26"/>
      <x:c r="L241" s="27"/>
      <x:c r="M241" s="27"/>
    </x:row>
    <x:row r="242">
      <x:c r="G242" s="22"/>
      <x:c r="J242" s="26"/>
      <x:c r="K242" s="26"/>
      <x:c r="L242" s="27"/>
      <x:c r="M242" s="27"/>
    </x:row>
    <x:row r="243">
      <x:c r="G243" s="22"/>
      <x:c r="J243" s="26"/>
      <x:c r="K243" s="26"/>
      <x:c r="L243" s="27"/>
      <x:c r="M243" s="27"/>
    </x:row>
    <x:row r="244">
      <x:c r="G244" s="22"/>
      <x:c r="J244" s="26"/>
      <x:c r="K244" s="26"/>
      <x:c r="L244" s="27"/>
      <x:c r="M244" s="27"/>
    </x:row>
    <x:row r="245">
      <x:c r="G245" s="22"/>
      <x:c r="J245" s="26"/>
      <x:c r="K245" s="26"/>
      <x:c r="L245" s="27"/>
      <x:c r="M245" s="27"/>
    </x:row>
    <x:row r="246">
      <x:c r="G246" s="22"/>
      <x:c r="J246" s="26"/>
      <x:c r="K246" s="26"/>
      <x:c r="L246" s="27"/>
      <x:c r="M246" s="27"/>
    </x:row>
    <x:row r="247">
      <x:c r="G247" s="22"/>
      <x:c r="J247" s="26"/>
      <x:c r="K247" s="26"/>
      <x:c r="L247" s="27"/>
      <x:c r="M247" s="27"/>
    </x:row>
    <x:row r="248">
      <x:c r="G248" s="22"/>
      <x:c r="J248" s="26"/>
      <x:c r="K248" s="26"/>
      <x:c r="L248" s="27"/>
      <x:c r="M248" s="27"/>
    </x:row>
    <x:row r="249">
      <x:c r="G249" s="22"/>
      <x:c r="J249" s="26"/>
      <x:c r="K249" s="26"/>
      <x:c r="L249" s="27"/>
      <x:c r="M249" s="27"/>
    </x:row>
    <x:row r="250">
      <x:c r="G250" s="22"/>
      <x:c r="J250" s="26"/>
      <x:c r="K250" s="26"/>
      <x:c r="L250" s="27"/>
      <x:c r="M250" s="27"/>
    </x:row>
    <x:row r="251">
      <x:c r="G251" s="22"/>
      <x:c r="J251" s="26"/>
      <x:c r="K251" s="26"/>
      <x:c r="L251" s="27"/>
      <x:c r="M251" s="27"/>
    </x:row>
    <x:row r="252">
      <x:c r="G252" s="22"/>
      <x:c r="J252" s="26"/>
      <x:c r="K252" s="26"/>
      <x:c r="L252" s="27"/>
      <x:c r="M252" s="27"/>
    </x:row>
    <x:row r="253">
      <x:c r="G253" s="22"/>
      <x:c r="J253" s="26"/>
      <x:c r="K253" s="26"/>
      <x:c r="L253" s="27"/>
      <x:c r="M253" s="27"/>
    </x:row>
    <x:row r="254">
      <x:c r="G254" s="22"/>
      <x:c r="J254" s="26"/>
      <x:c r="K254" s="26"/>
      <x:c r="L254" s="27"/>
      <x:c r="M254" s="27"/>
    </x:row>
    <x:row r="255">
      <x:c r="G255" s="22"/>
      <x:c r="J255" s="26"/>
      <x:c r="K255" s="26"/>
      <x:c r="L255" s="27"/>
      <x:c r="M255" s="27"/>
    </x:row>
    <x:row r="256">
      <x:c r="G256" s="22"/>
      <x:c r="J256" s="26"/>
      <x:c r="K256" s="26"/>
      <x:c r="L256" s="27"/>
      <x:c r="M256" s="27"/>
    </x:row>
    <x:row r="257">
      <x:c r="G257" s="22"/>
      <x:c r="J257" s="26"/>
      <x:c r="K257" s="26"/>
      <x:c r="L257" s="27"/>
      <x:c r="M257" s="27"/>
    </x:row>
    <x:row r="258">
      <x:c r="G258" s="22"/>
      <x:c r="J258" s="26"/>
      <x:c r="K258" s="26"/>
      <x:c r="L258" s="27"/>
      <x:c r="M258" s="27"/>
    </x:row>
    <x:row r="259">
      <x:c r="G259" s="22"/>
      <x:c r="J259" s="26"/>
      <x:c r="K259" s="26"/>
      <x:c r="L259" s="27"/>
      <x:c r="M259" s="27"/>
    </x:row>
    <x:row r="260">
      <x:c r="G260" s="22"/>
      <x:c r="J260" s="26"/>
      <x:c r="K260" s="26"/>
      <x:c r="L260" s="27"/>
      <x:c r="M260" s="27"/>
    </x:row>
    <x:row r="261">
      <x:c r="G261" s="22"/>
      <x:c r="J261" s="26"/>
      <x:c r="K261" s="26"/>
      <x:c r="L261" s="27"/>
      <x:c r="M261" s="27"/>
    </x:row>
    <x:row r="262">
      <x:c r="G262" s="22"/>
      <x:c r="J262" s="26"/>
      <x:c r="K262" s="26"/>
      <x:c r="L262" s="27"/>
      <x:c r="M262" s="27"/>
    </x:row>
    <x:row r="263">
      <x:c r="G263" s="22"/>
      <x:c r="J263" s="26"/>
      <x:c r="K263" s="26"/>
      <x:c r="L263" s="27"/>
      <x:c r="M263" s="27"/>
    </x:row>
    <x:row r="264">
      <x:c r="G264" s="22"/>
      <x:c r="J264" s="26"/>
      <x:c r="K264" s="26"/>
      <x:c r="L264" s="27"/>
      <x:c r="M264" s="27"/>
    </x:row>
    <x:row r="265">
      <x:c r="G265" s="22"/>
      <x:c r="J265" s="26"/>
      <x:c r="K265" s="26"/>
      <x:c r="L265" s="27"/>
      <x:c r="M265" s="27"/>
    </x:row>
    <x:row r="266">
      <x:c r="G266" s="22"/>
      <x:c r="J266" s="26"/>
      <x:c r="K266" s="26"/>
      <x:c r="L266" s="27"/>
      <x:c r="M266" s="27"/>
    </x:row>
    <x:row r="267">
      <x:c r="G267" s="22"/>
      <x:c r="J267" s="26"/>
      <x:c r="K267" s="26"/>
      <x:c r="L267" s="27"/>
      <x:c r="M267" s="27"/>
    </x:row>
    <x:row r="268">
      <x:c r="G268" s="22"/>
      <x:c r="J268" s="26"/>
      <x:c r="K268" s="26"/>
      <x:c r="L268" s="27"/>
      <x:c r="M268" s="27"/>
    </x:row>
    <x:row r="269">
      <x:c r="G269" s="22"/>
      <x:c r="J269" s="26"/>
      <x:c r="K269" s="26"/>
      <x:c r="L269" s="27"/>
      <x:c r="M269" s="27"/>
    </x:row>
    <x:row r="270">
      <x:c r="G270" s="22"/>
      <x:c r="J270" s="26"/>
      <x:c r="K270" s="26"/>
      <x:c r="L270" s="27"/>
      <x:c r="M270" s="27"/>
    </x:row>
    <x:row r="271">
      <x:c r="G271" s="22"/>
      <x:c r="J271" s="26"/>
      <x:c r="K271" s="26"/>
      <x:c r="L271" s="27"/>
      <x:c r="M271" s="27"/>
    </x:row>
    <x:row r="272">
      <x:c r="G272" s="22"/>
      <x:c r="J272" s="26"/>
      <x:c r="K272" s="26"/>
      <x:c r="L272" s="27"/>
      <x:c r="M272" s="27"/>
    </x:row>
    <x:row r="273">
      <x:c r="G273" s="22"/>
      <x:c r="J273" s="26"/>
      <x:c r="K273" s="26"/>
      <x:c r="L273" s="27"/>
      <x:c r="M273" s="27"/>
    </x:row>
    <x:row r="274">
      <x:c r="G274" s="22"/>
      <x:c r="J274" s="26"/>
      <x:c r="K274" s="26"/>
      <x:c r="L274" s="27"/>
      <x:c r="M274" s="27"/>
    </x:row>
    <x:row r="275">
      <x:c r="G275" s="22"/>
      <x:c r="J275" s="26"/>
      <x:c r="K275" s="26"/>
      <x:c r="L275" s="27"/>
      <x:c r="M275" s="27"/>
    </x:row>
    <x:row r="276">
      <x:c r="G276" s="22"/>
      <x:c r="J276" s="26"/>
      <x:c r="K276" s="26"/>
      <x:c r="L276" s="27"/>
      <x:c r="M276" s="27"/>
    </x:row>
    <x:row r="277">
      <x:c r="G277" s="22"/>
      <x:c r="J277" s="26"/>
      <x:c r="K277" s="26"/>
      <x:c r="L277" s="27"/>
      <x:c r="M277" s="27"/>
    </x:row>
    <x:row r="278">
      <x:c r="G278" s="22"/>
      <x:c r="J278" s="26"/>
      <x:c r="K278" s="26"/>
      <x:c r="L278" s="27"/>
      <x:c r="M278" s="27"/>
    </x:row>
    <x:row r="279">
      <x:c r="G279" s="22"/>
      <x:c r="J279" s="26"/>
      <x:c r="K279" s="26"/>
      <x:c r="L279" s="27"/>
      <x:c r="M279" s="27"/>
    </x:row>
    <x:row r="280">
      <x:c r="G280" s="22"/>
      <x:c r="J280" s="26"/>
      <x:c r="K280" s="26"/>
      <x:c r="L280" s="27"/>
      <x:c r="M280" s="27"/>
    </x:row>
    <x:row r="281">
      <x:c r="G281" s="22"/>
      <x:c r="J281" s="26"/>
      <x:c r="K281" s="26"/>
      <x:c r="L281" s="27"/>
      <x:c r="M281" s="27"/>
    </x:row>
    <x:row r="282">
      <x:c r="G282" s="22"/>
      <x:c r="J282" s="26"/>
      <x:c r="K282" s="26"/>
      <x:c r="L282" s="27"/>
      <x:c r="M282" s="27"/>
    </x:row>
    <x:row r="283">
      <x:c r="G283" s="22"/>
      <x:c r="J283" s="26"/>
      <x:c r="K283" s="26"/>
      <x:c r="L283" s="27"/>
      <x:c r="M283" s="27"/>
    </x:row>
    <x:row r="284">
      <x:c r="G284" s="22"/>
      <x:c r="J284" s="26"/>
      <x:c r="K284" s="26"/>
      <x:c r="L284" s="27"/>
      <x:c r="M284" s="27"/>
    </x:row>
    <x:row r="285">
      <x:c r="G285" s="22"/>
      <x:c r="J285" s="26"/>
      <x:c r="K285" s="26"/>
      <x:c r="L285" s="27"/>
      <x:c r="M285" s="27"/>
    </x:row>
    <x:row r="286">
      <x:c r="G286" s="22"/>
      <x:c r="J286" s="26"/>
      <x:c r="K286" s="26"/>
      <x:c r="L286" s="27"/>
      <x:c r="M286" s="27"/>
    </x:row>
    <x:row r="287">
      <x:c r="G287" s="22"/>
      <x:c r="J287" s="26"/>
      <x:c r="K287" s="26"/>
      <x:c r="L287" s="27"/>
      <x:c r="M287" s="27"/>
    </x:row>
    <x:row r="288">
      <x:c r="G288" s="22"/>
      <x:c r="J288" s="26"/>
      <x:c r="K288" s="26"/>
      <x:c r="L288" s="27"/>
      <x:c r="M288" s="27"/>
    </x:row>
    <x:row r="289">
      <x:c r="G289" s="22"/>
      <x:c r="J289" s="26"/>
      <x:c r="K289" s="26"/>
      <x:c r="L289" s="27"/>
      <x:c r="M289" s="27"/>
    </x:row>
    <x:row r="290">
      <x:c r="G290" s="22"/>
      <x:c r="J290" s="26"/>
      <x:c r="K290" s="26"/>
      <x:c r="L290" s="27"/>
      <x:c r="M290" s="27"/>
    </x:row>
    <x:row r="291">
      <x:c r="G291" s="22"/>
      <x:c r="J291" s="26"/>
      <x:c r="K291" s="26"/>
      <x:c r="L291" s="27"/>
      <x:c r="M291" s="27"/>
    </x:row>
    <x:row r="292">
      <x:c r="G292" s="22"/>
      <x:c r="J292" s="26"/>
      <x:c r="K292" s="26"/>
      <x:c r="L292" s="27"/>
      <x:c r="M292" s="27"/>
    </x:row>
    <x:row r="293">
      <x:c r="G293" s="22"/>
      <x:c r="J293" s="26"/>
      <x:c r="K293" s="26"/>
      <x:c r="L293" s="27"/>
      <x:c r="M293" s="27"/>
    </x:row>
    <x:row r="294">
      <x:c r="G294" s="22"/>
      <x:c r="J294" s="26"/>
      <x:c r="K294" s="26"/>
      <x:c r="L294" s="27"/>
      <x:c r="M294" s="27"/>
    </x:row>
    <x:row r="295">
      <x:c r="G295" s="22"/>
      <x:c r="J295" s="26"/>
      <x:c r="K295" s="26"/>
      <x:c r="L295" s="27"/>
      <x:c r="M295" s="27"/>
    </x:row>
    <x:row r="296">
      <x:c r="G296" s="22"/>
      <x:c r="J296" s="26"/>
      <x:c r="K296" s="26"/>
      <x:c r="L296" s="27"/>
      <x:c r="M296" s="27"/>
    </x:row>
    <x:row r="297">
      <x:c r="G297" s="22"/>
      <x:c r="J297" s="26"/>
      <x:c r="K297" s="26"/>
      <x:c r="L297" s="27"/>
      <x:c r="M297" s="27"/>
    </x:row>
    <x:row r="298">
      <x:c r="G298" s="22"/>
      <x:c r="J298" s="26"/>
      <x:c r="K298" s="26"/>
      <x:c r="L298" s="27"/>
      <x:c r="M298" s="27"/>
    </x:row>
    <x:row r="299">
      <x:c r="G299" s="22"/>
      <x:c r="J299" s="26"/>
      <x:c r="K299" s="26"/>
      <x:c r="L299" s="27"/>
      <x:c r="M299" s="27"/>
    </x:row>
    <x:row r="300">
      <x:c r="G300" s="22"/>
      <x:c r="J300" s="26"/>
      <x:c r="K300" s="26"/>
      <x:c r="L300" s="27"/>
      <x:c r="M300" s="27"/>
    </x:row>
    <x:row r="301">
      <x:c r="G301" s="22"/>
      <x:c r="J301" s="26"/>
      <x:c r="K301" s="26"/>
      <x:c r="L301" s="27"/>
      <x:c r="M301" s="27"/>
    </x:row>
    <x:row r="302">
      <x:c r="G302" s="22"/>
      <x:c r="J302" s="26"/>
      <x:c r="K302" s="26"/>
      <x:c r="L302" s="27"/>
      <x:c r="M302" s="27"/>
    </x:row>
    <x:row r="303">
      <x:c r="G303" s="22"/>
      <x:c r="J303" s="26"/>
      <x:c r="K303" s="26"/>
      <x:c r="L303" s="27"/>
      <x:c r="M303" s="27"/>
    </x:row>
    <x:row r="304">
      <x:c r="G304" s="22"/>
      <x:c r="J304" s="26"/>
      <x:c r="K304" s="26"/>
      <x:c r="L304" s="27"/>
      <x:c r="M304" s="27"/>
    </x:row>
  </x:sheetData>
  <x:dataValidations count="2">
    <x:dataValidation type="list" sqref="D5:D304">
      <x:formula1>"MPS,PPS,Exact"</x:formula1>
    </x:dataValidation>
    <x:dataValidation type="list" sqref="I5:I304">
      <x:formula1>"planned,running,succeeded,failed,canceled"</x:formula1>
    </x:dataValidation>
  </x:dataValidations>
  <x:pageMargins left="0.7" right="0.7" top="0.75" bottom="0.75" header="0.3" footer="0.3"/>
</x:worksheet>
</file>