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1a1a4ec00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3722301114264a1f"/>
    <x:sheet xmlns:r="http://schemas.openxmlformats.org/officeDocument/2006/relationships" name="Qubits" sheetId="2" r:id="R5edde75236a248c3"/>
    <x:sheet xmlns:r="http://schemas.openxmlformats.org/officeDocument/2006/relationships" name="Estimates" sheetId="3" r:id="Rbac63ae7fb8b4d35"/>
    <x:sheet xmlns:r="http://schemas.openxmlformats.org/officeDocument/2006/relationships" name="Jobs" sheetId="4" r:id="R53ebdc83e3bc4d30"/>
  </x:sheets>
  <x:calcPr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.0"/>
    <x:numFmt numFmtId="202" formatCode="0.00000"/>
    <x:numFmt numFmtId="203" formatCode="0.000000"/>
    <x:numFmt numFmtId="204" formatCode="0"/>
  </x:numFmts>
  <x:fonts count="7">
    <x:font>
      <x:sz val="11"/>
      <x:name val="Carlito"/>
    </x:font>
    <x:font>
      <x:sz val="10"/>
      <x:color rgb="FF16283E"/>
      <x:name val="Arial"/>
    </x:font>
    <x:font>
      <x:b/>
      <x:sz val="14"/>
      <x:color rgb="FF16283E"/>
      <x:name val="Arial"/>
    </x:font>
    <x:font>
      <x:sz val="10"/>
      <x:color rgb="FF315D87"/>
      <x:name val="Arial"/>
    </x:font>
    <x:font>
      <x:b/>
      <x:sz val="10"/>
      <x:color rgb="FF16283E"/>
      <x:name val="Arial"/>
    </x:font>
    <x:font>
      <x:b/>
      <x:sz val="10"/>
      <x:color rgb="FFFFFFFF"/>
      <x:name val="Arial"/>
    </x:font>
    <x:font>
      <x:i/>
      <x:sz val="9"/>
      <x:color rgb="FF6A788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6"/>
      </x:patternFill>
    </x:fill>
    <x:fill>
      <x:patternFill patternType="solid">
        <x:fgColor rgb="FFEAF1F7"/>
      </x:patternFill>
    </x:fill>
    <x:fill>
      <x:patternFill patternType="solid">
        <x:fgColor rgb="FF243C5A"/>
      </x:patternFill>
    </x:fill>
    <x:fill>
      <x:patternFill patternType="solid">
        <x:fgColor rgb="FFF4F7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f01b5b1d84ea5" /><Relationship Type="http://schemas.openxmlformats.org/officeDocument/2006/relationships/theme" Target="/xl/theme/theme1.xml" Id="R07ee92ad3d96426e" /><Relationship Type="http://schemas.openxmlformats.org/officeDocument/2006/relationships/sharedStrings" Target="/xl/sharedStrings.xml" Id="R63e9ccbaabda4c84" /><Relationship Type="http://schemas.openxmlformats.org/officeDocument/2006/relationships/worksheet" Target="/xl/worksheets/sheet1.xml" Id="R3722301114264a1f" /><Relationship Type="http://schemas.openxmlformats.org/officeDocument/2006/relationships/worksheet" Target="/xl/worksheets/sheet2.xml" Id="R5edde75236a248c3" /><Relationship Type="http://schemas.openxmlformats.org/officeDocument/2006/relationships/worksheet" Target="/xl/worksheets/sheet3.xml" Id="Rbac63ae7fb8b4d35" /><Relationship Type="http://schemas.openxmlformats.org/officeDocument/2006/relationships/worksheet" Target="/xl/worksheets/sheet4.xml" Id="R53ebdc83e3bc4d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30" hidden="0" customWidth="1"/>
    <x:col min="2" max="2" width="31" hidden="0" customWidth="1"/>
    <x:col min="3" max="3" width="3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Hidden 3 estimation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 t="str">
        <x:v>Official circuit ID</x:v>
      </x:c>
      <x:c r="B4" s="6" t="inlineStr">
        <x:is>
          <x:t>G3</x:t>
        </x:is>
      </x:c>
      <x:c r="C4" s="2"/>
      <x:c r="D4" s="10" t="str">
        <x:v>Precision settings</x:v>
      </x:c>
      <x:c r="E4" s="10" t="str">
        <x:v>Slot 1</x:v>
      </x:c>
      <x:c r="F4" s="10" t="str">
        <x:v>Slot 2</x:v>
      </x:c>
      <x:c r="G4" s="10" t="str">
        <x:v>Slot 3</x:v>
      </x:c>
      <x:c r="H4" s="2"/>
    </x:row>
    <x:row r="5">
      <x:c r="A5" s="2" t="str">
        <x:v>Required qubits</x:v>
      </x:c>
      <x:c r="B5" s="6" t="n">
        <x:v>36</x:v>
      </x:c>
      <x:c r="C5" s="2"/>
      <x:c r="D5" s="2" t="str">
        <x:v>MPS bond dimension χ</x:v>
      </x:c>
      <x:c r="E5" s="6" t="n">
        <x:v>32</x:v>
      </x:c>
      <x:c r="F5" s="6" t="n">
        <x:v>64</x:v>
      </x:c>
      <x:c r="G5" s="6" t="n">
        <x:v>128</x:v>
      </x:c>
      <x:c r="H5" s="2"/>
    </x:row>
    <x:row r="6">
      <x:c r="A6" s="2" t="str">
        <x:v>CSV choice</x:v>
      </x:c>
      <x:c r="B6" s="6"/>
      <x:c r="C6" s="2"/>
      <x:c r="D6" s="2" t="str">
        <x:v>PPS threshold ε</x:v>
      </x:c>
      <x:c r="E6" s="11" t="n">
        <x:v>0.01</x:v>
      </x:c>
      <x:c r="F6" s="11" t="n">
        <x:v>0.003</x:v>
      </x:c>
      <x:c r="G6" s="11" t="n">
        <x:v>0.001</x:v>
      </x:c>
      <x:c r="H6" s="2"/>
    </x:row>
    <x:row r="7">
      <x:c r="A7" s="2" t="str">
        <x:v>Model validated on both samples</x:v>
      </x:c>
      <x:c r="B7" s="6"/>
      <x:c r="C7" s="2"/>
      <x:c r="D7" s="2" t="str">
        <x:v>PPS transpilation level</x:v>
      </x:c>
      <x:c r="E7" s="6" t="n">
        <x:v>2</x:v>
      </x:c>
      <x:c r="F7" s="2"/>
      <x:c r="G7" s="2"/>
      <x:c r="H7" s="2"/>
    </x:row>
    <x:row r="8">
      <x:c r="A8" s="2" t="str">
        <x:v>Run decision</x:v>
      </x:c>
      <x:c r="B8" s="6"/>
      <x:c r="C8" s="2"/>
      <x:c r="D8" s="2"/>
      <x:c r="E8" s="2"/>
      <x:c r="F8" s="2"/>
      <x:c r="G8" s="2"/>
      <x:c r="H8" s="2"/>
    </x:row>
    <x:row r="9">
      <x:c r="A9" s="2" t="str">
        <x:v>Remaining credits</x:v>
      </x:c>
      <x:c r="B9" s="7"/>
      <x:c r="C9" s="2"/>
      <x:c r="D9" s="9" t="str">
        <x:v>Next action</x:v>
      </x:c>
      <x:c r="E9" s="10" t="str">
        <x:f>IF(OR(NOT(ISNUMBER($B$5)),E11&lt;&gt;$B$5),"Load target list",IF(E12&lt;$B$5,"Complete baseline",IF(E10&lt;&gt;"Ready for template check","Prepare CSV estimate",IF($B$8="Move on","Move on",IF(AND(ISNUMBER($B$9),ISNUMBER($B$10),$B$10&gt;$B$9),"Save CSV and move on",IF(AND(ISNUMBER($B$11),ISNUMBER($B$12),$B$12&gt;=$B$11),"Save CSV and move on","Review next refinement"))))))</x:f>
        <x:v>Load target list</x:v>
      </x:c>
      <x:c r="F9" s="9"/>
      <x:c r="G9" s="9"/>
      <x:c r="H9" s="2"/>
    </x:row>
    <x:row r="10">
      <x:c r="A10" s="2" t="str">
        <x:v>Next job est. credits</x:v>
      </x:c>
      <x:c r="B10" s="7"/>
      <x:c r="C10" s="2"/>
      <x:c r="D10" s="9" t="str">
        <x:v>CSV export check</x:v>
      </x:c>
      <x:c r="E10" s="10" t="str">
        <x:f>IF($B$4="","Set circuit ID",IF(OR(NOT(ISNUMBER($B$5)),$B$5&lt;=0),"Set target count",IF(E11&lt;&gt;$B$5,"Check target list",IF(E14&gt;0,"Resolve data issues",IF(COUNTIFS($D$20:$D$28,$B$6)&lt;&gt;1,"Choose CSV estimate",IF(AND($B$6="Calibrated",$B$30=""),"Describe calibrated model",IF(AND(OR($B$6="MPS extrap",$B$6="PPS extrap",$B$6="Calibrated"),$B$7&lt;&gt;"Yes"),"Validate on both samples",IF(E13&lt;&gt;$B$5,"Missing selected values","Ready for template check"))))))))</x:f>
        <x:v>Set circuit ID</x:v>
      </x:c>
      <x:c r="F10" s="9"/>
      <x:c r="G10" s="9"/>
      <x:c r="H10" s="2"/>
    </x:row>
    <x:row r="11">
      <x:c r="A11" s="2" t="str">
        <x:v>Minutes to cutoff</x:v>
      </x:c>
      <x:c r="B11" s="8"/>
      <x:c r="C11" s="2"/>
      <x:c r="D11" s="2" t="str">
        <x:v>Targets entered</x:v>
      </x:c>
      <x:c r="E11" s="2" t="n">
        <x:f>COUNTA('Qubits'!$A$6:$A$165)</x:f>
        <x:v>0</x:v>
      </x:c>
      <x:c r="F11" s="2"/>
      <x:c r="G11" s="2"/>
      <x:c r="H11" s="2"/>
    </x:row>
    <x:row r="12">
      <x:c r="A12" s="2" t="str">
        <x:v>Next job est. minutes</x:v>
      </x:c>
      <x:c r="B12" s="8"/>
      <x:c r="C12" s="2"/>
      <x:c r="D12" s="2" t="str">
        <x:v>Baseline rows</x:v>
      </x:c>
      <x:c r="E12" s="2" t="n">
        <x:f>SUM('Qubits'!$S$6:$S$165)</x:f>
        <x:v>0</x:v>
      </x:c>
      <x:c r="F12" s="2"/>
      <x:c r="G12" s="2"/>
      <x:c r="H12" s="2"/>
    </x:row>
    <x:row r="13">
      <x:c r="A13" s="2"/>
      <x:c r="B13" s="2"/>
      <x:c r="C13" s="2"/>
      <x:c r="D13" s="2" t="str">
        <x:v>Selected rows</x:v>
      </x:c>
      <x:c r="E13" s="2" t="n">
        <x:f>COUNT('Qubits'!$R$6:$R$165)</x:f>
        <x:v>0</x:v>
      </x:c>
      <x:c r="F13" s="2"/>
      <x:c r="G13" s="2"/>
      <x:c r="H13" s="2"/>
    </x:row>
    <x:row r="14">
      <x:c r="A14" s="2"/>
      <x:c r="B14" s="2"/>
      <x:c r="C14" s="2"/>
      <x:c r="D14" s="2" t="str">
        <x:v>Data issues</x:v>
      </x:c>
      <x:c r="E14" s="2" t="n">
        <x:f>COUNTIFS('Qubits'!$T$6:$T$165,"Duplicate target")+COUNTIFS('Qubits'!$T$6:$T$165,"Duplicate accepted run")+COUNTIFS('Qubits'!$T$6:$T$165,"Accepted value missing")</x:f>
        <x:v>0</x:v>
      </x:c>
      <x:c r="F14" s="2"/>
      <x:c r="G14" s="2"/>
      <x:c r="H14" s="2"/>
    </x:row>
    <x:row r="15">
      <x:c r="A15" s="2"/>
      <x:c r="B15" s="2"/>
      <x:c r="C15" s="2"/>
      <x:c r="D15" s="2" t="str">
        <x:v>Running jobs</x:v>
      </x:c>
      <x:c r="E15" s="2" t="n">
        <x:f>COUNTIFS('Jobs'!$F$5:$F$1004,"running")</x:f>
        <x:v>0</x:v>
      </x:c>
      <x:c r="F15" s="2"/>
      <x:c r="G15" s="2"/>
      <x:c r="H15" s="2"/>
    </x:row>
    <x:row r="16">
      <x:c r="A16" s="2"/>
      <x:c r="B16" s="2"/>
      <x:c r="C16" s="2"/>
      <x:c r="D16" s="2" t="str">
        <x:v>Credits spent</x:v>
      </x:c>
      <x:c r="E16" s="12" t="n">
        <x:f>SUM('Jobs'!$I$5:$I$1004)</x:f>
        <x:v>0</x:v>
      </x:c>
      <x:c r="F16" s="2"/>
      <x:c r="G16" s="2"/>
      <x:c r="H16" s="2"/>
    </x:row>
    <x:row r="17">
      <x:c r="A17" s="2"/>
      <x:c r="B17" s="2"/>
      <x:c r="C17" s="2"/>
      <x:c r="D17" s="2" t="str">
        <x:v>MPS backtest gain</x:v>
      </x:c>
      <x:c r="E17" s="13" t="str">
        <x:f>IF(OR(NOT(ISNUMBER($B$5)),COUNT('Qubits'!$G$6:$G$165)&lt;&gt;$B$5,COUNT('Qubits'!$H$6:$H$165)&lt;&gt;$B$5),"",SQRT(SUMSQ('Qubits'!$G$6:$G$165)/$B$5)-SQRT(SUMSQ('Qubits'!$H$6:$H$165)/$B$5))</x:f>
      </x:c>
      <x:c r="F17" s="2"/>
      <x:c r="G17" s="2"/>
      <x:c r="H17" s="2"/>
    </x:row>
    <x:row r="18">
      <x:c r="A18" s="2"/>
      <x:c r="B18" s="2"/>
      <x:c r="C18" s="2"/>
      <x:c r="D18" s="2" t="str">
        <x:v>PPS backtest gain</x:v>
      </x:c>
      <x:c r="E18" s="13" t="str">
        <x:f>IF(OR(NOT(ISNUMBER($B$5)),COUNT('Qubits'!$N$6:$N$165)&lt;&gt;$B$5,COUNT('Qubits'!$O$6:$O$165)&lt;&gt;$B$5),"",SQRT(SUMSQ('Qubits'!$N$6:$N$165)/$B$5)-SQRT(SUMSQ('Qubits'!$O$6:$O$165)/$B$5))</x:f>
      </x:c>
      <x:c r="F18" s="2"/>
      <x:c r="G18" s="2"/>
      <x:c r="H18" s="2"/>
    </x:row>
    <x:row r="19" ht="30" customHeight="1">
      <x:c r="A19" s="2"/>
      <x:c r="B19" s="2"/>
      <x:c r="C19" s="2"/>
      <x:c r="D19" s="16" t="str">
        <x:v>Candidate</x:v>
      </x:c>
      <x:c r="E19" s="16" t="str">
        <x:v>Rows</x:v>
      </x:c>
      <x:c r="F19" s="2"/>
      <x:c r="G19" s="2"/>
      <x:c r="H19" s="2"/>
    </x:row>
    <x:row r="20">
      <x:c r="A20" s="2"/>
      <x:c r="B20" s="2"/>
      <x:c r="C20" s="2"/>
      <x:c r="D20" s="2" t="str">
        <x:v>MPS 1</x:v>
      </x:c>
      <x:c r="E20" s="2" t="n">
        <x:f>COUNT('Qubits'!$C$6:$C$165)</x:f>
        <x:v>0</x:v>
      </x:c>
      <x:c r="F20" s="2"/>
      <x:c r="G20" s="2"/>
      <x:c r="H20" s="2"/>
    </x:row>
    <x:row r="21">
      <x:c r="A21" s="2"/>
      <x:c r="B21" s="2"/>
      <x:c r="C21" s="2"/>
      <x:c r="D21" s="2" t="str">
        <x:v>MPS 2</x:v>
      </x:c>
      <x:c r="E21" s="2" t="n">
        <x:f>COUNT('Qubits'!$D$6:$D$165)</x:f>
        <x:v>0</x:v>
      </x:c>
      <x:c r="F21" s="2"/>
      <x:c r="G21" s="2"/>
      <x:c r="H21" s="2"/>
    </x:row>
    <x:row r="22">
      <x:c r="A22" s="2"/>
      <x:c r="B22" s="2"/>
      <x:c r="C22" s="2"/>
      <x:c r="D22" s="2" t="str">
        <x:v>MPS 3</x:v>
      </x:c>
      <x:c r="E22" s="2" t="n">
        <x:f>COUNT('Qubits'!$E$6:$E$165)</x:f>
        <x:v>0</x:v>
      </x:c>
      <x:c r="F22" s="2"/>
      <x:c r="G22" s="2"/>
      <x:c r="H22" s="2"/>
    </x:row>
    <x:row r="23">
      <x:c r="A23" s="2"/>
      <x:c r="B23" s="2"/>
      <x:c r="C23" s="2"/>
      <x:c r="D23" s="2" t="str">
        <x:v>MPS extrap</x:v>
      </x:c>
      <x:c r="E23" s="2" t="n">
        <x:f>COUNT('Qubits'!$I$6:$I$165)</x:f>
        <x:v>0</x:v>
      </x:c>
      <x:c r="F23" s="2"/>
      <x:c r="G23" s="2"/>
      <x:c r="H23" s="2"/>
    </x:row>
    <x:row r="24">
      <x:c r="A24" s="2"/>
      <x:c r="B24" s="2"/>
      <x:c r="C24" s="2"/>
      <x:c r="D24" s="2" t="str">
        <x:v>PPS 1</x:v>
      </x:c>
      <x:c r="E24" s="2" t="n">
        <x:f>COUNT('Qubits'!$J$6:$J$165)</x:f>
        <x:v>0</x:v>
      </x:c>
      <x:c r="F24" s="2"/>
      <x:c r="G24" s="2"/>
      <x:c r="H24" s="2"/>
    </x:row>
    <x:row r="25">
      <x:c r="A25" s="2"/>
      <x:c r="B25" s="2"/>
      <x:c r="C25" s="2"/>
      <x:c r="D25" s="2" t="str">
        <x:v>PPS 2</x:v>
      </x:c>
      <x:c r="E25" s="2" t="n">
        <x:f>COUNT('Qubits'!$K$6:$K$165)</x:f>
        <x:v>0</x:v>
      </x:c>
      <x:c r="F25" s="2"/>
      <x:c r="G25" s="2"/>
      <x:c r="H25" s="2"/>
    </x:row>
    <x:row r="26">
      <x:c r="A26" s="2"/>
      <x:c r="B26" s="2"/>
      <x:c r="C26" s="2"/>
      <x:c r="D26" s="2" t="str">
        <x:v>PPS 3</x:v>
      </x:c>
      <x:c r="E26" s="2" t="n">
        <x:f>COUNT('Qubits'!$L$6:$L$165)</x:f>
        <x:v>0</x:v>
      </x:c>
      <x:c r="F26" s="2"/>
      <x:c r="G26" s="2"/>
      <x:c r="H26" s="2"/>
    </x:row>
    <x:row r="27">
      <x:c r="A27" s="2"/>
      <x:c r="B27" s="2"/>
      <x:c r="C27" s="2"/>
      <x:c r="D27" s="2" t="str">
        <x:v>PPS extrap</x:v>
      </x:c>
      <x:c r="E27" s="2" t="n">
        <x:f>COUNT('Qubits'!$P$6:$P$165)</x:f>
        <x:v>0</x:v>
      </x:c>
      <x:c r="F27" s="2"/>
      <x:c r="G27" s="2"/>
      <x:c r="H27" s="2"/>
    </x:row>
    <x:row r="28">
      <x:c r="A28" s="2"/>
      <x:c r="B28" s="2"/>
      <x:c r="C28" s="2"/>
      <x:c r="D28" s="2" t="str">
        <x:v>Calibrated</x:v>
      </x:c>
      <x:c r="E28" s="2" t="n">
        <x:f>COUNT('Qubits'!$Q$6:$Q$165)</x:f>
        <x:v>0</x:v>
      </x:c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 t="str">
        <x:v>Model ID / evidence</x:v>
      </x:c>
      <x:c r="B30" s="6"/>
      <x:c r="C30" s="2"/>
      <x:c r="D30" s="2"/>
      <x:c r="E30" s="2"/>
      <x:c r="F30" s="2"/>
      <x:c r="G30" s="2"/>
      <x:c r="H30" s="2"/>
    </x:row>
    <x:row r="31">
      <x:c r="A31" s="17" t="str">
        <x:v>Candidate model: linear in 1/χ for MPS or ε for PPS. Compare official scores on both samples.</x:v>
      </x:c>
      <x:c r="B31" s="17"/>
      <x:c r="C31" s="17"/>
      <x:c r="D31" s="17"/>
      <x:c r="E31" s="17"/>
      <x:c r="F31" s="17"/>
      <x:c r="G31" s="17"/>
      <x:c r="H31" s="17"/>
    </x:row>
    <x:row r="32">
      <x:c r="A32" s="17" t="str">
        <x:v>Δ = finer − coarser. Backtest gain &gt; 0 means the fit predicted slot 3 better than direct slot 2.</x:v>
      </x:c>
      <x:c r="B32" s="17"/>
      <x:c r="C32" s="17"/>
      <x:c r="D32" s="17"/>
      <x:c r="E32" s="17"/>
      <x:c r="F32" s="17"/>
      <x:c r="G32" s="17"/>
      <x:c r="H32" s="17"/>
    </x:row>
    <x:row r="33">
      <x:c r="A33" s="17" t="str">
        <x:v>Signed sample error = estimate − exact. Initial settings: estimation_workflow_v0.md §3.2; kit controls IDs and scoring.</x:v>
      </x:c>
      <x:c r="B33" s="17"/>
      <x:c r="C33" s="17"/>
      <x:c r="D33" s="17"/>
      <x:c r="E33" s="17"/>
      <x:c r="F33" s="17"/>
      <x:c r="G33" s="17"/>
      <x:c r="H33" s="17"/>
    </x:row>
  </x:sheetData>
  <x:dataValidations count="6">
    <x:dataValidation type="list" sqref="B6">
      <x:formula1>"MPS 1,MPS 2,MPS 3,MPS extrap,PPS 1,PPS 2,PPS 3,PPS extrap,Calibrated"</x:formula1>
    </x:dataValidation>
    <x:dataValidation type="list" sqref="B7">
      <x:formula1>"Yes,No"</x:formula1>
    </x:dataValidation>
    <x:dataValidation type="list" sqref="B8">
      <x:formula1>"Continue,Move on"</x:formula1>
    </x:dataValidation>
    <x:dataValidation type="whole" operator="between" sqref="E5:G5">
      <x:formula1>1</x:formula1>
      <x:formula2>1000000</x:formula2>
    </x:dataValidation>
    <x:dataValidation type="decimal" operator="between" sqref="E6:G6">
      <x:formula1>0.00001</x:formula1>
      <x:formula2>1</x:formula2>
    </x:dataValidation>
    <x:dataValidation type="whole" operator="between" sqref="E7">
      <x:formula1>0</x:formula1>
      <x:formula2>3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D8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1" hidden="0" customWidth="1"/>
    <x:col min="18" max="18" width="15" hidden="0" customWidth="1"/>
    <x:col min="19" max="19" width="15" hidden="0" customWidth="1"/>
    <x:col min="20" max="20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 t="str">
        <x:v>Hidden 3 qubits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0" customHeight="1">
      <x:c r="A5" s="16" t="str">
        <x:v>Qubit</x:v>
      </x:c>
      <x:c r="B5" s="16" t="str">
        <x:v>Exact sample</x:v>
      </x:c>
      <x:c r="C5" s="16" t="str">
        <x:v>MPS 1</x:v>
      </x:c>
      <x:c r="D5" s="16" t="str">
        <x:v>MPS 2</x:v>
      </x:c>
      <x:c r="E5" s="16" t="str">
        <x:v>MPS 3</x:v>
      </x:c>
      <x:c r="F5" s="16" t="str">
        <x:v>MPS Δ12</x:v>
      </x:c>
      <x:c r="G5" s="16" t="str">
        <x:v>MPS Δ23</x:v>
      </x:c>
      <x:c r="H5" s="16" t="str">
        <x:v>MPS backtest error</x:v>
      </x:c>
      <x:c r="I5" s="16" t="str">
        <x:v>MPS extrap</x:v>
      </x:c>
      <x:c r="J5" s="16" t="str">
        <x:v>PPS 1</x:v>
      </x:c>
      <x:c r="K5" s="16" t="str">
        <x:v>PPS 2</x:v>
      </x:c>
      <x:c r="L5" s="16" t="str">
        <x:v>PPS 3</x:v>
      </x:c>
      <x:c r="M5" s="16" t="str">
        <x:v>PPS Δ12</x:v>
      </x:c>
      <x:c r="N5" s="16" t="str">
        <x:v>PPS Δ23</x:v>
      </x:c>
      <x:c r="O5" s="16" t="str">
        <x:v>PPS backtest error</x:v>
      </x:c>
      <x:c r="P5" s="16" t="str">
        <x:v>PPS extrap</x:v>
      </x:c>
      <x:c r="Q5" s="16" t="str">
        <x:v>Calibrated estimate</x:v>
      </x:c>
      <x:c r="R5" s="16" t="str">
        <x:v>CSV estimate</x:v>
      </x:c>
      <x:c r="S5" s="16" t="str">
        <x:v>Baseline</x:v>
      </x:c>
      <x:c r="T5" s="16" t="str">
        <x:v>Data issue</x:v>
      </x:c>
    </x:row>
    <x:row r="6">
      <x:c r="A6" s="21" t="n">
        <x:v>0</x:v>
      </x:c>
      <x:c r="B6" s="19"/>
      <x:c r="C6" s="13" t="str">
        <x:f>IF(OR(COUNTA($A6)=0,NOT(ISNUMBER('Status'!$E$5))),"",IF(COUNTIFS('Estimates'!$A$5:$A$2004,$A6,'Estimates'!$B$5:$B$2004,"MPS",'Estimates'!$C$5:$C$2004,'Status'!$E$5,'Estimates'!$H$5:$H$2004,1)=0,"",IF(COUNTIFS('Estimates'!$A$5:$A$2004,$A6,'Estimates'!$B$5:$B$2004,"MPS",'Estimates'!$C$5:$C$2004,'Status'!$E$5,'Estimates'!$H$5:$H$2004,1)&gt;1,"DUP",IF(COUNTIFS('Estimates'!$A$5:$A$2004,$A6,'Estimates'!$B$5:$B$2004,"MPS",'Estimates'!$C$5:$C$2004,'Status'!$E$5,'Estimates'!$H$5:$H$2004,1,'Estimates'!$F$5:$F$2004,"&lt;&gt;")=0,"",SUMIFS('Estimates'!$F$5:$F$2004,'Estimates'!$A$5:$A$2004,$A6,'Estimates'!$B$5:$B$2004,"MPS",'Estimates'!$C$5:$C$2004,'Status'!$E$5,'Estimates'!$H$5:$H$2004,1)))))</x:f>
      </x:c>
      <x:c r="D6" s="13" t="str">
        <x:f>IF(OR(COUNTA($A6)=0,NOT(ISNUMBER('Status'!$F$5))),"",IF(COUNTIFS('Estimates'!$A$5:$A$2004,$A6,'Estimates'!$B$5:$B$2004,"MPS",'Estimates'!$C$5:$C$2004,'Status'!$F$5,'Estimates'!$H$5:$H$2004,1)=0,"",IF(COUNTIFS('Estimates'!$A$5:$A$2004,$A6,'Estimates'!$B$5:$B$2004,"MPS",'Estimates'!$C$5:$C$2004,'Status'!$F$5,'Estimates'!$H$5:$H$2004,1)&gt;1,"DUP",IF(COUNTIFS('Estimates'!$A$5:$A$2004,$A6,'Estimates'!$B$5:$B$2004,"MPS",'Estimates'!$C$5:$C$2004,'Status'!$F$5,'Estimates'!$H$5:$H$2004,1,'Estimates'!$F$5:$F$2004,"&lt;&gt;")=0,"",SUMIFS('Estimates'!$F$5:$F$2004,'Estimates'!$A$5:$A$2004,$A6,'Estimates'!$B$5:$B$2004,"MPS",'Estimates'!$C$5:$C$2004,'Status'!$F$5,'Estimates'!$H$5:$H$2004,1)))))</x:f>
      </x:c>
      <x:c r="E6" s="13" t="str">
        <x:f>IF(OR(COUNTA($A6)=0,NOT(ISNUMBER('Status'!$G$5))),"",IF(COUNTIFS('Estimates'!$A$5:$A$2004,$A6,'Estimates'!$B$5:$B$2004,"MPS",'Estimates'!$C$5:$C$2004,'Status'!$G$5,'Estimates'!$H$5:$H$2004,1)=0,"",IF(COUNTIFS('Estimates'!$A$5:$A$2004,$A6,'Estimates'!$B$5:$B$2004,"MPS",'Estimates'!$C$5:$C$2004,'Status'!$G$5,'Estimates'!$H$5:$H$2004,1)&gt;1,"DUP",IF(COUNTIFS('Estimates'!$A$5:$A$2004,$A6,'Estimates'!$B$5:$B$2004,"MPS",'Estimates'!$C$5:$C$2004,'Status'!$G$5,'Estimates'!$H$5:$H$2004,1,'Estimates'!$F$5:$F$2004,"&lt;&gt;")=0,"",SUMIFS('Estimates'!$F$5:$F$2004,'Estimates'!$A$5:$A$2004,$A6,'Estimates'!$B$5:$B$2004,"MPS",'Estimates'!$C$5:$C$2004,'Status'!$G$5,'Estimates'!$H$5:$H$2004,1)))))</x:f>
      </x:c>
      <x:c r="F6" s="13" t="str">
        <x:f>IF(AND(ISNUMBER(C6),ISNUMBER(D6)),D6-C6,"")</x:f>
      </x:c>
      <x:c r="G6" s="13" t="str">
        <x:f>IF(AND(ISNUMBER(D6),ISNUMBER(E6)),E6-D6,"")</x:f>
      </x:c>
      <x:c r="H6" s="13" t="str">
        <x:f>IF(AND(COUNT(C6:E6)=3,COUNT('Status'!$E$5:$G$5)=3,'Status'!$E$5&gt;0,'Status'!$E$5&lt;'Status'!$F$5,'Status'!$F$5&lt;'Status'!$G$5),ABS(E6-(D6+(D6-C6)*((1/'Status'!$G$5)-(1/'Status'!$F$5))/((1/'Status'!$F$5)-(1/'Status'!$E$5)))),"")</x:f>
      </x:c>
      <x:c r="I6" s="13" t="str">
        <x:f>IF(AND(COUNT(C6:E6)=3,COUNT('Status'!$E$5:$G$5)=3,'Status'!$E$5&gt;0,'Status'!$E$5&lt;'Status'!$F$5,'Status'!$F$5&lt;'Status'!$G$5),((1/'Status'!$F$5)*E6-(1/'Status'!$G$5)*D6)/((1/'Status'!$F$5)-(1/'Status'!$G$5)),"")</x:f>
      </x:c>
      <x:c r="J6" s="13" t="str">
        <x:f>IF(OR(COUNTA($A6)=0,NOT(ISNUMBER('Status'!$E$6))),"",IF(COUNTIFS('Estimates'!$A$5:$A$2004,$A6,'Estimates'!$B$5:$B$2004,"PPS",'Estimates'!$D$5:$D$2004,'Status'!$E$6,'Estimates'!$H$5:$H$2004,1,'Estimates'!$E$5:$E$2004,'Status'!$E$7)=0,"",IF(COUNTIFS('Estimates'!$A$5:$A$2004,$A6,'Estimates'!$B$5:$B$2004,"PPS",'Estimates'!$D$5:$D$2004,'Status'!$E$6,'Estimates'!$H$5:$H$2004,1,'Estimates'!$E$5:$E$2004,'Status'!$E$7)&gt;1,"DUP",IF(COUNTIFS('Estimates'!$A$5:$A$2004,$A6,'Estimates'!$B$5:$B$2004,"PPS",'Estimates'!$D$5:$D$2004,'Status'!$E$6,'Estimates'!$H$5:$H$2004,1,'Estimates'!$E$5:$E$2004,'Status'!$E$7,'Estimates'!$F$5:$F$2004,"&lt;&gt;")=0,"",SUMIFS('Estimates'!$F$5:$F$2004,'Estimates'!$A$5:$A$2004,$A6,'Estimates'!$B$5:$B$2004,"PPS",'Estimates'!$D$5:$D$2004,'Status'!$E$6,'Estimates'!$H$5:$H$2004,1,'Estimates'!$E$5:$E$2004,'Status'!$E$7)))))</x:f>
      </x:c>
      <x:c r="K6" s="13" t="str">
        <x:f>IF(OR(COUNTA($A6)=0,NOT(ISNUMBER('Status'!$F$6))),"",IF(COUNTIFS('Estimates'!$A$5:$A$2004,$A6,'Estimates'!$B$5:$B$2004,"PPS",'Estimates'!$D$5:$D$2004,'Status'!$F$6,'Estimates'!$H$5:$H$2004,1,'Estimates'!$E$5:$E$2004,'Status'!$E$7)=0,"",IF(COUNTIFS('Estimates'!$A$5:$A$2004,$A6,'Estimates'!$B$5:$B$2004,"PPS",'Estimates'!$D$5:$D$2004,'Status'!$F$6,'Estimates'!$H$5:$H$2004,1,'Estimates'!$E$5:$E$2004,'Status'!$E$7)&gt;1,"DUP",IF(COUNTIFS('Estimates'!$A$5:$A$2004,$A6,'Estimates'!$B$5:$B$2004,"PPS",'Estimates'!$D$5:$D$2004,'Status'!$F$6,'Estimates'!$H$5:$H$2004,1,'Estimates'!$E$5:$E$2004,'Status'!$E$7,'Estimates'!$F$5:$F$2004,"&lt;&gt;")=0,"",SUMIFS('Estimates'!$F$5:$F$2004,'Estimates'!$A$5:$A$2004,$A6,'Estimates'!$B$5:$B$2004,"PPS",'Estimates'!$D$5:$D$2004,'Status'!$F$6,'Estimates'!$H$5:$H$2004,1,'Estimates'!$E$5:$E$2004,'Status'!$E$7)))))</x:f>
      </x:c>
      <x:c r="L6" s="13" t="str">
        <x:f>IF(OR(COUNTA($A6)=0,NOT(ISNUMBER('Status'!$G$6))),"",IF(COUNTIFS('Estimates'!$A$5:$A$2004,$A6,'Estimates'!$B$5:$B$2004,"PPS",'Estimates'!$D$5:$D$2004,'Status'!$G$6,'Estimates'!$H$5:$H$2004,1,'Estimates'!$E$5:$E$2004,'Status'!$E$7)=0,"",IF(COUNTIFS('Estimates'!$A$5:$A$2004,$A6,'Estimates'!$B$5:$B$2004,"PPS",'Estimates'!$D$5:$D$2004,'Status'!$G$6,'Estimates'!$H$5:$H$2004,1,'Estimates'!$E$5:$E$2004,'Status'!$E$7)&gt;1,"DUP",IF(COUNTIFS('Estimates'!$A$5:$A$2004,$A6,'Estimates'!$B$5:$B$2004,"PPS",'Estimates'!$D$5:$D$2004,'Status'!$G$6,'Estimates'!$H$5:$H$2004,1,'Estimates'!$E$5:$E$2004,'Status'!$E$7,'Estimates'!$F$5:$F$2004,"&lt;&gt;")=0,"",SUMIFS('Estimates'!$F$5:$F$2004,'Estimates'!$A$5:$A$2004,$A6,'Estimates'!$B$5:$B$2004,"PPS",'Estimates'!$D$5:$D$2004,'Status'!$G$6,'Estimates'!$H$5:$H$2004,1,'Estimates'!$E$5:$E$2004,'Status'!$E$7)))))</x:f>
      </x:c>
      <x:c r="M6" s="13" t="str">
        <x:f>IF(AND(ISNUMBER(J6),ISNUMBER(K6)),K6-J6,"")</x:f>
      </x:c>
      <x:c r="N6" s="13" t="str">
        <x:f>IF(AND(ISNUMBER(K6),ISNUMBER(L6)),L6-K6,"")</x:f>
      </x:c>
      <x:c r="O6" s="13" t="str">
        <x:f>IF(AND(COUNT(J6:L6)=3,COUNT('Status'!$E$6:$G$6)=3,'Status'!$E$6&gt;'Status'!$F$6,'Status'!$F$6&gt;'Status'!$G$6,'Status'!$G$6&gt;0),ABS(L6-(K6+(K6-J6)*('Status'!$G$6-'Status'!$F$6)/('Status'!$F$6-'Status'!$E$6))),"")</x:f>
      </x:c>
      <x:c r="P6" s="13" t="str">
        <x:f>IF(AND(COUNT(J6:L6)=3,COUNT('Status'!$E$6:$G$6)=3,'Status'!$E$6&gt;'Status'!$F$6,'Status'!$F$6&gt;'Status'!$G$6,'Status'!$G$6&gt;0),('Status'!$F$6*L6-'Status'!$G$6*K6)/('Status'!$F$6-'Status'!$G$6),"")</x:f>
      </x:c>
      <x:c r="Q6" s="20"/>
      <x:c r="R6" s="13" t="str">
        <x:f>IF(COUNTA($A6)=0,"",IF('Status'!$B$6="MPS 1",IF(ISNUMBER(C6),C6,""),IF('Status'!$B$6="MPS 2",IF(ISNUMBER(D6),D6,""),IF('Status'!$B$6="MPS 3",IF(ISNUMBER(E6),E6,""),IF('Status'!$B$6="MPS extrap",IF(ISNUMBER(I6),I6,""),IF('Status'!$B$6="PPS 1",IF(ISNUMBER(J6),J6,""),IF('Status'!$B$6="PPS 2",IF(ISNUMBER(K6),K6,""),IF('Status'!$B$6="PPS 3",IF(ISNUMBER(L6),L6,""),IF('Status'!$B$6="PPS extrap",IF(ISNUMBER(P6),P6,""),IF('Status'!$B$6="Calibrated",IF(ISNUMBER(Q6),Q6,""),""))))))))))</x:f>
      </x:c>
      <x:c r="S6" s="2" t="str">
        <x:f>IF(COUNTA(A6)=0,"",IF(COUNTIFS('Estimates'!$A$5:$A$2004,A6,'Estimates'!$B$5:$B$2004,"MPS",'Estimates'!$H$5:$H$2004,1)+COUNTIFS('Estimates'!$A$5:$A$2004,A6,'Estimates'!$B$5:$B$2004,"PPS",'Estimates'!$H$5:$H$2004,1)&gt;0,1,0))</x:f>
      </x:c>
      <x:c r="T6" s="2" t="str">
        <x:f>IF(COUNTA(A6)=0,"",IF(COUNTIFS($A$6:$A$165,A6)&gt;1,"Duplicate target",IF(COUNTIFS(C6:E6,"DUP")+COUNTIFS(J6:L6,"DUP")&gt;0,"Duplicate accepted run",IF(COUNTIFS('Estimates'!$A$5:$A$2004,A6,'Estimates'!$H$5:$H$2004,1)-COUNTIFS('Estimates'!$A$5:$A$2004,A6,'Estimates'!$H$5:$H$2004,1,'Estimates'!$F$5:$F$2004,"&lt;&gt;")&gt;0,"Accepted value missing",""))))</x:f>
      </x:c>
    </x:row>
    <x:row r="7">
      <x:c r="A7" s="21" t="n">
        <x:v>1</x:v>
      </x:c>
      <x:c r="B7" s="19"/>
      <x:c r="C7" s="13" t="str">
        <x:f>IF(OR(COUNTA($A7)=0,NOT(ISNUMBER('Status'!$E$5))),"",IF(COUNTIFS('Estimates'!$A$5:$A$2004,$A7,'Estimates'!$B$5:$B$2004,"MPS",'Estimates'!$C$5:$C$2004,'Status'!$E$5,'Estimates'!$H$5:$H$2004,1)=0,"",IF(COUNTIFS('Estimates'!$A$5:$A$2004,$A7,'Estimates'!$B$5:$B$2004,"MPS",'Estimates'!$C$5:$C$2004,'Status'!$E$5,'Estimates'!$H$5:$H$2004,1)&gt;1,"DUP",IF(COUNTIFS('Estimates'!$A$5:$A$2004,$A7,'Estimates'!$B$5:$B$2004,"MPS",'Estimates'!$C$5:$C$2004,'Status'!$E$5,'Estimates'!$H$5:$H$2004,1,'Estimates'!$F$5:$F$2004,"&lt;&gt;")=0,"",SUMIFS('Estimates'!$F$5:$F$2004,'Estimates'!$A$5:$A$2004,$A7,'Estimates'!$B$5:$B$2004,"MPS",'Estimates'!$C$5:$C$2004,'Status'!$E$5,'Estimates'!$H$5:$H$2004,1)))))</x:f>
      </x:c>
      <x:c r="D7" s="13" t="str">
        <x:f>IF(OR(COUNTA($A7)=0,NOT(ISNUMBER('Status'!$F$5))),"",IF(COUNTIFS('Estimates'!$A$5:$A$2004,$A7,'Estimates'!$B$5:$B$2004,"MPS",'Estimates'!$C$5:$C$2004,'Status'!$F$5,'Estimates'!$H$5:$H$2004,1)=0,"",IF(COUNTIFS('Estimates'!$A$5:$A$2004,$A7,'Estimates'!$B$5:$B$2004,"MPS",'Estimates'!$C$5:$C$2004,'Status'!$F$5,'Estimates'!$H$5:$H$2004,1)&gt;1,"DUP",IF(COUNTIFS('Estimates'!$A$5:$A$2004,$A7,'Estimates'!$B$5:$B$2004,"MPS",'Estimates'!$C$5:$C$2004,'Status'!$F$5,'Estimates'!$H$5:$H$2004,1,'Estimates'!$F$5:$F$2004,"&lt;&gt;")=0,"",SUMIFS('Estimates'!$F$5:$F$2004,'Estimates'!$A$5:$A$2004,$A7,'Estimates'!$B$5:$B$2004,"MPS",'Estimates'!$C$5:$C$2004,'Status'!$F$5,'Estimates'!$H$5:$H$2004,1)))))</x:f>
      </x:c>
      <x:c r="E7" s="13" t="str">
        <x:f>IF(OR(COUNTA($A7)=0,NOT(ISNUMBER('Status'!$G$5))),"",IF(COUNTIFS('Estimates'!$A$5:$A$2004,$A7,'Estimates'!$B$5:$B$2004,"MPS",'Estimates'!$C$5:$C$2004,'Status'!$G$5,'Estimates'!$H$5:$H$2004,1)=0,"",IF(COUNTIFS('Estimates'!$A$5:$A$2004,$A7,'Estimates'!$B$5:$B$2004,"MPS",'Estimates'!$C$5:$C$2004,'Status'!$G$5,'Estimates'!$H$5:$H$2004,1)&gt;1,"DUP",IF(COUNTIFS('Estimates'!$A$5:$A$2004,$A7,'Estimates'!$B$5:$B$2004,"MPS",'Estimates'!$C$5:$C$2004,'Status'!$G$5,'Estimates'!$H$5:$H$2004,1,'Estimates'!$F$5:$F$2004,"&lt;&gt;")=0,"",SUMIFS('Estimates'!$F$5:$F$2004,'Estimates'!$A$5:$A$2004,$A7,'Estimates'!$B$5:$B$2004,"MPS",'Estimates'!$C$5:$C$2004,'Status'!$G$5,'Estimates'!$H$5:$H$2004,1)))))</x:f>
      </x:c>
      <x:c r="F7" s="13" t="str">
        <x:f>IF(AND(ISNUMBER(C7),ISNUMBER(D7)),D7-C7,"")</x:f>
      </x:c>
      <x:c r="G7" s="13" t="str">
        <x:f>IF(AND(ISNUMBER(D7),ISNUMBER(E7)),E7-D7,"")</x:f>
      </x:c>
      <x:c r="H7" s="13" t="str">
        <x:f>IF(AND(COUNT(C7:E7)=3,COUNT('Status'!$E$5:$G$5)=3,'Status'!$E$5&gt;0,'Status'!$E$5&lt;'Status'!$F$5,'Status'!$F$5&lt;'Status'!$G$5),ABS(E7-(D7+(D7-C7)*((1/'Status'!$G$5)-(1/'Status'!$F$5))/((1/'Status'!$F$5)-(1/'Status'!$E$5)))),"")</x:f>
      </x:c>
      <x:c r="I7" s="13" t="str">
        <x:f>IF(AND(COUNT(C7:E7)=3,COUNT('Status'!$E$5:$G$5)=3,'Status'!$E$5&gt;0,'Status'!$E$5&lt;'Status'!$F$5,'Status'!$F$5&lt;'Status'!$G$5),((1/'Status'!$F$5)*E7-(1/'Status'!$G$5)*D7)/((1/'Status'!$F$5)-(1/'Status'!$G$5)),"")</x:f>
      </x:c>
      <x:c r="J7" s="13" t="str">
        <x:f>IF(OR(COUNTA($A7)=0,NOT(ISNUMBER('Status'!$E$6))),"",IF(COUNTIFS('Estimates'!$A$5:$A$2004,$A7,'Estimates'!$B$5:$B$2004,"PPS",'Estimates'!$D$5:$D$2004,'Status'!$E$6,'Estimates'!$H$5:$H$2004,1,'Estimates'!$E$5:$E$2004,'Status'!$E$7)=0,"",IF(COUNTIFS('Estimates'!$A$5:$A$2004,$A7,'Estimates'!$B$5:$B$2004,"PPS",'Estimates'!$D$5:$D$2004,'Status'!$E$6,'Estimates'!$H$5:$H$2004,1,'Estimates'!$E$5:$E$2004,'Status'!$E$7)&gt;1,"DUP",IF(COUNTIFS('Estimates'!$A$5:$A$2004,$A7,'Estimates'!$B$5:$B$2004,"PPS",'Estimates'!$D$5:$D$2004,'Status'!$E$6,'Estimates'!$H$5:$H$2004,1,'Estimates'!$E$5:$E$2004,'Status'!$E$7,'Estimates'!$F$5:$F$2004,"&lt;&gt;")=0,"",SUMIFS('Estimates'!$F$5:$F$2004,'Estimates'!$A$5:$A$2004,$A7,'Estimates'!$B$5:$B$2004,"PPS",'Estimates'!$D$5:$D$2004,'Status'!$E$6,'Estimates'!$H$5:$H$2004,1,'Estimates'!$E$5:$E$2004,'Status'!$E$7)))))</x:f>
      </x:c>
      <x:c r="K7" s="13" t="str">
        <x:f>IF(OR(COUNTA($A7)=0,NOT(ISNUMBER('Status'!$F$6))),"",IF(COUNTIFS('Estimates'!$A$5:$A$2004,$A7,'Estimates'!$B$5:$B$2004,"PPS",'Estimates'!$D$5:$D$2004,'Status'!$F$6,'Estimates'!$H$5:$H$2004,1,'Estimates'!$E$5:$E$2004,'Status'!$E$7)=0,"",IF(COUNTIFS('Estimates'!$A$5:$A$2004,$A7,'Estimates'!$B$5:$B$2004,"PPS",'Estimates'!$D$5:$D$2004,'Status'!$F$6,'Estimates'!$H$5:$H$2004,1,'Estimates'!$E$5:$E$2004,'Status'!$E$7)&gt;1,"DUP",IF(COUNTIFS('Estimates'!$A$5:$A$2004,$A7,'Estimates'!$B$5:$B$2004,"PPS",'Estimates'!$D$5:$D$2004,'Status'!$F$6,'Estimates'!$H$5:$H$2004,1,'Estimates'!$E$5:$E$2004,'Status'!$E$7,'Estimates'!$F$5:$F$2004,"&lt;&gt;")=0,"",SUMIFS('Estimates'!$F$5:$F$2004,'Estimates'!$A$5:$A$2004,$A7,'Estimates'!$B$5:$B$2004,"PPS",'Estimates'!$D$5:$D$2004,'Status'!$F$6,'Estimates'!$H$5:$H$2004,1,'Estimates'!$E$5:$E$2004,'Status'!$E$7)))))</x:f>
      </x:c>
      <x:c r="L7" s="13" t="str">
        <x:f>IF(OR(COUNTA($A7)=0,NOT(ISNUMBER('Status'!$G$6))),"",IF(COUNTIFS('Estimates'!$A$5:$A$2004,$A7,'Estimates'!$B$5:$B$2004,"PPS",'Estimates'!$D$5:$D$2004,'Status'!$G$6,'Estimates'!$H$5:$H$2004,1,'Estimates'!$E$5:$E$2004,'Status'!$E$7)=0,"",IF(COUNTIFS('Estimates'!$A$5:$A$2004,$A7,'Estimates'!$B$5:$B$2004,"PPS",'Estimates'!$D$5:$D$2004,'Status'!$G$6,'Estimates'!$H$5:$H$2004,1,'Estimates'!$E$5:$E$2004,'Status'!$E$7)&gt;1,"DUP",IF(COUNTIFS('Estimates'!$A$5:$A$2004,$A7,'Estimates'!$B$5:$B$2004,"PPS",'Estimates'!$D$5:$D$2004,'Status'!$G$6,'Estimates'!$H$5:$H$2004,1,'Estimates'!$E$5:$E$2004,'Status'!$E$7,'Estimates'!$F$5:$F$2004,"&lt;&gt;")=0,"",SUMIFS('Estimates'!$F$5:$F$2004,'Estimates'!$A$5:$A$2004,$A7,'Estimates'!$B$5:$B$2004,"PPS",'Estimates'!$D$5:$D$2004,'Status'!$G$6,'Estimates'!$H$5:$H$2004,1,'Estimates'!$E$5:$E$2004,'Status'!$E$7)))))</x:f>
      </x:c>
      <x:c r="M7" s="13" t="str">
        <x:f>IF(AND(ISNUMBER(J7),ISNUMBER(K7)),K7-J7,"")</x:f>
      </x:c>
      <x:c r="N7" s="13" t="str">
        <x:f>IF(AND(ISNUMBER(K7),ISNUMBER(L7)),L7-K7,"")</x:f>
      </x:c>
      <x:c r="O7" s="13" t="str">
        <x:f>IF(AND(COUNT(J7:L7)=3,COUNT('Status'!$E$6:$G$6)=3,'Status'!$E$6&gt;'Status'!$F$6,'Status'!$F$6&gt;'Status'!$G$6,'Status'!$G$6&gt;0),ABS(L7-(K7+(K7-J7)*('Status'!$G$6-'Status'!$F$6)/('Status'!$F$6-'Status'!$E$6))),"")</x:f>
      </x:c>
      <x:c r="P7" s="13" t="str">
        <x:f>IF(AND(COUNT(J7:L7)=3,COUNT('Status'!$E$6:$G$6)=3,'Status'!$E$6&gt;'Status'!$F$6,'Status'!$F$6&gt;'Status'!$G$6,'Status'!$G$6&gt;0),('Status'!$F$6*L7-'Status'!$G$6*K7)/('Status'!$F$6-'Status'!$G$6),"")</x:f>
      </x:c>
      <x:c r="Q7" s="20"/>
      <x:c r="R7" s="13" t="str">
        <x:f>IF(COUNTA($A7)=0,"",IF('Status'!$B$6="MPS 1",IF(ISNUMBER(C7),C7,""),IF('Status'!$B$6="MPS 2",IF(ISNUMBER(D7),D7,""),IF('Status'!$B$6="MPS 3",IF(ISNUMBER(E7),E7,""),IF('Status'!$B$6="MPS extrap",IF(ISNUMBER(I7),I7,""),IF('Status'!$B$6="PPS 1",IF(ISNUMBER(J7),J7,""),IF('Status'!$B$6="PPS 2",IF(ISNUMBER(K7),K7,""),IF('Status'!$B$6="PPS 3",IF(ISNUMBER(L7),L7,""),IF('Status'!$B$6="PPS extrap",IF(ISNUMBER(P7),P7,""),IF('Status'!$B$6="Calibrated",IF(ISNUMBER(Q7),Q7,""),""))))))))))</x:f>
      </x:c>
      <x:c r="S7" s="2" t="str">
        <x:f>IF(COUNTA(A7)=0,"",IF(COUNTIFS('Estimates'!$A$5:$A$2004,A7,'Estimates'!$B$5:$B$2004,"MPS",'Estimates'!$H$5:$H$2004,1)+COUNTIFS('Estimates'!$A$5:$A$2004,A7,'Estimates'!$B$5:$B$2004,"PPS",'Estimates'!$H$5:$H$2004,1)&gt;0,1,0))</x:f>
      </x:c>
      <x:c r="T7" s="2" t="str">
        <x:f>IF(COUNTA(A7)=0,"",IF(COUNTIFS($A$6:$A$165,A7)&gt;1,"Duplicate target",IF(COUNTIFS(C7:E7,"DUP")+COUNTIFS(J7:L7,"DUP")&gt;0,"Duplicate accepted run",IF(COUNTIFS('Estimates'!$A$5:$A$2004,A7,'Estimates'!$H$5:$H$2004,1)-COUNTIFS('Estimates'!$A$5:$A$2004,A7,'Estimates'!$H$5:$H$2004,1,'Estimates'!$F$5:$F$2004,"&lt;&gt;")&gt;0,"Accepted value missing",""))))</x:f>
      </x:c>
    </x:row>
    <x:row r="8">
      <x:c r="A8" s="21" t="n">
        <x:v>2</x:v>
      </x:c>
      <x:c r="B8" s="19"/>
      <x:c r="C8" s="13" t="str">
        <x:f>IF(OR(COUNTA($A8)=0,NOT(ISNUMBER('Status'!$E$5))),"",IF(COUNTIFS('Estimates'!$A$5:$A$2004,$A8,'Estimates'!$B$5:$B$2004,"MPS",'Estimates'!$C$5:$C$2004,'Status'!$E$5,'Estimates'!$H$5:$H$2004,1)=0,"",IF(COUNTIFS('Estimates'!$A$5:$A$2004,$A8,'Estimates'!$B$5:$B$2004,"MPS",'Estimates'!$C$5:$C$2004,'Status'!$E$5,'Estimates'!$H$5:$H$2004,1)&gt;1,"DUP",IF(COUNTIFS('Estimates'!$A$5:$A$2004,$A8,'Estimates'!$B$5:$B$2004,"MPS",'Estimates'!$C$5:$C$2004,'Status'!$E$5,'Estimates'!$H$5:$H$2004,1,'Estimates'!$F$5:$F$2004,"&lt;&gt;")=0,"",SUMIFS('Estimates'!$F$5:$F$2004,'Estimates'!$A$5:$A$2004,$A8,'Estimates'!$B$5:$B$2004,"MPS",'Estimates'!$C$5:$C$2004,'Status'!$E$5,'Estimates'!$H$5:$H$2004,1)))))</x:f>
      </x:c>
      <x:c r="D8" s="13" t="str">
        <x:f>IF(OR(COUNTA($A8)=0,NOT(ISNUMBER('Status'!$F$5))),"",IF(COUNTIFS('Estimates'!$A$5:$A$2004,$A8,'Estimates'!$B$5:$B$2004,"MPS",'Estimates'!$C$5:$C$2004,'Status'!$F$5,'Estimates'!$H$5:$H$2004,1)=0,"",IF(COUNTIFS('Estimates'!$A$5:$A$2004,$A8,'Estimates'!$B$5:$B$2004,"MPS",'Estimates'!$C$5:$C$2004,'Status'!$F$5,'Estimates'!$H$5:$H$2004,1)&gt;1,"DUP",IF(COUNTIFS('Estimates'!$A$5:$A$2004,$A8,'Estimates'!$B$5:$B$2004,"MPS",'Estimates'!$C$5:$C$2004,'Status'!$F$5,'Estimates'!$H$5:$H$2004,1,'Estimates'!$F$5:$F$2004,"&lt;&gt;")=0,"",SUMIFS('Estimates'!$F$5:$F$2004,'Estimates'!$A$5:$A$2004,$A8,'Estimates'!$B$5:$B$2004,"MPS",'Estimates'!$C$5:$C$2004,'Status'!$F$5,'Estimates'!$H$5:$H$2004,1)))))</x:f>
      </x:c>
      <x:c r="E8" s="13" t="str">
        <x:f>IF(OR(COUNTA($A8)=0,NOT(ISNUMBER('Status'!$G$5))),"",IF(COUNTIFS('Estimates'!$A$5:$A$2004,$A8,'Estimates'!$B$5:$B$2004,"MPS",'Estimates'!$C$5:$C$2004,'Status'!$G$5,'Estimates'!$H$5:$H$2004,1)=0,"",IF(COUNTIFS('Estimates'!$A$5:$A$2004,$A8,'Estimates'!$B$5:$B$2004,"MPS",'Estimates'!$C$5:$C$2004,'Status'!$G$5,'Estimates'!$H$5:$H$2004,1)&gt;1,"DUP",IF(COUNTIFS('Estimates'!$A$5:$A$2004,$A8,'Estimates'!$B$5:$B$2004,"MPS",'Estimates'!$C$5:$C$2004,'Status'!$G$5,'Estimates'!$H$5:$H$2004,1,'Estimates'!$F$5:$F$2004,"&lt;&gt;")=0,"",SUMIFS('Estimates'!$F$5:$F$2004,'Estimates'!$A$5:$A$2004,$A8,'Estimates'!$B$5:$B$2004,"MPS",'Estimates'!$C$5:$C$2004,'Status'!$G$5,'Estimates'!$H$5:$H$2004,1)))))</x:f>
      </x:c>
      <x:c r="F8" s="13" t="str">
        <x:f>IF(AND(ISNUMBER(C8),ISNUMBER(D8)),D8-C8,"")</x:f>
      </x:c>
      <x:c r="G8" s="13" t="str">
        <x:f>IF(AND(ISNUMBER(D8),ISNUMBER(E8)),E8-D8,"")</x:f>
      </x:c>
      <x:c r="H8" s="13" t="str">
        <x:f>IF(AND(COUNT(C8:E8)=3,COUNT('Status'!$E$5:$G$5)=3,'Status'!$E$5&gt;0,'Status'!$E$5&lt;'Status'!$F$5,'Status'!$F$5&lt;'Status'!$G$5),ABS(E8-(D8+(D8-C8)*((1/'Status'!$G$5)-(1/'Status'!$F$5))/((1/'Status'!$F$5)-(1/'Status'!$E$5)))),"")</x:f>
      </x:c>
      <x:c r="I8" s="13" t="str">
        <x:f>IF(AND(COUNT(C8:E8)=3,COUNT('Status'!$E$5:$G$5)=3,'Status'!$E$5&gt;0,'Status'!$E$5&lt;'Status'!$F$5,'Status'!$F$5&lt;'Status'!$G$5),((1/'Status'!$F$5)*E8-(1/'Status'!$G$5)*D8)/((1/'Status'!$F$5)-(1/'Status'!$G$5)),"")</x:f>
      </x:c>
      <x:c r="J8" s="13" t="str">
        <x:f>IF(OR(COUNTA($A8)=0,NOT(ISNUMBER('Status'!$E$6))),"",IF(COUNTIFS('Estimates'!$A$5:$A$2004,$A8,'Estimates'!$B$5:$B$2004,"PPS",'Estimates'!$D$5:$D$2004,'Status'!$E$6,'Estimates'!$H$5:$H$2004,1,'Estimates'!$E$5:$E$2004,'Status'!$E$7)=0,"",IF(COUNTIFS('Estimates'!$A$5:$A$2004,$A8,'Estimates'!$B$5:$B$2004,"PPS",'Estimates'!$D$5:$D$2004,'Status'!$E$6,'Estimates'!$H$5:$H$2004,1,'Estimates'!$E$5:$E$2004,'Status'!$E$7)&gt;1,"DUP",IF(COUNTIFS('Estimates'!$A$5:$A$2004,$A8,'Estimates'!$B$5:$B$2004,"PPS",'Estimates'!$D$5:$D$2004,'Status'!$E$6,'Estimates'!$H$5:$H$2004,1,'Estimates'!$E$5:$E$2004,'Status'!$E$7,'Estimates'!$F$5:$F$2004,"&lt;&gt;")=0,"",SUMIFS('Estimates'!$F$5:$F$2004,'Estimates'!$A$5:$A$2004,$A8,'Estimates'!$B$5:$B$2004,"PPS",'Estimates'!$D$5:$D$2004,'Status'!$E$6,'Estimates'!$H$5:$H$2004,1,'Estimates'!$E$5:$E$2004,'Status'!$E$7)))))</x:f>
      </x:c>
      <x:c r="K8" s="13" t="str">
        <x:f>IF(OR(COUNTA($A8)=0,NOT(ISNUMBER('Status'!$F$6))),"",IF(COUNTIFS('Estimates'!$A$5:$A$2004,$A8,'Estimates'!$B$5:$B$2004,"PPS",'Estimates'!$D$5:$D$2004,'Status'!$F$6,'Estimates'!$H$5:$H$2004,1,'Estimates'!$E$5:$E$2004,'Status'!$E$7)=0,"",IF(COUNTIFS('Estimates'!$A$5:$A$2004,$A8,'Estimates'!$B$5:$B$2004,"PPS",'Estimates'!$D$5:$D$2004,'Status'!$F$6,'Estimates'!$H$5:$H$2004,1,'Estimates'!$E$5:$E$2004,'Status'!$E$7)&gt;1,"DUP",IF(COUNTIFS('Estimates'!$A$5:$A$2004,$A8,'Estimates'!$B$5:$B$2004,"PPS",'Estimates'!$D$5:$D$2004,'Status'!$F$6,'Estimates'!$H$5:$H$2004,1,'Estimates'!$E$5:$E$2004,'Status'!$E$7,'Estimates'!$F$5:$F$2004,"&lt;&gt;")=0,"",SUMIFS('Estimates'!$F$5:$F$2004,'Estimates'!$A$5:$A$2004,$A8,'Estimates'!$B$5:$B$2004,"PPS",'Estimates'!$D$5:$D$2004,'Status'!$F$6,'Estimates'!$H$5:$H$2004,1,'Estimates'!$E$5:$E$2004,'Status'!$E$7)))))</x:f>
      </x:c>
      <x:c r="L8" s="13" t="str">
        <x:f>IF(OR(COUNTA($A8)=0,NOT(ISNUMBER('Status'!$G$6))),"",IF(COUNTIFS('Estimates'!$A$5:$A$2004,$A8,'Estimates'!$B$5:$B$2004,"PPS",'Estimates'!$D$5:$D$2004,'Status'!$G$6,'Estimates'!$H$5:$H$2004,1,'Estimates'!$E$5:$E$2004,'Status'!$E$7)=0,"",IF(COUNTIFS('Estimates'!$A$5:$A$2004,$A8,'Estimates'!$B$5:$B$2004,"PPS",'Estimates'!$D$5:$D$2004,'Status'!$G$6,'Estimates'!$H$5:$H$2004,1,'Estimates'!$E$5:$E$2004,'Status'!$E$7)&gt;1,"DUP",IF(COUNTIFS('Estimates'!$A$5:$A$2004,$A8,'Estimates'!$B$5:$B$2004,"PPS",'Estimates'!$D$5:$D$2004,'Status'!$G$6,'Estimates'!$H$5:$H$2004,1,'Estimates'!$E$5:$E$2004,'Status'!$E$7,'Estimates'!$F$5:$F$2004,"&lt;&gt;")=0,"",SUMIFS('Estimates'!$F$5:$F$2004,'Estimates'!$A$5:$A$2004,$A8,'Estimates'!$B$5:$B$2004,"PPS",'Estimates'!$D$5:$D$2004,'Status'!$G$6,'Estimates'!$H$5:$H$2004,1,'Estimates'!$E$5:$E$2004,'Status'!$E$7)))))</x:f>
      </x:c>
      <x:c r="M8" s="13" t="str">
        <x:f>IF(AND(ISNUMBER(J8),ISNUMBER(K8)),K8-J8,"")</x:f>
      </x:c>
      <x:c r="N8" s="13" t="str">
        <x:f>IF(AND(ISNUMBER(K8),ISNUMBER(L8)),L8-K8,"")</x:f>
      </x:c>
      <x:c r="O8" s="13" t="str">
        <x:f>IF(AND(COUNT(J8:L8)=3,COUNT('Status'!$E$6:$G$6)=3,'Status'!$E$6&gt;'Status'!$F$6,'Status'!$F$6&gt;'Status'!$G$6,'Status'!$G$6&gt;0),ABS(L8-(K8+(K8-J8)*('Status'!$G$6-'Status'!$F$6)/('Status'!$F$6-'Status'!$E$6))),"")</x:f>
      </x:c>
      <x:c r="P8" s="13" t="str">
        <x:f>IF(AND(COUNT(J8:L8)=3,COUNT('Status'!$E$6:$G$6)=3,'Status'!$E$6&gt;'Status'!$F$6,'Status'!$F$6&gt;'Status'!$G$6,'Status'!$G$6&gt;0),('Status'!$F$6*L8-'Status'!$G$6*K8)/('Status'!$F$6-'Status'!$G$6),"")</x:f>
      </x:c>
      <x:c r="Q8" s="20"/>
      <x:c r="R8" s="13" t="str">
        <x:f>IF(COUNTA($A8)=0,"",IF('Status'!$B$6="MPS 1",IF(ISNUMBER(C8),C8,""),IF('Status'!$B$6="MPS 2",IF(ISNUMBER(D8),D8,""),IF('Status'!$B$6="MPS 3",IF(ISNUMBER(E8),E8,""),IF('Status'!$B$6="MPS extrap",IF(ISNUMBER(I8),I8,""),IF('Status'!$B$6="PPS 1",IF(ISNUMBER(J8),J8,""),IF('Status'!$B$6="PPS 2",IF(ISNUMBER(K8),K8,""),IF('Status'!$B$6="PPS 3",IF(ISNUMBER(L8),L8,""),IF('Status'!$B$6="PPS extrap",IF(ISNUMBER(P8),P8,""),IF('Status'!$B$6="Calibrated",IF(ISNUMBER(Q8),Q8,""),""))))))))))</x:f>
      </x:c>
      <x:c r="S8" s="2" t="str">
        <x:f>IF(COUNTA(A8)=0,"",IF(COUNTIFS('Estimates'!$A$5:$A$2004,A8,'Estimates'!$B$5:$B$2004,"MPS",'Estimates'!$H$5:$H$2004,1)+COUNTIFS('Estimates'!$A$5:$A$2004,A8,'Estimates'!$B$5:$B$2004,"PPS",'Estimates'!$H$5:$H$2004,1)&gt;0,1,0))</x:f>
      </x:c>
      <x:c r="T8" s="2" t="str">
        <x:f>IF(COUNTA(A8)=0,"",IF(COUNTIFS($A$6:$A$165,A8)&gt;1,"Duplicate target",IF(COUNTIFS(C8:E8,"DUP")+COUNTIFS(J8:L8,"DUP")&gt;0,"Duplicate accepted run",IF(COUNTIFS('Estimates'!$A$5:$A$2004,A8,'Estimates'!$H$5:$H$2004,1)-COUNTIFS('Estimates'!$A$5:$A$2004,A8,'Estimates'!$H$5:$H$2004,1,'Estimates'!$F$5:$F$2004,"&lt;&gt;")&gt;0,"Accepted value missing",""))))</x:f>
      </x:c>
    </x:row>
    <x:row r="9">
      <x:c r="A9" s="21" t="n">
        <x:v>3</x:v>
      </x:c>
      <x:c r="B9" s="19"/>
      <x:c r="C9" s="13" t="str">
        <x:f>IF(OR(COUNTA($A9)=0,NOT(ISNUMBER('Status'!$E$5))),"",IF(COUNTIFS('Estimates'!$A$5:$A$2004,$A9,'Estimates'!$B$5:$B$2004,"MPS",'Estimates'!$C$5:$C$2004,'Status'!$E$5,'Estimates'!$H$5:$H$2004,1)=0,"",IF(COUNTIFS('Estimates'!$A$5:$A$2004,$A9,'Estimates'!$B$5:$B$2004,"MPS",'Estimates'!$C$5:$C$2004,'Status'!$E$5,'Estimates'!$H$5:$H$2004,1)&gt;1,"DUP",IF(COUNTIFS('Estimates'!$A$5:$A$2004,$A9,'Estimates'!$B$5:$B$2004,"MPS",'Estimates'!$C$5:$C$2004,'Status'!$E$5,'Estimates'!$H$5:$H$2004,1,'Estimates'!$F$5:$F$2004,"&lt;&gt;")=0,"",SUMIFS('Estimates'!$F$5:$F$2004,'Estimates'!$A$5:$A$2004,$A9,'Estimates'!$B$5:$B$2004,"MPS",'Estimates'!$C$5:$C$2004,'Status'!$E$5,'Estimates'!$H$5:$H$2004,1)))))</x:f>
      </x:c>
      <x:c r="D9" s="13" t="str">
        <x:f>IF(OR(COUNTA($A9)=0,NOT(ISNUMBER('Status'!$F$5))),"",IF(COUNTIFS('Estimates'!$A$5:$A$2004,$A9,'Estimates'!$B$5:$B$2004,"MPS",'Estimates'!$C$5:$C$2004,'Status'!$F$5,'Estimates'!$H$5:$H$2004,1)=0,"",IF(COUNTIFS('Estimates'!$A$5:$A$2004,$A9,'Estimates'!$B$5:$B$2004,"MPS",'Estimates'!$C$5:$C$2004,'Status'!$F$5,'Estimates'!$H$5:$H$2004,1)&gt;1,"DUP",IF(COUNTIFS('Estimates'!$A$5:$A$2004,$A9,'Estimates'!$B$5:$B$2004,"MPS",'Estimates'!$C$5:$C$2004,'Status'!$F$5,'Estimates'!$H$5:$H$2004,1,'Estimates'!$F$5:$F$2004,"&lt;&gt;")=0,"",SUMIFS('Estimates'!$F$5:$F$2004,'Estimates'!$A$5:$A$2004,$A9,'Estimates'!$B$5:$B$2004,"MPS",'Estimates'!$C$5:$C$2004,'Status'!$F$5,'Estimates'!$H$5:$H$2004,1)))))</x:f>
      </x:c>
      <x:c r="E9" s="13" t="str">
        <x:f>IF(OR(COUNTA($A9)=0,NOT(ISNUMBER('Status'!$G$5))),"",IF(COUNTIFS('Estimates'!$A$5:$A$2004,$A9,'Estimates'!$B$5:$B$2004,"MPS",'Estimates'!$C$5:$C$2004,'Status'!$G$5,'Estimates'!$H$5:$H$2004,1)=0,"",IF(COUNTIFS('Estimates'!$A$5:$A$2004,$A9,'Estimates'!$B$5:$B$2004,"MPS",'Estimates'!$C$5:$C$2004,'Status'!$G$5,'Estimates'!$H$5:$H$2004,1)&gt;1,"DUP",IF(COUNTIFS('Estimates'!$A$5:$A$2004,$A9,'Estimates'!$B$5:$B$2004,"MPS",'Estimates'!$C$5:$C$2004,'Status'!$G$5,'Estimates'!$H$5:$H$2004,1,'Estimates'!$F$5:$F$2004,"&lt;&gt;")=0,"",SUMIFS('Estimates'!$F$5:$F$2004,'Estimates'!$A$5:$A$2004,$A9,'Estimates'!$B$5:$B$2004,"MPS",'Estimates'!$C$5:$C$2004,'Status'!$G$5,'Estimates'!$H$5:$H$2004,1)))))</x:f>
      </x:c>
      <x:c r="F9" s="13" t="str">
        <x:f>IF(AND(ISNUMBER(C9),ISNUMBER(D9)),D9-C9,"")</x:f>
      </x:c>
      <x:c r="G9" s="13" t="str">
        <x:f>IF(AND(ISNUMBER(D9),ISNUMBER(E9)),E9-D9,"")</x:f>
      </x:c>
      <x:c r="H9" s="13" t="str">
        <x:f>IF(AND(COUNT(C9:E9)=3,COUNT('Status'!$E$5:$G$5)=3,'Status'!$E$5&gt;0,'Status'!$E$5&lt;'Status'!$F$5,'Status'!$F$5&lt;'Status'!$G$5),ABS(E9-(D9+(D9-C9)*((1/'Status'!$G$5)-(1/'Status'!$F$5))/((1/'Status'!$F$5)-(1/'Status'!$E$5)))),"")</x:f>
      </x:c>
      <x:c r="I9" s="13" t="str">
        <x:f>IF(AND(COUNT(C9:E9)=3,COUNT('Status'!$E$5:$G$5)=3,'Status'!$E$5&gt;0,'Status'!$E$5&lt;'Status'!$F$5,'Status'!$F$5&lt;'Status'!$G$5),((1/'Status'!$F$5)*E9-(1/'Status'!$G$5)*D9)/((1/'Status'!$F$5)-(1/'Status'!$G$5)),"")</x:f>
      </x:c>
      <x:c r="J9" s="13" t="str">
        <x:f>IF(OR(COUNTA($A9)=0,NOT(ISNUMBER('Status'!$E$6))),"",IF(COUNTIFS('Estimates'!$A$5:$A$2004,$A9,'Estimates'!$B$5:$B$2004,"PPS",'Estimates'!$D$5:$D$2004,'Status'!$E$6,'Estimates'!$H$5:$H$2004,1,'Estimates'!$E$5:$E$2004,'Status'!$E$7)=0,"",IF(COUNTIFS('Estimates'!$A$5:$A$2004,$A9,'Estimates'!$B$5:$B$2004,"PPS",'Estimates'!$D$5:$D$2004,'Status'!$E$6,'Estimates'!$H$5:$H$2004,1,'Estimates'!$E$5:$E$2004,'Status'!$E$7)&gt;1,"DUP",IF(COUNTIFS('Estimates'!$A$5:$A$2004,$A9,'Estimates'!$B$5:$B$2004,"PPS",'Estimates'!$D$5:$D$2004,'Status'!$E$6,'Estimates'!$H$5:$H$2004,1,'Estimates'!$E$5:$E$2004,'Status'!$E$7,'Estimates'!$F$5:$F$2004,"&lt;&gt;")=0,"",SUMIFS('Estimates'!$F$5:$F$2004,'Estimates'!$A$5:$A$2004,$A9,'Estimates'!$B$5:$B$2004,"PPS",'Estimates'!$D$5:$D$2004,'Status'!$E$6,'Estimates'!$H$5:$H$2004,1,'Estimates'!$E$5:$E$2004,'Status'!$E$7)))))</x:f>
      </x:c>
      <x:c r="K9" s="13" t="str">
        <x:f>IF(OR(COUNTA($A9)=0,NOT(ISNUMBER('Status'!$F$6))),"",IF(COUNTIFS('Estimates'!$A$5:$A$2004,$A9,'Estimates'!$B$5:$B$2004,"PPS",'Estimates'!$D$5:$D$2004,'Status'!$F$6,'Estimates'!$H$5:$H$2004,1,'Estimates'!$E$5:$E$2004,'Status'!$E$7)=0,"",IF(COUNTIFS('Estimates'!$A$5:$A$2004,$A9,'Estimates'!$B$5:$B$2004,"PPS",'Estimates'!$D$5:$D$2004,'Status'!$F$6,'Estimates'!$H$5:$H$2004,1,'Estimates'!$E$5:$E$2004,'Status'!$E$7)&gt;1,"DUP",IF(COUNTIFS('Estimates'!$A$5:$A$2004,$A9,'Estimates'!$B$5:$B$2004,"PPS",'Estimates'!$D$5:$D$2004,'Status'!$F$6,'Estimates'!$H$5:$H$2004,1,'Estimates'!$E$5:$E$2004,'Status'!$E$7,'Estimates'!$F$5:$F$2004,"&lt;&gt;")=0,"",SUMIFS('Estimates'!$F$5:$F$2004,'Estimates'!$A$5:$A$2004,$A9,'Estimates'!$B$5:$B$2004,"PPS",'Estimates'!$D$5:$D$2004,'Status'!$F$6,'Estimates'!$H$5:$H$2004,1,'Estimates'!$E$5:$E$2004,'Status'!$E$7)))))</x:f>
      </x:c>
      <x:c r="L9" s="13" t="str">
        <x:f>IF(OR(COUNTA($A9)=0,NOT(ISNUMBER('Status'!$G$6))),"",IF(COUNTIFS('Estimates'!$A$5:$A$2004,$A9,'Estimates'!$B$5:$B$2004,"PPS",'Estimates'!$D$5:$D$2004,'Status'!$G$6,'Estimates'!$H$5:$H$2004,1,'Estimates'!$E$5:$E$2004,'Status'!$E$7)=0,"",IF(COUNTIFS('Estimates'!$A$5:$A$2004,$A9,'Estimates'!$B$5:$B$2004,"PPS",'Estimates'!$D$5:$D$2004,'Status'!$G$6,'Estimates'!$H$5:$H$2004,1,'Estimates'!$E$5:$E$2004,'Status'!$E$7)&gt;1,"DUP",IF(COUNTIFS('Estimates'!$A$5:$A$2004,$A9,'Estimates'!$B$5:$B$2004,"PPS",'Estimates'!$D$5:$D$2004,'Status'!$G$6,'Estimates'!$H$5:$H$2004,1,'Estimates'!$E$5:$E$2004,'Status'!$E$7,'Estimates'!$F$5:$F$2004,"&lt;&gt;")=0,"",SUMIFS('Estimates'!$F$5:$F$2004,'Estimates'!$A$5:$A$2004,$A9,'Estimates'!$B$5:$B$2004,"PPS",'Estimates'!$D$5:$D$2004,'Status'!$G$6,'Estimates'!$H$5:$H$2004,1,'Estimates'!$E$5:$E$2004,'Status'!$E$7)))))</x:f>
      </x:c>
      <x:c r="M9" s="13" t="str">
        <x:f>IF(AND(ISNUMBER(J9),ISNUMBER(K9)),K9-J9,"")</x:f>
      </x:c>
      <x:c r="N9" s="13" t="str">
        <x:f>IF(AND(ISNUMBER(K9),ISNUMBER(L9)),L9-K9,"")</x:f>
      </x:c>
      <x:c r="O9" s="13" t="str">
        <x:f>IF(AND(COUNT(J9:L9)=3,COUNT('Status'!$E$6:$G$6)=3,'Status'!$E$6&gt;'Status'!$F$6,'Status'!$F$6&gt;'Status'!$G$6,'Status'!$G$6&gt;0),ABS(L9-(K9+(K9-J9)*('Status'!$G$6-'Status'!$F$6)/('Status'!$F$6-'Status'!$E$6))),"")</x:f>
      </x:c>
      <x:c r="P9" s="13" t="str">
        <x:f>IF(AND(COUNT(J9:L9)=3,COUNT('Status'!$E$6:$G$6)=3,'Status'!$E$6&gt;'Status'!$F$6,'Status'!$F$6&gt;'Status'!$G$6,'Status'!$G$6&gt;0),('Status'!$F$6*L9-'Status'!$G$6*K9)/('Status'!$F$6-'Status'!$G$6),"")</x:f>
      </x:c>
      <x:c r="Q9" s="20"/>
      <x:c r="R9" s="13" t="str">
        <x:f>IF(COUNTA($A9)=0,"",IF('Status'!$B$6="MPS 1",IF(ISNUMBER(C9),C9,""),IF('Status'!$B$6="MPS 2",IF(ISNUMBER(D9),D9,""),IF('Status'!$B$6="MPS 3",IF(ISNUMBER(E9),E9,""),IF('Status'!$B$6="MPS extrap",IF(ISNUMBER(I9),I9,""),IF('Status'!$B$6="PPS 1",IF(ISNUMBER(J9),J9,""),IF('Status'!$B$6="PPS 2",IF(ISNUMBER(K9),K9,""),IF('Status'!$B$6="PPS 3",IF(ISNUMBER(L9),L9,""),IF('Status'!$B$6="PPS extrap",IF(ISNUMBER(P9),P9,""),IF('Status'!$B$6="Calibrated",IF(ISNUMBER(Q9),Q9,""),""))))))))))</x:f>
      </x:c>
      <x:c r="S9" s="2" t="str">
        <x:f>IF(COUNTA(A9)=0,"",IF(COUNTIFS('Estimates'!$A$5:$A$2004,A9,'Estimates'!$B$5:$B$2004,"MPS",'Estimates'!$H$5:$H$2004,1)+COUNTIFS('Estimates'!$A$5:$A$2004,A9,'Estimates'!$B$5:$B$2004,"PPS",'Estimates'!$H$5:$H$2004,1)&gt;0,1,0))</x:f>
      </x:c>
      <x:c r="T9" s="2" t="str">
        <x:f>IF(COUNTA(A9)=0,"",IF(COUNTIFS($A$6:$A$165,A9)&gt;1,"Duplicate target",IF(COUNTIFS(C9:E9,"DUP")+COUNTIFS(J9:L9,"DUP")&gt;0,"Duplicate accepted run",IF(COUNTIFS('Estimates'!$A$5:$A$2004,A9,'Estimates'!$H$5:$H$2004,1)-COUNTIFS('Estimates'!$A$5:$A$2004,A9,'Estimates'!$H$5:$H$2004,1,'Estimates'!$F$5:$F$2004,"&lt;&gt;")&gt;0,"Accepted value missing",""))))</x:f>
      </x:c>
    </x:row>
    <x:row r="10">
      <x:c r="A10" s="21" t="n">
        <x:v>4</x:v>
      </x:c>
      <x:c r="B10" s="19"/>
      <x:c r="C10" s="13" t="str">
        <x:f>IF(OR(COUNTA($A10)=0,NOT(ISNUMBER('Status'!$E$5))),"",IF(COUNTIFS('Estimates'!$A$5:$A$2004,$A10,'Estimates'!$B$5:$B$2004,"MPS",'Estimates'!$C$5:$C$2004,'Status'!$E$5,'Estimates'!$H$5:$H$2004,1)=0,"",IF(COUNTIFS('Estimates'!$A$5:$A$2004,$A10,'Estimates'!$B$5:$B$2004,"MPS",'Estimates'!$C$5:$C$2004,'Status'!$E$5,'Estimates'!$H$5:$H$2004,1)&gt;1,"DUP",IF(COUNTIFS('Estimates'!$A$5:$A$2004,$A10,'Estimates'!$B$5:$B$2004,"MPS",'Estimates'!$C$5:$C$2004,'Status'!$E$5,'Estimates'!$H$5:$H$2004,1,'Estimates'!$F$5:$F$2004,"&lt;&gt;")=0,"",SUMIFS('Estimates'!$F$5:$F$2004,'Estimates'!$A$5:$A$2004,$A10,'Estimates'!$B$5:$B$2004,"MPS",'Estimates'!$C$5:$C$2004,'Status'!$E$5,'Estimates'!$H$5:$H$2004,1)))))</x:f>
      </x:c>
      <x:c r="D10" s="13" t="str">
        <x:f>IF(OR(COUNTA($A10)=0,NOT(ISNUMBER('Status'!$F$5))),"",IF(COUNTIFS('Estimates'!$A$5:$A$2004,$A10,'Estimates'!$B$5:$B$2004,"MPS",'Estimates'!$C$5:$C$2004,'Status'!$F$5,'Estimates'!$H$5:$H$2004,1)=0,"",IF(COUNTIFS('Estimates'!$A$5:$A$2004,$A10,'Estimates'!$B$5:$B$2004,"MPS",'Estimates'!$C$5:$C$2004,'Status'!$F$5,'Estimates'!$H$5:$H$2004,1)&gt;1,"DUP",IF(COUNTIFS('Estimates'!$A$5:$A$2004,$A10,'Estimates'!$B$5:$B$2004,"MPS",'Estimates'!$C$5:$C$2004,'Status'!$F$5,'Estimates'!$H$5:$H$2004,1,'Estimates'!$F$5:$F$2004,"&lt;&gt;")=0,"",SUMIFS('Estimates'!$F$5:$F$2004,'Estimates'!$A$5:$A$2004,$A10,'Estimates'!$B$5:$B$2004,"MPS",'Estimates'!$C$5:$C$2004,'Status'!$F$5,'Estimates'!$H$5:$H$2004,1)))))</x:f>
      </x:c>
      <x:c r="E10" s="13" t="str">
        <x:f>IF(OR(COUNTA($A10)=0,NOT(ISNUMBER('Status'!$G$5))),"",IF(COUNTIFS('Estimates'!$A$5:$A$2004,$A10,'Estimates'!$B$5:$B$2004,"MPS",'Estimates'!$C$5:$C$2004,'Status'!$G$5,'Estimates'!$H$5:$H$2004,1)=0,"",IF(COUNTIFS('Estimates'!$A$5:$A$2004,$A10,'Estimates'!$B$5:$B$2004,"MPS",'Estimates'!$C$5:$C$2004,'Status'!$G$5,'Estimates'!$H$5:$H$2004,1)&gt;1,"DUP",IF(COUNTIFS('Estimates'!$A$5:$A$2004,$A10,'Estimates'!$B$5:$B$2004,"MPS",'Estimates'!$C$5:$C$2004,'Status'!$G$5,'Estimates'!$H$5:$H$2004,1,'Estimates'!$F$5:$F$2004,"&lt;&gt;")=0,"",SUMIFS('Estimates'!$F$5:$F$2004,'Estimates'!$A$5:$A$2004,$A10,'Estimates'!$B$5:$B$2004,"MPS",'Estimates'!$C$5:$C$2004,'Status'!$G$5,'Estimates'!$H$5:$H$2004,1)))))</x:f>
      </x:c>
      <x:c r="F10" s="13" t="str">
        <x:f>IF(AND(ISNUMBER(C10),ISNUMBER(D10)),D10-C10,"")</x:f>
      </x:c>
      <x:c r="G10" s="13" t="str">
        <x:f>IF(AND(ISNUMBER(D10),ISNUMBER(E10)),E10-D10,"")</x:f>
      </x:c>
      <x:c r="H10" s="13" t="str">
        <x:f>IF(AND(COUNT(C10:E10)=3,COUNT('Status'!$E$5:$G$5)=3,'Status'!$E$5&gt;0,'Status'!$E$5&lt;'Status'!$F$5,'Status'!$F$5&lt;'Status'!$G$5),ABS(E10-(D10+(D10-C10)*((1/'Status'!$G$5)-(1/'Status'!$F$5))/((1/'Status'!$F$5)-(1/'Status'!$E$5)))),"")</x:f>
      </x:c>
      <x:c r="I10" s="13" t="str">
        <x:f>IF(AND(COUNT(C10:E10)=3,COUNT('Status'!$E$5:$G$5)=3,'Status'!$E$5&gt;0,'Status'!$E$5&lt;'Status'!$F$5,'Status'!$F$5&lt;'Status'!$G$5),((1/'Status'!$F$5)*E10-(1/'Status'!$G$5)*D10)/((1/'Status'!$F$5)-(1/'Status'!$G$5)),"")</x:f>
      </x:c>
      <x:c r="J10" s="13" t="str">
        <x:f>IF(OR(COUNTA($A10)=0,NOT(ISNUMBER('Status'!$E$6))),"",IF(COUNTIFS('Estimates'!$A$5:$A$2004,$A10,'Estimates'!$B$5:$B$2004,"PPS",'Estimates'!$D$5:$D$2004,'Status'!$E$6,'Estimates'!$H$5:$H$2004,1,'Estimates'!$E$5:$E$2004,'Status'!$E$7)=0,"",IF(COUNTIFS('Estimates'!$A$5:$A$2004,$A10,'Estimates'!$B$5:$B$2004,"PPS",'Estimates'!$D$5:$D$2004,'Status'!$E$6,'Estimates'!$H$5:$H$2004,1,'Estimates'!$E$5:$E$2004,'Status'!$E$7)&gt;1,"DUP",IF(COUNTIFS('Estimates'!$A$5:$A$2004,$A10,'Estimates'!$B$5:$B$2004,"PPS",'Estimates'!$D$5:$D$2004,'Status'!$E$6,'Estimates'!$H$5:$H$2004,1,'Estimates'!$E$5:$E$2004,'Status'!$E$7,'Estimates'!$F$5:$F$2004,"&lt;&gt;")=0,"",SUMIFS('Estimates'!$F$5:$F$2004,'Estimates'!$A$5:$A$2004,$A10,'Estimates'!$B$5:$B$2004,"PPS",'Estimates'!$D$5:$D$2004,'Status'!$E$6,'Estimates'!$H$5:$H$2004,1,'Estimates'!$E$5:$E$2004,'Status'!$E$7)))))</x:f>
      </x:c>
      <x:c r="K10" s="13" t="str">
        <x:f>IF(OR(COUNTA($A10)=0,NOT(ISNUMBER('Status'!$F$6))),"",IF(COUNTIFS('Estimates'!$A$5:$A$2004,$A10,'Estimates'!$B$5:$B$2004,"PPS",'Estimates'!$D$5:$D$2004,'Status'!$F$6,'Estimates'!$H$5:$H$2004,1,'Estimates'!$E$5:$E$2004,'Status'!$E$7)=0,"",IF(COUNTIFS('Estimates'!$A$5:$A$2004,$A10,'Estimates'!$B$5:$B$2004,"PPS",'Estimates'!$D$5:$D$2004,'Status'!$F$6,'Estimates'!$H$5:$H$2004,1,'Estimates'!$E$5:$E$2004,'Status'!$E$7)&gt;1,"DUP",IF(COUNTIFS('Estimates'!$A$5:$A$2004,$A10,'Estimates'!$B$5:$B$2004,"PPS",'Estimates'!$D$5:$D$2004,'Status'!$F$6,'Estimates'!$H$5:$H$2004,1,'Estimates'!$E$5:$E$2004,'Status'!$E$7,'Estimates'!$F$5:$F$2004,"&lt;&gt;")=0,"",SUMIFS('Estimates'!$F$5:$F$2004,'Estimates'!$A$5:$A$2004,$A10,'Estimates'!$B$5:$B$2004,"PPS",'Estimates'!$D$5:$D$2004,'Status'!$F$6,'Estimates'!$H$5:$H$2004,1,'Estimates'!$E$5:$E$2004,'Status'!$E$7)))))</x:f>
      </x:c>
      <x:c r="L10" s="13" t="str">
        <x:f>IF(OR(COUNTA($A10)=0,NOT(ISNUMBER('Status'!$G$6))),"",IF(COUNTIFS('Estimates'!$A$5:$A$2004,$A10,'Estimates'!$B$5:$B$2004,"PPS",'Estimates'!$D$5:$D$2004,'Status'!$G$6,'Estimates'!$H$5:$H$2004,1,'Estimates'!$E$5:$E$2004,'Status'!$E$7)=0,"",IF(COUNTIFS('Estimates'!$A$5:$A$2004,$A10,'Estimates'!$B$5:$B$2004,"PPS",'Estimates'!$D$5:$D$2004,'Status'!$G$6,'Estimates'!$H$5:$H$2004,1,'Estimates'!$E$5:$E$2004,'Status'!$E$7)&gt;1,"DUP",IF(COUNTIFS('Estimates'!$A$5:$A$2004,$A10,'Estimates'!$B$5:$B$2004,"PPS",'Estimates'!$D$5:$D$2004,'Status'!$G$6,'Estimates'!$H$5:$H$2004,1,'Estimates'!$E$5:$E$2004,'Status'!$E$7,'Estimates'!$F$5:$F$2004,"&lt;&gt;")=0,"",SUMIFS('Estimates'!$F$5:$F$2004,'Estimates'!$A$5:$A$2004,$A10,'Estimates'!$B$5:$B$2004,"PPS",'Estimates'!$D$5:$D$2004,'Status'!$G$6,'Estimates'!$H$5:$H$2004,1,'Estimates'!$E$5:$E$2004,'Status'!$E$7)))))</x:f>
      </x:c>
      <x:c r="M10" s="13" t="str">
        <x:f>IF(AND(ISNUMBER(J10),ISNUMBER(K10)),K10-J10,"")</x:f>
      </x:c>
      <x:c r="N10" s="13" t="str">
        <x:f>IF(AND(ISNUMBER(K10),ISNUMBER(L10)),L10-K10,"")</x:f>
      </x:c>
      <x:c r="O10" s="13" t="str">
        <x:f>IF(AND(COUNT(J10:L10)=3,COUNT('Status'!$E$6:$G$6)=3,'Status'!$E$6&gt;'Status'!$F$6,'Status'!$F$6&gt;'Status'!$G$6,'Status'!$G$6&gt;0),ABS(L10-(K10+(K10-J10)*('Status'!$G$6-'Status'!$F$6)/('Status'!$F$6-'Status'!$E$6))),"")</x:f>
      </x:c>
      <x:c r="P10" s="13" t="str">
        <x:f>IF(AND(COUNT(J10:L10)=3,COUNT('Status'!$E$6:$G$6)=3,'Status'!$E$6&gt;'Status'!$F$6,'Status'!$F$6&gt;'Status'!$G$6,'Status'!$G$6&gt;0),('Status'!$F$6*L10-'Status'!$G$6*K10)/('Status'!$F$6-'Status'!$G$6),"")</x:f>
      </x:c>
      <x:c r="Q10" s="20"/>
      <x:c r="R10" s="13" t="str">
        <x:f>IF(COUNTA($A10)=0,"",IF('Status'!$B$6="MPS 1",IF(ISNUMBER(C10),C10,""),IF('Status'!$B$6="MPS 2",IF(ISNUMBER(D10),D10,""),IF('Status'!$B$6="MPS 3",IF(ISNUMBER(E10),E10,""),IF('Status'!$B$6="MPS extrap",IF(ISNUMBER(I10),I10,""),IF('Status'!$B$6="PPS 1",IF(ISNUMBER(J10),J10,""),IF('Status'!$B$6="PPS 2",IF(ISNUMBER(K10),K10,""),IF('Status'!$B$6="PPS 3",IF(ISNUMBER(L10),L10,""),IF('Status'!$B$6="PPS extrap",IF(ISNUMBER(P10),P10,""),IF('Status'!$B$6="Calibrated",IF(ISNUMBER(Q10),Q10,""),""))))))))))</x:f>
      </x:c>
      <x:c r="S10" s="2" t="str">
        <x:f>IF(COUNTA(A10)=0,"",IF(COUNTIFS('Estimates'!$A$5:$A$2004,A10,'Estimates'!$B$5:$B$2004,"MPS",'Estimates'!$H$5:$H$2004,1)+COUNTIFS('Estimates'!$A$5:$A$2004,A10,'Estimates'!$B$5:$B$2004,"PPS",'Estimates'!$H$5:$H$2004,1)&gt;0,1,0))</x:f>
      </x:c>
      <x:c r="T10" s="2" t="str">
        <x:f>IF(COUNTA(A10)=0,"",IF(COUNTIFS($A$6:$A$165,A10)&gt;1,"Duplicate target",IF(COUNTIFS(C10:E10,"DUP")+COUNTIFS(J10:L10,"DUP")&gt;0,"Duplicate accepted run",IF(COUNTIFS('Estimates'!$A$5:$A$2004,A10,'Estimates'!$H$5:$H$2004,1)-COUNTIFS('Estimates'!$A$5:$A$2004,A10,'Estimates'!$H$5:$H$2004,1,'Estimates'!$F$5:$F$2004,"&lt;&gt;")&gt;0,"Accepted value missing",""))))</x:f>
      </x:c>
    </x:row>
    <x:row r="11">
      <x:c r="A11" s="21" t="n">
        <x:v>5</x:v>
      </x:c>
      <x:c r="B11" s="19"/>
      <x:c r="C11" s="13" t="str">
        <x:f>IF(OR(COUNTA($A11)=0,NOT(ISNUMBER('Status'!$E$5))),"",IF(COUNTIFS('Estimates'!$A$5:$A$2004,$A11,'Estimates'!$B$5:$B$2004,"MPS",'Estimates'!$C$5:$C$2004,'Status'!$E$5,'Estimates'!$H$5:$H$2004,1)=0,"",IF(COUNTIFS('Estimates'!$A$5:$A$2004,$A11,'Estimates'!$B$5:$B$2004,"MPS",'Estimates'!$C$5:$C$2004,'Status'!$E$5,'Estimates'!$H$5:$H$2004,1)&gt;1,"DUP",IF(COUNTIFS('Estimates'!$A$5:$A$2004,$A11,'Estimates'!$B$5:$B$2004,"MPS",'Estimates'!$C$5:$C$2004,'Status'!$E$5,'Estimates'!$H$5:$H$2004,1,'Estimates'!$F$5:$F$2004,"&lt;&gt;")=0,"",SUMIFS('Estimates'!$F$5:$F$2004,'Estimates'!$A$5:$A$2004,$A11,'Estimates'!$B$5:$B$2004,"MPS",'Estimates'!$C$5:$C$2004,'Status'!$E$5,'Estimates'!$H$5:$H$2004,1)))))</x:f>
      </x:c>
      <x:c r="D11" s="13" t="str">
        <x:f>IF(OR(COUNTA($A11)=0,NOT(ISNUMBER('Status'!$F$5))),"",IF(COUNTIFS('Estimates'!$A$5:$A$2004,$A11,'Estimates'!$B$5:$B$2004,"MPS",'Estimates'!$C$5:$C$2004,'Status'!$F$5,'Estimates'!$H$5:$H$2004,1)=0,"",IF(COUNTIFS('Estimates'!$A$5:$A$2004,$A11,'Estimates'!$B$5:$B$2004,"MPS",'Estimates'!$C$5:$C$2004,'Status'!$F$5,'Estimates'!$H$5:$H$2004,1)&gt;1,"DUP",IF(COUNTIFS('Estimates'!$A$5:$A$2004,$A11,'Estimates'!$B$5:$B$2004,"MPS",'Estimates'!$C$5:$C$2004,'Status'!$F$5,'Estimates'!$H$5:$H$2004,1,'Estimates'!$F$5:$F$2004,"&lt;&gt;")=0,"",SUMIFS('Estimates'!$F$5:$F$2004,'Estimates'!$A$5:$A$2004,$A11,'Estimates'!$B$5:$B$2004,"MPS",'Estimates'!$C$5:$C$2004,'Status'!$F$5,'Estimates'!$H$5:$H$2004,1)))))</x:f>
      </x:c>
      <x:c r="E11" s="13" t="str">
        <x:f>IF(OR(COUNTA($A11)=0,NOT(ISNUMBER('Status'!$G$5))),"",IF(COUNTIFS('Estimates'!$A$5:$A$2004,$A11,'Estimates'!$B$5:$B$2004,"MPS",'Estimates'!$C$5:$C$2004,'Status'!$G$5,'Estimates'!$H$5:$H$2004,1)=0,"",IF(COUNTIFS('Estimates'!$A$5:$A$2004,$A11,'Estimates'!$B$5:$B$2004,"MPS",'Estimates'!$C$5:$C$2004,'Status'!$G$5,'Estimates'!$H$5:$H$2004,1)&gt;1,"DUP",IF(COUNTIFS('Estimates'!$A$5:$A$2004,$A11,'Estimates'!$B$5:$B$2004,"MPS",'Estimates'!$C$5:$C$2004,'Status'!$G$5,'Estimates'!$H$5:$H$2004,1,'Estimates'!$F$5:$F$2004,"&lt;&gt;")=0,"",SUMIFS('Estimates'!$F$5:$F$2004,'Estimates'!$A$5:$A$2004,$A11,'Estimates'!$B$5:$B$2004,"MPS",'Estimates'!$C$5:$C$2004,'Status'!$G$5,'Estimates'!$H$5:$H$2004,1)))))</x:f>
      </x:c>
      <x:c r="F11" s="13" t="str">
        <x:f>IF(AND(ISNUMBER(C11),ISNUMBER(D11)),D11-C11,"")</x:f>
      </x:c>
      <x:c r="G11" s="13" t="str">
        <x:f>IF(AND(ISNUMBER(D11),ISNUMBER(E11)),E11-D11,"")</x:f>
      </x:c>
      <x:c r="H11" s="13" t="str">
        <x:f>IF(AND(COUNT(C11:E11)=3,COUNT('Status'!$E$5:$G$5)=3,'Status'!$E$5&gt;0,'Status'!$E$5&lt;'Status'!$F$5,'Status'!$F$5&lt;'Status'!$G$5),ABS(E11-(D11+(D11-C11)*((1/'Status'!$G$5)-(1/'Status'!$F$5))/((1/'Status'!$F$5)-(1/'Status'!$E$5)))),"")</x:f>
      </x:c>
      <x:c r="I11" s="13" t="str">
        <x:f>IF(AND(COUNT(C11:E11)=3,COUNT('Status'!$E$5:$G$5)=3,'Status'!$E$5&gt;0,'Status'!$E$5&lt;'Status'!$F$5,'Status'!$F$5&lt;'Status'!$G$5),((1/'Status'!$F$5)*E11-(1/'Status'!$G$5)*D11)/((1/'Status'!$F$5)-(1/'Status'!$G$5)),"")</x:f>
      </x:c>
      <x:c r="J11" s="13" t="str">
        <x:f>IF(OR(COUNTA($A11)=0,NOT(ISNUMBER('Status'!$E$6))),"",IF(COUNTIFS('Estimates'!$A$5:$A$2004,$A11,'Estimates'!$B$5:$B$2004,"PPS",'Estimates'!$D$5:$D$2004,'Status'!$E$6,'Estimates'!$H$5:$H$2004,1,'Estimates'!$E$5:$E$2004,'Status'!$E$7)=0,"",IF(COUNTIFS('Estimates'!$A$5:$A$2004,$A11,'Estimates'!$B$5:$B$2004,"PPS",'Estimates'!$D$5:$D$2004,'Status'!$E$6,'Estimates'!$H$5:$H$2004,1,'Estimates'!$E$5:$E$2004,'Status'!$E$7)&gt;1,"DUP",IF(COUNTIFS('Estimates'!$A$5:$A$2004,$A11,'Estimates'!$B$5:$B$2004,"PPS",'Estimates'!$D$5:$D$2004,'Status'!$E$6,'Estimates'!$H$5:$H$2004,1,'Estimates'!$E$5:$E$2004,'Status'!$E$7,'Estimates'!$F$5:$F$2004,"&lt;&gt;")=0,"",SUMIFS('Estimates'!$F$5:$F$2004,'Estimates'!$A$5:$A$2004,$A11,'Estimates'!$B$5:$B$2004,"PPS",'Estimates'!$D$5:$D$2004,'Status'!$E$6,'Estimates'!$H$5:$H$2004,1,'Estimates'!$E$5:$E$2004,'Status'!$E$7)))))</x:f>
      </x:c>
      <x:c r="K11" s="13" t="str">
        <x:f>IF(OR(COUNTA($A11)=0,NOT(ISNUMBER('Status'!$F$6))),"",IF(COUNTIFS('Estimates'!$A$5:$A$2004,$A11,'Estimates'!$B$5:$B$2004,"PPS",'Estimates'!$D$5:$D$2004,'Status'!$F$6,'Estimates'!$H$5:$H$2004,1,'Estimates'!$E$5:$E$2004,'Status'!$E$7)=0,"",IF(COUNTIFS('Estimates'!$A$5:$A$2004,$A11,'Estimates'!$B$5:$B$2004,"PPS",'Estimates'!$D$5:$D$2004,'Status'!$F$6,'Estimates'!$H$5:$H$2004,1,'Estimates'!$E$5:$E$2004,'Status'!$E$7)&gt;1,"DUP",IF(COUNTIFS('Estimates'!$A$5:$A$2004,$A11,'Estimates'!$B$5:$B$2004,"PPS",'Estimates'!$D$5:$D$2004,'Status'!$F$6,'Estimates'!$H$5:$H$2004,1,'Estimates'!$E$5:$E$2004,'Status'!$E$7,'Estimates'!$F$5:$F$2004,"&lt;&gt;")=0,"",SUMIFS('Estimates'!$F$5:$F$2004,'Estimates'!$A$5:$A$2004,$A11,'Estimates'!$B$5:$B$2004,"PPS",'Estimates'!$D$5:$D$2004,'Status'!$F$6,'Estimates'!$H$5:$H$2004,1,'Estimates'!$E$5:$E$2004,'Status'!$E$7)))))</x:f>
      </x:c>
      <x:c r="L11" s="13" t="str">
        <x:f>IF(OR(COUNTA($A11)=0,NOT(ISNUMBER('Status'!$G$6))),"",IF(COUNTIFS('Estimates'!$A$5:$A$2004,$A11,'Estimates'!$B$5:$B$2004,"PPS",'Estimates'!$D$5:$D$2004,'Status'!$G$6,'Estimates'!$H$5:$H$2004,1,'Estimates'!$E$5:$E$2004,'Status'!$E$7)=0,"",IF(COUNTIFS('Estimates'!$A$5:$A$2004,$A11,'Estimates'!$B$5:$B$2004,"PPS",'Estimates'!$D$5:$D$2004,'Status'!$G$6,'Estimates'!$H$5:$H$2004,1,'Estimates'!$E$5:$E$2004,'Status'!$E$7)&gt;1,"DUP",IF(COUNTIFS('Estimates'!$A$5:$A$2004,$A11,'Estimates'!$B$5:$B$2004,"PPS",'Estimates'!$D$5:$D$2004,'Status'!$G$6,'Estimates'!$H$5:$H$2004,1,'Estimates'!$E$5:$E$2004,'Status'!$E$7,'Estimates'!$F$5:$F$2004,"&lt;&gt;")=0,"",SUMIFS('Estimates'!$F$5:$F$2004,'Estimates'!$A$5:$A$2004,$A11,'Estimates'!$B$5:$B$2004,"PPS",'Estimates'!$D$5:$D$2004,'Status'!$G$6,'Estimates'!$H$5:$H$2004,1,'Estimates'!$E$5:$E$2004,'Status'!$E$7)))))</x:f>
      </x:c>
      <x:c r="M11" s="13" t="str">
        <x:f>IF(AND(ISNUMBER(J11),ISNUMBER(K11)),K11-J11,"")</x:f>
      </x:c>
      <x:c r="N11" s="13" t="str">
        <x:f>IF(AND(ISNUMBER(K11),ISNUMBER(L11)),L11-K11,"")</x:f>
      </x:c>
      <x:c r="O11" s="13" t="str">
        <x:f>IF(AND(COUNT(J11:L11)=3,COUNT('Status'!$E$6:$G$6)=3,'Status'!$E$6&gt;'Status'!$F$6,'Status'!$F$6&gt;'Status'!$G$6,'Status'!$G$6&gt;0),ABS(L11-(K11+(K11-J11)*('Status'!$G$6-'Status'!$F$6)/('Status'!$F$6-'Status'!$E$6))),"")</x:f>
      </x:c>
      <x:c r="P11" s="13" t="str">
        <x:f>IF(AND(COUNT(J11:L11)=3,COUNT('Status'!$E$6:$G$6)=3,'Status'!$E$6&gt;'Status'!$F$6,'Status'!$F$6&gt;'Status'!$G$6,'Status'!$G$6&gt;0),('Status'!$F$6*L11-'Status'!$G$6*K11)/('Status'!$F$6-'Status'!$G$6),"")</x:f>
      </x:c>
      <x:c r="Q11" s="20"/>
      <x:c r="R11" s="13" t="str">
        <x:f>IF(COUNTA($A11)=0,"",IF('Status'!$B$6="MPS 1",IF(ISNUMBER(C11),C11,""),IF('Status'!$B$6="MPS 2",IF(ISNUMBER(D11),D11,""),IF('Status'!$B$6="MPS 3",IF(ISNUMBER(E11),E11,""),IF('Status'!$B$6="MPS extrap",IF(ISNUMBER(I11),I11,""),IF('Status'!$B$6="PPS 1",IF(ISNUMBER(J11),J11,""),IF('Status'!$B$6="PPS 2",IF(ISNUMBER(K11),K11,""),IF('Status'!$B$6="PPS 3",IF(ISNUMBER(L11),L11,""),IF('Status'!$B$6="PPS extrap",IF(ISNUMBER(P11),P11,""),IF('Status'!$B$6="Calibrated",IF(ISNUMBER(Q11),Q11,""),""))))))))))</x:f>
      </x:c>
      <x:c r="S11" s="2" t="str">
        <x:f>IF(COUNTA(A11)=0,"",IF(COUNTIFS('Estimates'!$A$5:$A$2004,A11,'Estimates'!$B$5:$B$2004,"MPS",'Estimates'!$H$5:$H$2004,1)+COUNTIFS('Estimates'!$A$5:$A$2004,A11,'Estimates'!$B$5:$B$2004,"PPS",'Estimates'!$H$5:$H$2004,1)&gt;0,1,0))</x:f>
      </x:c>
      <x:c r="T11" s="2" t="str">
        <x:f>IF(COUNTA(A11)=0,"",IF(COUNTIFS($A$6:$A$165,A11)&gt;1,"Duplicate target",IF(COUNTIFS(C11:E11,"DUP")+COUNTIFS(J11:L11,"DUP")&gt;0,"Duplicate accepted run",IF(COUNTIFS('Estimates'!$A$5:$A$2004,A11,'Estimates'!$H$5:$H$2004,1)-COUNTIFS('Estimates'!$A$5:$A$2004,A11,'Estimates'!$H$5:$H$2004,1,'Estimates'!$F$5:$F$2004,"&lt;&gt;")&gt;0,"Accepted value missing",""))))</x:f>
      </x:c>
    </x:row>
    <x:row r="12">
      <x:c r="A12" s="21" t="n">
        <x:v>6</x:v>
      </x:c>
      <x:c r="B12" s="19"/>
      <x:c r="C12" s="13" t="str">
        <x:f>IF(OR(COUNTA($A12)=0,NOT(ISNUMBER('Status'!$E$5))),"",IF(COUNTIFS('Estimates'!$A$5:$A$2004,$A12,'Estimates'!$B$5:$B$2004,"MPS",'Estimates'!$C$5:$C$2004,'Status'!$E$5,'Estimates'!$H$5:$H$2004,1)=0,"",IF(COUNTIFS('Estimates'!$A$5:$A$2004,$A12,'Estimates'!$B$5:$B$2004,"MPS",'Estimates'!$C$5:$C$2004,'Status'!$E$5,'Estimates'!$H$5:$H$2004,1)&gt;1,"DUP",IF(COUNTIFS('Estimates'!$A$5:$A$2004,$A12,'Estimates'!$B$5:$B$2004,"MPS",'Estimates'!$C$5:$C$2004,'Status'!$E$5,'Estimates'!$H$5:$H$2004,1,'Estimates'!$F$5:$F$2004,"&lt;&gt;")=0,"",SUMIFS('Estimates'!$F$5:$F$2004,'Estimates'!$A$5:$A$2004,$A12,'Estimates'!$B$5:$B$2004,"MPS",'Estimates'!$C$5:$C$2004,'Status'!$E$5,'Estimates'!$H$5:$H$2004,1)))))</x:f>
      </x:c>
      <x:c r="D12" s="13" t="str">
        <x:f>IF(OR(COUNTA($A12)=0,NOT(ISNUMBER('Status'!$F$5))),"",IF(COUNTIFS('Estimates'!$A$5:$A$2004,$A12,'Estimates'!$B$5:$B$2004,"MPS",'Estimates'!$C$5:$C$2004,'Status'!$F$5,'Estimates'!$H$5:$H$2004,1)=0,"",IF(COUNTIFS('Estimates'!$A$5:$A$2004,$A12,'Estimates'!$B$5:$B$2004,"MPS",'Estimates'!$C$5:$C$2004,'Status'!$F$5,'Estimates'!$H$5:$H$2004,1)&gt;1,"DUP",IF(COUNTIFS('Estimates'!$A$5:$A$2004,$A12,'Estimates'!$B$5:$B$2004,"MPS",'Estimates'!$C$5:$C$2004,'Status'!$F$5,'Estimates'!$H$5:$H$2004,1,'Estimates'!$F$5:$F$2004,"&lt;&gt;")=0,"",SUMIFS('Estimates'!$F$5:$F$2004,'Estimates'!$A$5:$A$2004,$A12,'Estimates'!$B$5:$B$2004,"MPS",'Estimates'!$C$5:$C$2004,'Status'!$F$5,'Estimates'!$H$5:$H$2004,1)))))</x:f>
      </x:c>
      <x:c r="E12" s="13" t="str">
        <x:f>IF(OR(COUNTA($A12)=0,NOT(ISNUMBER('Status'!$G$5))),"",IF(COUNTIFS('Estimates'!$A$5:$A$2004,$A12,'Estimates'!$B$5:$B$2004,"MPS",'Estimates'!$C$5:$C$2004,'Status'!$G$5,'Estimates'!$H$5:$H$2004,1)=0,"",IF(COUNTIFS('Estimates'!$A$5:$A$2004,$A12,'Estimates'!$B$5:$B$2004,"MPS",'Estimates'!$C$5:$C$2004,'Status'!$G$5,'Estimates'!$H$5:$H$2004,1)&gt;1,"DUP",IF(COUNTIFS('Estimates'!$A$5:$A$2004,$A12,'Estimates'!$B$5:$B$2004,"MPS",'Estimates'!$C$5:$C$2004,'Status'!$G$5,'Estimates'!$H$5:$H$2004,1,'Estimates'!$F$5:$F$2004,"&lt;&gt;")=0,"",SUMIFS('Estimates'!$F$5:$F$2004,'Estimates'!$A$5:$A$2004,$A12,'Estimates'!$B$5:$B$2004,"MPS",'Estimates'!$C$5:$C$2004,'Status'!$G$5,'Estimates'!$H$5:$H$2004,1)))))</x:f>
      </x:c>
      <x:c r="F12" s="13" t="str">
        <x:f>IF(AND(ISNUMBER(C12),ISNUMBER(D12)),D12-C12,"")</x:f>
      </x:c>
      <x:c r="G12" s="13" t="str">
        <x:f>IF(AND(ISNUMBER(D12),ISNUMBER(E12)),E12-D12,"")</x:f>
      </x:c>
      <x:c r="H12" s="13" t="str">
        <x:f>IF(AND(COUNT(C12:E12)=3,COUNT('Status'!$E$5:$G$5)=3,'Status'!$E$5&gt;0,'Status'!$E$5&lt;'Status'!$F$5,'Status'!$F$5&lt;'Status'!$G$5),ABS(E12-(D12+(D12-C12)*((1/'Status'!$G$5)-(1/'Status'!$F$5))/((1/'Status'!$F$5)-(1/'Status'!$E$5)))),"")</x:f>
      </x:c>
      <x:c r="I12" s="13" t="str">
        <x:f>IF(AND(COUNT(C12:E12)=3,COUNT('Status'!$E$5:$G$5)=3,'Status'!$E$5&gt;0,'Status'!$E$5&lt;'Status'!$F$5,'Status'!$F$5&lt;'Status'!$G$5),((1/'Status'!$F$5)*E12-(1/'Status'!$G$5)*D12)/((1/'Status'!$F$5)-(1/'Status'!$G$5)),"")</x:f>
      </x:c>
      <x:c r="J12" s="13" t="str">
        <x:f>IF(OR(COUNTA($A12)=0,NOT(ISNUMBER('Status'!$E$6))),"",IF(COUNTIFS('Estimates'!$A$5:$A$2004,$A12,'Estimates'!$B$5:$B$2004,"PPS",'Estimates'!$D$5:$D$2004,'Status'!$E$6,'Estimates'!$H$5:$H$2004,1,'Estimates'!$E$5:$E$2004,'Status'!$E$7)=0,"",IF(COUNTIFS('Estimates'!$A$5:$A$2004,$A12,'Estimates'!$B$5:$B$2004,"PPS",'Estimates'!$D$5:$D$2004,'Status'!$E$6,'Estimates'!$H$5:$H$2004,1,'Estimates'!$E$5:$E$2004,'Status'!$E$7)&gt;1,"DUP",IF(COUNTIFS('Estimates'!$A$5:$A$2004,$A12,'Estimates'!$B$5:$B$2004,"PPS",'Estimates'!$D$5:$D$2004,'Status'!$E$6,'Estimates'!$H$5:$H$2004,1,'Estimates'!$E$5:$E$2004,'Status'!$E$7,'Estimates'!$F$5:$F$2004,"&lt;&gt;")=0,"",SUMIFS('Estimates'!$F$5:$F$2004,'Estimates'!$A$5:$A$2004,$A12,'Estimates'!$B$5:$B$2004,"PPS",'Estimates'!$D$5:$D$2004,'Status'!$E$6,'Estimates'!$H$5:$H$2004,1,'Estimates'!$E$5:$E$2004,'Status'!$E$7)))))</x:f>
      </x:c>
      <x:c r="K12" s="13" t="str">
        <x:f>IF(OR(COUNTA($A12)=0,NOT(ISNUMBER('Status'!$F$6))),"",IF(COUNTIFS('Estimates'!$A$5:$A$2004,$A12,'Estimates'!$B$5:$B$2004,"PPS",'Estimates'!$D$5:$D$2004,'Status'!$F$6,'Estimates'!$H$5:$H$2004,1,'Estimates'!$E$5:$E$2004,'Status'!$E$7)=0,"",IF(COUNTIFS('Estimates'!$A$5:$A$2004,$A12,'Estimates'!$B$5:$B$2004,"PPS",'Estimates'!$D$5:$D$2004,'Status'!$F$6,'Estimates'!$H$5:$H$2004,1,'Estimates'!$E$5:$E$2004,'Status'!$E$7)&gt;1,"DUP",IF(COUNTIFS('Estimates'!$A$5:$A$2004,$A12,'Estimates'!$B$5:$B$2004,"PPS",'Estimates'!$D$5:$D$2004,'Status'!$F$6,'Estimates'!$H$5:$H$2004,1,'Estimates'!$E$5:$E$2004,'Status'!$E$7,'Estimates'!$F$5:$F$2004,"&lt;&gt;")=0,"",SUMIFS('Estimates'!$F$5:$F$2004,'Estimates'!$A$5:$A$2004,$A12,'Estimates'!$B$5:$B$2004,"PPS",'Estimates'!$D$5:$D$2004,'Status'!$F$6,'Estimates'!$H$5:$H$2004,1,'Estimates'!$E$5:$E$2004,'Status'!$E$7)))))</x:f>
      </x:c>
      <x:c r="L12" s="13" t="str">
        <x:f>IF(OR(COUNTA($A12)=0,NOT(ISNUMBER('Status'!$G$6))),"",IF(COUNTIFS('Estimates'!$A$5:$A$2004,$A12,'Estimates'!$B$5:$B$2004,"PPS",'Estimates'!$D$5:$D$2004,'Status'!$G$6,'Estimates'!$H$5:$H$2004,1,'Estimates'!$E$5:$E$2004,'Status'!$E$7)=0,"",IF(COUNTIFS('Estimates'!$A$5:$A$2004,$A12,'Estimates'!$B$5:$B$2004,"PPS",'Estimates'!$D$5:$D$2004,'Status'!$G$6,'Estimates'!$H$5:$H$2004,1,'Estimates'!$E$5:$E$2004,'Status'!$E$7)&gt;1,"DUP",IF(COUNTIFS('Estimates'!$A$5:$A$2004,$A12,'Estimates'!$B$5:$B$2004,"PPS",'Estimates'!$D$5:$D$2004,'Status'!$G$6,'Estimates'!$H$5:$H$2004,1,'Estimates'!$E$5:$E$2004,'Status'!$E$7,'Estimates'!$F$5:$F$2004,"&lt;&gt;")=0,"",SUMIFS('Estimates'!$F$5:$F$2004,'Estimates'!$A$5:$A$2004,$A12,'Estimates'!$B$5:$B$2004,"PPS",'Estimates'!$D$5:$D$2004,'Status'!$G$6,'Estimates'!$H$5:$H$2004,1,'Estimates'!$E$5:$E$2004,'Status'!$E$7)))))</x:f>
      </x:c>
      <x:c r="M12" s="13" t="str">
        <x:f>IF(AND(ISNUMBER(J12),ISNUMBER(K12)),K12-J12,"")</x:f>
      </x:c>
      <x:c r="N12" s="13" t="str">
        <x:f>IF(AND(ISNUMBER(K12),ISNUMBER(L12)),L12-K12,"")</x:f>
      </x:c>
      <x:c r="O12" s="13" t="str">
        <x:f>IF(AND(COUNT(J12:L12)=3,COUNT('Status'!$E$6:$G$6)=3,'Status'!$E$6&gt;'Status'!$F$6,'Status'!$F$6&gt;'Status'!$G$6,'Status'!$G$6&gt;0),ABS(L12-(K12+(K12-J12)*('Status'!$G$6-'Status'!$F$6)/('Status'!$F$6-'Status'!$E$6))),"")</x:f>
      </x:c>
      <x:c r="P12" s="13" t="str">
        <x:f>IF(AND(COUNT(J12:L12)=3,COUNT('Status'!$E$6:$G$6)=3,'Status'!$E$6&gt;'Status'!$F$6,'Status'!$F$6&gt;'Status'!$G$6,'Status'!$G$6&gt;0),('Status'!$F$6*L12-'Status'!$G$6*K12)/('Status'!$F$6-'Status'!$G$6),"")</x:f>
      </x:c>
      <x:c r="Q12" s="20"/>
      <x:c r="R12" s="13" t="str">
        <x:f>IF(COUNTA($A12)=0,"",IF('Status'!$B$6="MPS 1",IF(ISNUMBER(C12),C12,""),IF('Status'!$B$6="MPS 2",IF(ISNUMBER(D12),D12,""),IF('Status'!$B$6="MPS 3",IF(ISNUMBER(E12),E12,""),IF('Status'!$B$6="MPS extrap",IF(ISNUMBER(I12),I12,""),IF('Status'!$B$6="PPS 1",IF(ISNUMBER(J12),J12,""),IF('Status'!$B$6="PPS 2",IF(ISNUMBER(K12),K12,""),IF('Status'!$B$6="PPS 3",IF(ISNUMBER(L12),L12,""),IF('Status'!$B$6="PPS extrap",IF(ISNUMBER(P12),P12,""),IF('Status'!$B$6="Calibrated",IF(ISNUMBER(Q12),Q12,""),""))))))))))</x:f>
      </x:c>
      <x:c r="S12" s="2" t="str">
        <x:f>IF(COUNTA(A12)=0,"",IF(COUNTIFS('Estimates'!$A$5:$A$2004,A12,'Estimates'!$B$5:$B$2004,"MPS",'Estimates'!$H$5:$H$2004,1)+COUNTIFS('Estimates'!$A$5:$A$2004,A12,'Estimates'!$B$5:$B$2004,"PPS",'Estimates'!$H$5:$H$2004,1)&gt;0,1,0))</x:f>
      </x:c>
      <x:c r="T12" s="2" t="str">
        <x:f>IF(COUNTA(A12)=0,"",IF(COUNTIFS($A$6:$A$165,A12)&gt;1,"Duplicate target",IF(COUNTIFS(C12:E12,"DUP")+COUNTIFS(J12:L12,"DUP")&gt;0,"Duplicate accepted run",IF(COUNTIFS('Estimates'!$A$5:$A$2004,A12,'Estimates'!$H$5:$H$2004,1)-COUNTIFS('Estimates'!$A$5:$A$2004,A12,'Estimates'!$H$5:$H$2004,1,'Estimates'!$F$5:$F$2004,"&lt;&gt;")&gt;0,"Accepted value missing",""))))</x:f>
      </x:c>
    </x:row>
    <x:row r="13">
      <x:c r="A13" s="21" t="n">
        <x:v>7</x:v>
      </x:c>
      <x:c r="B13" s="19"/>
      <x:c r="C13" s="13" t="str">
        <x:f>IF(OR(COUNTA($A13)=0,NOT(ISNUMBER('Status'!$E$5))),"",IF(COUNTIFS('Estimates'!$A$5:$A$2004,$A13,'Estimates'!$B$5:$B$2004,"MPS",'Estimates'!$C$5:$C$2004,'Status'!$E$5,'Estimates'!$H$5:$H$2004,1)=0,"",IF(COUNTIFS('Estimates'!$A$5:$A$2004,$A13,'Estimates'!$B$5:$B$2004,"MPS",'Estimates'!$C$5:$C$2004,'Status'!$E$5,'Estimates'!$H$5:$H$2004,1)&gt;1,"DUP",IF(COUNTIFS('Estimates'!$A$5:$A$2004,$A13,'Estimates'!$B$5:$B$2004,"MPS",'Estimates'!$C$5:$C$2004,'Status'!$E$5,'Estimates'!$H$5:$H$2004,1,'Estimates'!$F$5:$F$2004,"&lt;&gt;")=0,"",SUMIFS('Estimates'!$F$5:$F$2004,'Estimates'!$A$5:$A$2004,$A13,'Estimates'!$B$5:$B$2004,"MPS",'Estimates'!$C$5:$C$2004,'Status'!$E$5,'Estimates'!$H$5:$H$2004,1)))))</x:f>
      </x:c>
      <x:c r="D13" s="13" t="str">
        <x:f>IF(OR(COUNTA($A13)=0,NOT(ISNUMBER('Status'!$F$5))),"",IF(COUNTIFS('Estimates'!$A$5:$A$2004,$A13,'Estimates'!$B$5:$B$2004,"MPS",'Estimates'!$C$5:$C$2004,'Status'!$F$5,'Estimates'!$H$5:$H$2004,1)=0,"",IF(COUNTIFS('Estimates'!$A$5:$A$2004,$A13,'Estimates'!$B$5:$B$2004,"MPS",'Estimates'!$C$5:$C$2004,'Status'!$F$5,'Estimates'!$H$5:$H$2004,1)&gt;1,"DUP",IF(COUNTIFS('Estimates'!$A$5:$A$2004,$A13,'Estimates'!$B$5:$B$2004,"MPS",'Estimates'!$C$5:$C$2004,'Status'!$F$5,'Estimates'!$H$5:$H$2004,1,'Estimates'!$F$5:$F$2004,"&lt;&gt;")=0,"",SUMIFS('Estimates'!$F$5:$F$2004,'Estimates'!$A$5:$A$2004,$A13,'Estimates'!$B$5:$B$2004,"MPS",'Estimates'!$C$5:$C$2004,'Status'!$F$5,'Estimates'!$H$5:$H$2004,1)))))</x:f>
      </x:c>
      <x:c r="E13" s="13" t="str">
        <x:f>IF(OR(COUNTA($A13)=0,NOT(ISNUMBER('Status'!$G$5))),"",IF(COUNTIFS('Estimates'!$A$5:$A$2004,$A13,'Estimates'!$B$5:$B$2004,"MPS",'Estimates'!$C$5:$C$2004,'Status'!$G$5,'Estimates'!$H$5:$H$2004,1)=0,"",IF(COUNTIFS('Estimates'!$A$5:$A$2004,$A13,'Estimates'!$B$5:$B$2004,"MPS",'Estimates'!$C$5:$C$2004,'Status'!$G$5,'Estimates'!$H$5:$H$2004,1)&gt;1,"DUP",IF(COUNTIFS('Estimates'!$A$5:$A$2004,$A13,'Estimates'!$B$5:$B$2004,"MPS",'Estimates'!$C$5:$C$2004,'Status'!$G$5,'Estimates'!$H$5:$H$2004,1,'Estimates'!$F$5:$F$2004,"&lt;&gt;")=0,"",SUMIFS('Estimates'!$F$5:$F$2004,'Estimates'!$A$5:$A$2004,$A13,'Estimates'!$B$5:$B$2004,"MPS",'Estimates'!$C$5:$C$2004,'Status'!$G$5,'Estimates'!$H$5:$H$2004,1)))))</x:f>
      </x:c>
      <x:c r="F13" s="13" t="str">
        <x:f>IF(AND(ISNUMBER(C13),ISNUMBER(D13)),D13-C13,"")</x:f>
      </x:c>
      <x:c r="G13" s="13" t="str">
        <x:f>IF(AND(ISNUMBER(D13),ISNUMBER(E13)),E13-D13,"")</x:f>
      </x:c>
      <x:c r="H13" s="13" t="str">
        <x:f>IF(AND(COUNT(C13:E13)=3,COUNT('Status'!$E$5:$G$5)=3,'Status'!$E$5&gt;0,'Status'!$E$5&lt;'Status'!$F$5,'Status'!$F$5&lt;'Status'!$G$5),ABS(E13-(D13+(D13-C13)*((1/'Status'!$G$5)-(1/'Status'!$F$5))/((1/'Status'!$F$5)-(1/'Status'!$E$5)))),"")</x:f>
      </x:c>
      <x:c r="I13" s="13" t="str">
        <x:f>IF(AND(COUNT(C13:E13)=3,COUNT('Status'!$E$5:$G$5)=3,'Status'!$E$5&gt;0,'Status'!$E$5&lt;'Status'!$F$5,'Status'!$F$5&lt;'Status'!$G$5),((1/'Status'!$F$5)*E13-(1/'Status'!$G$5)*D13)/((1/'Status'!$F$5)-(1/'Status'!$G$5)),"")</x:f>
      </x:c>
      <x:c r="J13" s="13" t="str">
        <x:f>IF(OR(COUNTA($A13)=0,NOT(ISNUMBER('Status'!$E$6))),"",IF(COUNTIFS('Estimates'!$A$5:$A$2004,$A13,'Estimates'!$B$5:$B$2004,"PPS",'Estimates'!$D$5:$D$2004,'Status'!$E$6,'Estimates'!$H$5:$H$2004,1,'Estimates'!$E$5:$E$2004,'Status'!$E$7)=0,"",IF(COUNTIFS('Estimates'!$A$5:$A$2004,$A13,'Estimates'!$B$5:$B$2004,"PPS",'Estimates'!$D$5:$D$2004,'Status'!$E$6,'Estimates'!$H$5:$H$2004,1,'Estimates'!$E$5:$E$2004,'Status'!$E$7)&gt;1,"DUP",IF(COUNTIFS('Estimates'!$A$5:$A$2004,$A13,'Estimates'!$B$5:$B$2004,"PPS",'Estimates'!$D$5:$D$2004,'Status'!$E$6,'Estimates'!$H$5:$H$2004,1,'Estimates'!$E$5:$E$2004,'Status'!$E$7,'Estimates'!$F$5:$F$2004,"&lt;&gt;")=0,"",SUMIFS('Estimates'!$F$5:$F$2004,'Estimates'!$A$5:$A$2004,$A13,'Estimates'!$B$5:$B$2004,"PPS",'Estimates'!$D$5:$D$2004,'Status'!$E$6,'Estimates'!$H$5:$H$2004,1,'Estimates'!$E$5:$E$2004,'Status'!$E$7)))))</x:f>
      </x:c>
      <x:c r="K13" s="13" t="str">
        <x:f>IF(OR(COUNTA($A13)=0,NOT(ISNUMBER('Status'!$F$6))),"",IF(COUNTIFS('Estimates'!$A$5:$A$2004,$A13,'Estimates'!$B$5:$B$2004,"PPS",'Estimates'!$D$5:$D$2004,'Status'!$F$6,'Estimates'!$H$5:$H$2004,1,'Estimates'!$E$5:$E$2004,'Status'!$E$7)=0,"",IF(COUNTIFS('Estimates'!$A$5:$A$2004,$A13,'Estimates'!$B$5:$B$2004,"PPS",'Estimates'!$D$5:$D$2004,'Status'!$F$6,'Estimates'!$H$5:$H$2004,1,'Estimates'!$E$5:$E$2004,'Status'!$E$7)&gt;1,"DUP",IF(COUNTIFS('Estimates'!$A$5:$A$2004,$A13,'Estimates'!$B$5:$B$2004,"PPS",'Estimates'!$D$5:$D$2004,'Status'!$F$6,'Estimates'!$H$5:$H$2004,1,'Estimates'!$E$5:$E$2004,'Status'!$E$7,'Estimates'!$F$5:$F$2004,"&lt;&gt;")=0,"",SUMIFS('Estimates'!$F$5:$F$2004,'Estimates'!$A$5:$A$2004,$A13,'Estimates'!$B$5:$B$2004,"PPS",'Estimates'!$D$5:$D$2004,'Status'!$F$6,'Estimates'!$H$5:$H$2004,1,'Estimates'!$E$5:$E$2004,'Status'!$E$7)))))</x:f>
      </x:c>
      <x:c r="L13" s="13" t="str">
        <x:f>IF(OR(COUNTA($A13)=0,NOT(ISNUMBER('Status'!$G$6))),"",IF(COUNTIFS('Estimates'!$A$5:$A$2004,$A13,'Estimates'!$B$5:$B$2004,"PPS",'Estimates'!$D$5:$D$2004,'Status'!$G$6,'Estimates'!$H$5:$H$2004,1,'Estimates'!$E$5:$E$2004,'Status'!$E$7)=0,"",IF(COUNTIFS('Estimates'!$A$5:$A$2004,$A13,'Estimates'!$B$5:$B$2004,"PPS",'Estimates'!$D$5:$D$2004,'Status'!$G$6,'Estimates'!$H$5:$H$2004,1,'Estimates'!$E$5:$E$2004,'Status'!$E$7)&gt;1,"DUP",IF(COUNTIFS('Estimates'!$A$5:$A$2004,$A13,'Estimates'!$B$5:$B$2004,"PPS",'Estimates'!$D$5:$D$2004,'Status'!$G$6,'Estimates'!$H$5:$H$2004,1,'Estimates'!$E$5:$E$2004,'Status'!$E$7,'Estimates'!$F$5:$F$2004,"&lt;&gt;")=0,"",SUMIFS('Estimates'!$F$5:$F$2004,'Estimates'!$A$5:$A$2004,$A13,'Estimates'!$B$5:$B$2004,"PPS",'Estimates'!$D$5:$D$2004,'Status'!$G$6,'Estimates'!$H$5:$H$2004,1,'Estimates'!$E$5:$E$2004,'Status'!$E$7)))))</x:f>
      </x:c>
      <x:c r="M13" s="13" t="str">
        <x:f>IF(AND(ISNUMBER(J13),ISNUMBER(K13)),K13-J13,"")</x:f>
      </x:c>
      <x:c r="N13" s="13" t="str">
        <x:f>IF(AND(ISNUMBER(K13),ISNUMBER(L13)),L13-K13,"")</x:f>
      </x:c>
      <x:c r="O13" s="13" t="str">
        <x:f>IF(AND(COUNT(J13:L13)=3,COUNT('Status'!$E$6:$G$6)=3,'Status'!$E$6&gt;'Status'!$F$6,'Status'!$F$6&gt;'Status'!$G$6,'Status'!$G$6&gt;0),ABS(L13-(K13+(K13-J13)*('Status'!$G$6-'Status'!$F$6)/('Status'!$F$6-'Status'!$E$6))),"")</x:f>
      </x:c>
      <x:c r="P13" s="13" t="str">
        <x:f>IF(AND(COUNT(J13:L13)=3,COUNT('Status'!$E$6:$G$6)=3,'Status'!$E$6&gt;'Status'!$F$6,'Status'!$F$6&gt;'Status'!$G$6,'Status'!$G$6&gt;0),('Status'!$F$6*L13-'Status'!$G$6*K13)/('Status'!$F$6-'Status'!$G$6),"")</x:f>
      </x:c>
      <x:c r="Q13" s="20"/>
      <x:c r="R13" s="13" t="str">
        <x:f>IF(COUNTA($A13)=0,"",IF('Status'!$B$6="MPS 1",IF(ISNUMBER(C13),C13,""),IF('Status'!$B$6="MPS 2",IF(ISNUMBER(D13),D13,""),IF('Status'!$B$6="MPS 3",IF(ISNUMBER(E13),E13,""),IF('Status'!$B$6="MPS extrap",IF(ISNUMBER(I13),I13,""),IF('Status'!$B$6="PPS 1",IF(ISNUMBER(J13),J13,""),IF('Status'!$B$6="PPS 2",IF(ISNUMBER(K13),K13,""),IF('Status'!$B$6="PPS 3",IF(ISNUMBER(L13),L13,""),IF('Status'!$B$6="PPS extrap",IF(ISNUMBER(P13),P13,""),IF('Status'!$B$6="Calibrated",IF(ISNUMBER(Q13),Q13,""),""))))))))))</x:f>
      </x:c>
      <x:c r="S13" s="2" t="str">
        <x:f>IF(COUNTA(A13)=0,"",IF(COUNTIFS('Estimates'!$A$5:$A$2004,A13,'Estimates'!$B$5:$B$2004,"MPS",'Estimates'!$H$5:$H$2004,1)+COUNTIFS('Estimates'!$A$5:$A$2004,A13,'Estimates'!$B$5:$B$2004,"PPS",'Estimates'!$H$5:$H$2004,1)&gt;0,1,0))</x:f>
      </x:c>
      <x:c r="T13" s="2" t="str">
        <x:f>IF(COUNTA(A13)=0,"",IF(COUNTIFS($A$6:$A$165,A13)&gt;1,"Duplicate target",IF(COUNTIFS(C13:E13,"DUP")+COUNTIFS(J13:L13,"DUP")&gt;0,"Duplicate accepted run",IF(COUNTIFS('Estimates'!$A$5:$A$2004,A13,'Estimates'!$H$5:$H$2004,1)-COUNTIFS('Estimates'!$A$5:$A$2004,A13,'Estimates'!$H$5:$H$2004,1,'Estimates'!$F$5:$F$2004,"&lt;&gt;")&gt;0,"Accepted value missing",""))))</x:f>
      </x:c>
    </x:row>
    <x:row r="14">
      <x:c r="A14" s="21" t="n">
        <x:v>8</x:v>
      </x:c>
      <x:c r="B14" s="19"/>
      <x:c r="C14" s="13" t="str">
        <x:f>IF(OR(COUNTA($A14)=0,NOT(ISNUMBER('Status'!$E$5))),"",IF(COUNTIFS('Estimates'!$A$5:$A$2004,$A14,'Estimates'!$B$5:$B$2004,"MPS",'Estimates'!$C$5:$C$2004,'Status'!$E$5,'Estimates'!$H$5:$H$2004,1)=0,"",IF(COUNTIFS('Estimates'!$A$5:$A$2004,$A14,'Estimates'!$B$5:$B$2004,"MPS",'Estimates'!$C$5:$C$2004,'Status'!$E$5,'Estimates'!$H$5:$H$2004,1)&gt;1,"DUP",IF(COUNTIFS('Estimates'!$A$5:$A$2004,$A14,'Estimates'!$B$5:$B$2004,"MPS",'Estimates'!$C$5:$C$2004,'Status'!$E$5,'Estimates'!$H$5:$H$2004,1,'Estimates'!$F$5:$F$2004,"&lt;&gt;")=0,"",SUMIFS('Estimates'!$F$5:$F$2004,'Estimates'!$A$5:$A$2004,$A14,'Estimates'!$B$5:$B$2004,"MPS",'Estimates'!$C$5:$C$2004,'Status'!$E$5,'Estimates'!$H$5:$H$2004,1)))))</x:f>
      </x:c>
      <x:c r="D14" s="13" t="str">
        <x:f>IF(OR(COUNTA($A14)=0,NOT(ISNUMBER('Status'!$F$5))),"",IF(COUNTIFS('Estimates'!$A$5:$A$2004,$A14,'Estimates'!$B$5:$B$2004,"MPS",'Estimates'!$C$5:$C$2004,'Status'!$F$5,'Estimates'!$H$5:$H$2004,1)=0,"",IF(COUNTIFS('Estimates'!$A$5:$A$2004,$A14,'Estimates'!$B$5:$B$2004,"MPS",'Estimates'!$C$5:$C$2004,'Status'!$F$5,'Estimates'!$H$5:$H$2004,1)&gt;1,"DUP",IF(COUNTIFS('Estimates'!$A$5:$A$2004,$A14,'Estimates'!$B$5:$B$2004,"MPS",'Estimates'!$C$5:$C$2004,'Status'!$F$5,'Estimates'!$H$5:$H$2004,1,'Estimates'!$F$5:$F$2004,"&lt;&gt;")=0,"",SUMIFS('Estimates'!$F$5:$F$2004,'Estimates'!$A$5:$A$2004,$A14,'Estimates'!$B$5:$B$2004,"MPS",'Estimates'!$C$5:$C$2004,'Status'!$F$5,'Estimates'!$H$5:$H$2004,1)))))</x:f>
      </x:c>
      <x:c r="E14" s="13" t="str">
        <x:f>IF(OR(COUNTA($A14)=0,NOT(ISNUMBER('Status'!$G$5))),"",IF(COUNTIFS('Estimates'!$A$5:$A$2004,$A14,'Estimates'!$B$5:$B$2004,"MPS",'Estimates'!$C$5:$C$2004,'Status'!$G$5,'Estimates'!$H$5:$H$2004,1)=0,"",IF(COUNTIFS('Estimates'!$A$5:$A$2004,$A14,'Estimates'!$B$5:$B$2004,"MPS",'Estimates'!$C$5:$C$2004,'Status'!$G$5,'Estimates'!$H$5:$H$2004,1)&gt;1,"DUP",IF(COUNTIFS('Estimates'!$A$5:$A$2004,$A14,'Estimates'!$B$5:$B$2004,"MPS",'Estimates'!$C$5:$C$2004,'Status'!$G$5,'Estimates'!$H$5:$H$2004,1,'Estimates'!$F$5:$F$2004,"&lt;&gt;")=0,"",SUMIFS('Estimates'!$F$5:$F$2004,'Estimates'!$A$5:$A$2004,$A14,'Estimates'!$B$5:$B$2004,"MPS",'Estimates'!$C$5:$C$2004,'Status'!$G$5,'Estimates'!$H$5:$H$2004,1)))))</x:f>
      </x:c>
      <x:c r="F14" s="13" t="str">
        <x:f>IF(AND(ISNUMBER(C14),ISNUMBER(D14)),D14-C14,"")</x:f>
      </x:c>
      <x:c r="G14" s="13" t="str">
        <x:f>IF(AND(ISNUMBER(D14),ISNUMBER(E14)),E14-D14,"")</x:f>
      </x:c>
      <x:c r="H14" s="13" t="str">
        <x:f>IF(AND(COUNT(C14:E14)=3,COUNT('Status'!$E$5:$G$5)=3,'Status'!$E$5&gt;0,'Status'!$E$5&lt;'Status'!$F$5,'Status'!$F$5&lt;'Status'!$G$5),ABS(E14-(D14+(D14-C14)*((1/'Status'!$G$5)-(1/'Status'!$F$5))/((1/'Status'!$F$5)-(1/'Status'!$E$5)))),"")</x:f>
      </x:c>
      <x:c r="I14" s="13" t="str">
        <x:f>IF(AND(COUNT(C14:E14)=3,COUNT('Status'!$E$5:$G$5)=3,'Status'!$E$5&gt;0,'Status'!$E$5&lt;'Status'!$F$5,'Status'!$F$5&lt;'Status'!$G$5),((1/'Status'!$F$5)*E14-(1/'Status'!$G$5)*D14)/((1/'Status'!$F$5)-(1/'Status'!$G$5)),"")</x:f>
      </x:c>
      <x:c r="J14" s="13" t="str">
        <x:f>IF(OR(COUNTA($A14)=0,NOT(ISNUMBER('Status'!$E$6))),"",IF(COUNTIFS('Estimates'!$A$5:$A$2004,$A14,'Estimates'!$B$5:$B$2004,"PPS",'Estimates'!$D$5:$D$2004,'Status'!$E$6,'Estimates'!$H$5:$H$2004,1,'Estimates'!$E$5:$E$2004,'Status'!$E$7)=0,"",IF(COUNTIFS('Estimates'!$A$5:$A$2004,$A14,'Estimates'!$B$5:$B$2004,"PPS",'Estimates'!$D$5:$D$2004,'Status'!$E$6,'Estimates'!$H$5:$H$2004,1,'Estimates'!$E$5:$E$2004,'Status'!$E$7)&gt;1,"DUP",IF(COUNTIFS('Estimates'!$A$5:$A$2004,$A14,'Estimates'!$B$5:$B$2004,"PPS",'Estimates'!$D$5:$D$2004,'Status'!$E$6,'Estimates'!$H$5:$H$2004,1,'Estimates'!$E$5:$E$2004,'Status'!$E$7,'Estimates'!$F$5:$F$2004,"&lt;&gt;")=0,"",SUMIFS('Estimates'!$F$5:$F$2004,'Estimates'!$A$5:$A$2004,$A14,'Estimates'!$B$5:$B$2004,"PPS",'Estimates'!$D$5:$D$2004,'Status'!$E$6,'Estimates'!$H$5:$H$2004,1,'Estimates'!$E$5:$E$2004,'Status'!$E$7)))))</x:f>
      </x:c>
      <x:c r="K14" s="13" t="str">
        <x:f>IF(OR(COUNTA($A14)=0,NOT(ISNUMBER('Status'!$F$6))),"",IF(COUNTIFS('Estimates'!$A$5:$A$2004,$A14,'Estimates'!$B$5:$B$2004,"PPS",'Estimates'!$D$5:$D$2004,'Status'!$F$6,'Estimates'!$H$5:$H$2004,1,'Estimates'!$E$5:$E$2004,'Status'!$E$7)=0,"",IF(COUNTIFS('Estimates'!$A$5:$A$2004,$A14,'Estimates'!$B$5:$B$2004,"PPS",'Estimates'!$D$5:$D$2004,'Status'!$F$6,'Estimates'!$H$5:$H$2004,1,'Estimates'!$E$5:$E$2004,'Status'!$E$7)&gt;1,"DUP",IF(COUNTIFS('Estimates'!$A$5:$A$2004,$A14,'Estimates'!$B$5:$B$2004,"PPS",'Estimates'!$D$5:$D$2004,'Status'!$F$6,'Estimates'!$H$5:$H$2004,1,'Estimates'!$E$5:$E$2004,'Status'!$E$7,'Estimates'!$F$5:$F$2004,"&lt;&gt;")=0,"",SUMIFS('Estimates'!$F$5:$F$2004,'Estimates'!$A$5:$A$2004,$A14,'Estimates'!$B$5:$B$2004,"PPS",'Estimates'!$D$5:$D$2004,'Status'!$F$6,'Estimates'!$H$5:$H$2004,1,'Estimates'!$E$5:$E$2004,'Status'!$E$7)))))</x:f>
      </x:c>
      <x:c r="L14" s="13" t="str">
        <x:f>IF(OR(COUNTA($A14)=0,NOT(ISNUMBER('Status'!$G$6))),"",IF(COUNTIFS('Estimates'!$A$5:$A$2004,$A14,'Estimates'!$B$5:$B$2004,"PPS",'Estimates'!$D$5:$D$2004,'Status'!$G$6,'Estimates'!$H$5:$H$2004,1,'Estimates'!$E$5:$E$2004,'Status'!$E$7)=0,"",IF(COUNTIFS('Estimates'!$A$5:$A$2004,$A14,'Estimates'!$B$5:$B$2004,"PPS",'Estimates'!$D$5:$D$2004,'Status'!$G$6,'Estimates'!$H$5:$H$2004,1,'Estimates'!$E$5:$E$2004,'Status'!$E$7)&gt;1,"DUP",IF(COUNTIFS('Estimates'!$A$5:$A$2004,$A14,'Estimates'!$B$5:$B$2004,"PPS",'Estimates'!$D$5:$D$2004,'Status'!$G$6,'Estimates'!$H$5:$H$2004,1,'Estimates'!$E$5:$E$2004,'Status'!$E$7,'Estimates'!$F$5:$F$2004,"&lt;&gt;")=0,"",SUMIFS('Estimates'!$F$5:$F$2004,'Estimates'!$A$5:$A$2004,$A14,'Estimates'!$B$5:$B$2004,"PPS",'Estimates'!$D$5:$D$2004,'Status'!$G$6,'Estimates'!$H$5:$H$2004,1,'Estimates'!$E$5:$E$2004,'Status'!$E$7)))))</x:f>
      </x:c>
      <x:c r="M14" s="13" t="str">
        <x:f>IF(AND(ISNUMBER(J14),ISNUMBER(K14)),K14-J14,"")</x:f>
      </x:c>
      <x:c r="N14" s="13" t="str">
        <x:f>IF(AND(ISNUMBER(K14),ISNUMBER(L14)),L14-K14,"")</x:f>
      </x:c>
      <x:c r="O14" s="13" t="str">
        <x:f>IF(AND(COUNT(J14:L14)=3,COUNT('Status'!$E$6:$G$6)=3,'Status'!$E$6&gt;'Status'!$F$6,'Status'!$F$6&gt;'Status'!$G$6,'Status'!$G$6&gt;0),ABS(L14-(K14+(K14-J14)*('Status'!$G$6-'Status'!$F$6)/('Status'!$F$6-'Status'!$E$6))),"")</x:f>
      </x:c>
      <x:c r="P14" s="13" t="str">
        <x:f>IF(AND(COUNT(J14:L14)=3,COUNT('Status'!$E$6:$G$6)=3,'Status'!$E$6&gt;'Status'!$F$6,'Status'!$F$6&gt;'Status'!$G$6,'Status'!$G$6&gt;0),('Status'!$F$6*L14-'Status'!$G$6*K14)/('Status'!$F$6-'Status'!$G$6),"")</x:f>
      </x:c>
      <x:c r="Q14" s="20"/>
      <x:c r="R14" s="13" t="str">
        <x:f>IF(COUNTA($A14)=0,"",IF('Status'!$B$6="MPS 1",IF(ISNUMBER(C14),C14,""),IF('Status'!$B$6="MPS 2",IF(ISNUMBER(D14),D14,""),IF('Status'!$B$6="MPS 3",IF(ISNUMBER(E14),E14,""),IF('Status'!$B$6="MPS extrap",IF(ISNUMBER(I14),I14,""),IF('Status'!$B$6="PPS 1",IF(ISNUMBER(J14),J14,""),IF('Status'!$B$6="PPS 2",IF(ISNUMBER(K14),K14,""),IF('Status'!$B$6="PPS 3",IF(ISNUMBER(L14),L14,""),IF('Status'!$B$6="PPS extrap",IF(ISNUMBER(P14),P14,""),IF('Status'!$B$6="Calibrated",IF(ISNUMBER(Q14),Q14,""),""))))))))))</x:f>
      </x:c>
      <x:c r="S14" s="2" t="str">
        <x:f>IF(COUNTA(A14)=0,"",IF(COUNTIFS('Estimates'!$A$5:$A$2004,A14,'Estimates'!$B$5:$B$2004,"MPS",'Estimates'!$H$5:$H$2004,1)+COUNTIFS('Estimates'!$A$5:$A$2004,A14,'Estimates'!$B$5:$B$2004,"PPS",'Estimates'!$H$5:$H$2004,1)&gt;0,1,0))</x:f>
      </x:c>
      <x:c r="T14" s="2" t="str">
        <x:f>IF(COUNTA(A14)=0,"",IF(COUNTIFS($A$6:$A$165,A14)&gt;1,"Duplicate target",IF(COUNTIFS(C14:E14,"DUP")+COUNTIFS(J14:L14,"DUP")&gt;0,"Duplicate accepted run",IF(COUNTIFS('Estimates'!$A$5:$A$2004,A14,'Estimates'!$H$5:$H$2004,1)-COUNTIFS('Estimates'!$A$5:$A$2004,A14,'Estimates'!$H$5:$H$2004,1,'Estimates'!$F$5:$F$2004,"&lt;&gt;")&gt;0,"Accepted value missing",""))))</x:f>
      </x:c>
    </x:row>
    <x:row r="15">
      <x:c r="A15" s="21" t="n">
        <x:v>9</x:v>
      </x:c>
      <x:c r="B15" s="19"/>
      <x:c r="C15" s="13" t="str">
        <x:f>IF(OR(COUNTA($A15)=0,NOT(ISNUMBER('Status'!$E$5))),"",IF(COUNTIFS('Estimates'!$A$5:$A$2004,$A15,'Estimates'!$B$5:$B$2004,"MPS",'Estimates'!$C$5:$C$2004,'Status'!$E$5,'Estimates'!$H$5:$H$2004,1)=0,"",IF(COUNTIFS('Estimates'!$A$5:$A$2004,$A15,'Estimates'!$B$5:$B$2004,"MPS",'Estimates'!$C$5:$C$2004,'Status'!$E$5,'Estimates'!$H$5:$H$2004,1)&gt;1,"DUP",IF(COUNTIFS('Estimates'!$A$5:$A$2004,$A15,'Estimates'!$B$5:$B$2004,"MPS",'Estimates'!$C$5:$C$2004,'Status'!$E$5,'Estimates'!$H$5:$H$2004,1,'Estimates'!$F$5:$F$2004,"&lt;&gt;")=0,"",SUMIFS('Estimates'!$F$5:$F$2004,'Estimates'!$A$5:$A$2004,$A15,'Estimates'!$B$5:$B$2004,"MPS",'Estimates'!$C$5:$C$2004,'Status'!$E$5,'Estimates'!$H$5:$H$2004,1)))))</x:f>
      </x:c>
      <x:c r="D15" s="13" t="str">
        <x:f>IF(OR(COUNTA($A15)=0,NOT(ISNUMBER('Status'!$F$5))),"",IF(COUNTIFS('Estimates'!$A$5:$A$2004,$A15,'Estimates'!$B$5:$B$2004,"MPS",'Estimates'!$C$5:$C$2004,'Status'!$F$5,'Estimates'!$H$5:$H$2004,1)=0,"",IF(COUNTIFS('Estimates'!$A$5:$A$2004,$A15,'Estimates'!$B$5:$B$2004,"MPS",'Estimates'!$C$5:$C$2004,'Status'!$F$5,'Estimates'!$H$5:$H$2004,1)&gt;1,"DUP",IF(COUNTIFS('Estimates'!$A$5:$A$2004,$A15,'Estimates'!$B$5:$B$2004,"MPS",'Estimates'!$C$5:$C$2004,'Status'!$F$5,'Estimates'!$H$5:$H$2004,1,'Estimates'!$F$5:$F$2004,"&lt;&gt;")=0,"",SUMIFS('Estimates'!$F$5:$F$2004,'Estimates'!$A$5:$A$2004,$A15,'Estimates'!$B$5:$B$2004,"MPS",'Estimates'!$C$5:$C$2004,'Status'!$F$5,'Estimates'!$H$5:$H$2004,1)))))</x:f>
      </x:c>
      <x:c r="E15" s="13" t="str">
        <x:f>IF(OR(COUNTA($A15)=0,NOT(ISNUMBER('Status'!$G$5))),"",IF(COUNTIFS('Estimates'!$A$5:$A$2004,$A15,'Estimates'!$B$5:$B$2004,"MPS",'Estimates'!$C$5:$C$2004,'Status'!$G$5,'Estimates'!$H$5:$H$2004,1)=0,"",IF(COUNTIFS('Estimates'!$A$5:$A$2004,$A15,'Estimates'!$B$5:$B$2004,"MPS",'Estimates'!$C$5:$C$2004,'Status'!$G$5,'Estimates'!$H$5:$H$2004,1)&gt;1,"DUP",IF(COUNTIFS('Estimates'!$A$5:$A$2004,$A15,'Estimates'!$B$5:$B$2004,"MPS",'Estimates'!$C$5:$C$2004,'Status'!$G$5,'Estimates'!$H$5:$H$2004,1,'Estimates'!$F$5:$F$2004,"&lt;&gt;")=0,"",SUMIFS('Estimates'!$F$5:$F$2004,'Estimates'!$A$5:$A$2004,$A15,'Estimates'!$B$5:$B$2004,"MPS",'Estimates'!$C$5:$C$2004,'Status'!$G$5,'Estimates'!$H$5:$H$2004,1)))))</x:f>
      </x:c>
      <x:c r="F15" s="13" t="str">
        <x:f>IF(AND(ISNUMBER(C15),ISNUMBER(D15)),D15-C15,"")</x:f>
      </x:c>
      <x:c r="G15" s="13" t="str">
        <x:f>IF(AND(ISNUMBER(D15),ISNUMBER(E15)),E15-D15,"")</x:f>
      </x:c>
      <x:c r="H15" s="13" t="str">
        <x:f>IF(AND(COUNT(C15:E15)=3,COUNT('Status'!$E$5:$G$5)=3,'Status'!$E$5&gt;0,'Status'!$E$5&lt;'Status'!$F$5,'Status'!$F$5&lt;'Status'!$G$5),ABS(E15-(D15+(D15-C15)*((1/'Status'!$G$5)-(1/'Status'!$F$5))/((1/'Status'!$F$5)-(1/'Status'!$E$5)))),"")</x:f>
      </x:c>
      <x:c r="I15" s="13" t="str">
        <x:f>IF(AND(COUNT(C15:E15)=3,COUNT('Status'!$E$5:$G$5)=3,'Status'!$E$5&gt;0,'Status'!$E$5&lt;'Status'!$F$5,'Status'!$F$5&lt;'Status'!$G$5),((1/'Status'!$F$5)*E15-(1/'Status'!$G$5)*D15)/((1/'Status'!$F$5)-(1/'Status'!$G$5)),"")</x:f>
      </x:c>
      <x:c r="J15" s="13" t="str">
        <x:f>IF(OR(COUNTA($A15)=0,NOT(ISNUMBER('Status'!$E$6))),"",IF(COUNTIFS('Estimates'!$A$5:$A$2004,$A15,'Estimates'!$B$5:$B$2004,"PPS",'Estimates'!$D$5:$D$2004,'Status'!$E$6,'Estimates'!$H$5:$H$2004,1,'Estimates'!$E$5:$E$2004,'Status'!$E$7)=0,"",IF(COUNTIFS('Estimates'!$A$5:$A$2004,$A15,'Estimates'!$B$5:$B$2004,"PPS",'Estimates'!$D$5:$D$2004,'Status'!$E$6,'Estimates'!$H$5:$H$2004,1,'Estimates'!$E$5:$E$2004,'Status'!$E$7)&gt;1,"DUP",IF(COUNTIFS('Estimates'!$A$5:$A$2004,$A15,'Estimates'!$B$5:$B$2004,"PPS",'Estimates'!$D$5:$D$2004,'Status'!$E$6,'Estimates'!$H$5:$H$2004,1,'Estimates'!$E$5:$E$2004,'Status'!$E$7,'Estimates'!$F$5:$F$2004,"&lt;&gt;")=0,"",SUMIFS('Estimates'!$F$5:$F$2004,'Estimates'!$A$5:$A$2004,$A15,'Estimates'!$B$5:$B$2004,"PPS",'Estimates'!$D$5:$D$2004,'Status'!$E$6,'Estimates'!$H$5:$H$2004,1,'Estimates'!$E$5:$E$2004,'Status'!$E$7)))))</x:f>
      </x:c>
      <x:c r="K15" s="13" t="str">
        <x:f>IF(OR(COUNTA($A15)=0,NOT(ISNUMBER('Status'!$F$6))),"",IF(COUNTIFS('Estimates'!$A$5:$A$2004,$A15,'Estimates'!$B$5:$B$2004,"PPS",'Estimates'!$D$5:$D$2004,'Status'!$F$6,'Estimates'!$H$5:$H$2004,1,'Estimates'!$E$5:$E$2004,'Status'!$E$7)=0,"",IF(COUNTIFS('Estimates'!$A$5:$A$2004,$A15,'Estimates'!$B$5:$B$2004,"PPS",'Estimates'!$D$5:$D$2004,'Status'!$F$6,'Estimates'!$H$5:$H$2004,1,'Estimates'!$E$5:$E$2004,'Status'!$E$7)&gt;1,"DUP",IF(COUNTIFS('Estimates'!$A$5:$A$2004,$A15,'Estimates'!$B$5:$B$2004,"PPS",'Estimates'!$D$5:$D$2004,'Status'!$F$6,'Estimates'!$H$5:$H$2004,1,'Estimates'!$E$5:$E$2004,'Status'!$E$7,'Estimates'!$F$5:$F$2004,"&lt;&gt;")=0,"",SUMIFS('Estimates'!$F$5:$F$2004,'Estimates'!$A$5:$A$2004,$A15,'Estimates'!$B$5:$B$2004,"PPS",'Estimates'!$D$5:$D$2004,'Status'!$F$6,'Estimates'!$H$5:$H$2004,1,'Estimates'!$E$5:$E$2004,'Status'!$E$7)))))</x:f>
      </x:c>
      <x:c r="L15" s="13" t="str">
        <x:f>IF(OR(COUNTA($A15)=0,NOT(ISNUMBER('Status'!$G$6))),"",IF(COUNTIFS('Estimates'!$A$5:$A$2004,$A15,'Estimates'!$B$5:$B$2004,"PPS",'Estimates'!$D$5:$D$2004,'Status'!$G$6,'Estimates'!$H$5:$H$2004,1,'Estimates'!$E$5:$E$2004,'Status'!$E$7)=0,"",IF(COUNTIFS('Estimates'!$A$5:$A$2004,$A15,'Estimates'!$B$5:$B$2004,"PPS",'Estimates'!$D$5:$D$2004,'Status'!$G$6,'Estimates'!$H$5:$H$2004,1,'Estimates'!$E$5:$E$2004,'Status'!$E$7)&gt;1,"DUP",IF(COUNTIFS('Estimates'!$A$5:$A$2004,$A15,'Estimates'!$B$5:$B$2004,"PPS",'Estimates'!$D$5:$D$2004,'Status'!$G$6,'Estimates'!$H$5:$H$2004,1,'Estimates'!$E$5:$E$2004,'Status'!$E$7,'Estimates'!$F$5:$F$2004,"&lt;&gt;")=0,"",SUMIFS('Estimates'!$F$5:$F$2004,'Estimates'!$A$5:$A$2004,$A15,'Estimates'!$B$5:$B$2004,"PPS",'Estimates'!$D$5:$D$2004,'Status'!$G$6,'Estimates'!$H$5:$H$2004,1,'Estimates'!$E$5:$E$2004,'Status'!$E$7)))))</x:f>
      </x:c>
      <x:c r="M15" s="13" t="str">
        <x:f>IF(AND(ISNUMBER(J15),ISNUMBER(K15)),K15-J15,"")</x:f>
      </x:c>
      <x:c r="N15" s="13" t="str">
        <x:f>IF(AND(ISNUMBER(K15),ISNUMBER(L15)),L15-K15,"")</x:f>
      </x:c>
      <x:c r="O15" s="13" t="str">
        <x:f>IF(AND(COUNT(J15:L15)=3,COUNT('Status'!$E$6:$G$6)=3,'Status'!$E$6&gt;'Status'!$F$6,'Status'!$F$6&gt;'Status'!$G$6,'Status'!$G$6&gt;0),ABS(L15-(K15+(K15-J15)*('Status'!$G$6-'Status'!$F$6)/('Status'!$F$6-'Status'!$E$6))),"")</x:f>
      </x:c>
      <x:c r="P15" s="13" t="str">
        <x:f>IF(AND(COUNT(J15:L15)=3,COUNT('Status'!$E$6:$G$6)=3,'Status'!$E$6&gt;'Status'!$F$6,'Status'!$F$6&gt;'Status'!$G$6,'Status'!$G$6&gt;0),('Status'!$F$6*L15-'Status'!$G$6*K15)/('Status'!$F$6-'Status'!$G$6),"")</x:f>
      </x:c>
      <x:c r="Q15" s="20"/>
      <x:c r="R15" s="13" t="str">
        <x:f>IF(COUNTA($A15)=0,"",IF('Status'!$B$6="MPS 1",IF(ISNUMBER(C15),C15,""),IF('Status'!$B$6="MPS 2",IF(ISNUMBER(D15),D15,""),IF('Status'!$B$6="MPS 3",IF(ISNUMBER(E15),E15,""),IF('Status'!$B$6="MPS extrap",IF(ISNUMBER(I15),I15,""),IF('Status'!$B$6="PPS 1",IF(ISNUMBER(J15),J15,""),IF('Status'!$B$6="PPS 2",IF(ISNUMBER(K15),K15,""),IF('Status'!$B$6="PPS 3",IF(ISNUMBER(L15),L15,""),IF('Status'!$B$6="PPS extrap",IF(ISNUMBER(P15),P15,""),IF('Status'!$B$6="Calibrated",IF(ISNUMBER(Q15),Q15,""),""))))))))))</x:f>
      </x:c>
      <x:c r="S15" s="2" t="str">
        <x:f>IF(COUNTA(A15)=0,"",IF(COUNTIFS('Estimates'!$A$5:$A$2004,A15,'Estimates'!$B$5:$B$2004,"MPS",'Estimates'!$H$5:$H$2004,1)+COUNTIFS('Estimates'!$A$5:$A$2004,A15,'Estimates'!$B$5:$B$2004,"PPS",'Estimates'!$H$5:$H$2004,1)&gt;0,1,0))</x:f>
      </x:c>
      <x:c r="T15" s="2" t="str">
        <x:f>IF(COUNTA(A15)=0,"",IF(COUNTIFS($A$6:$A$165,A15)&gt;1,"Duplicate target",IF(COUNTIFS(C15:E15,"DUP")+COUNTIFS(J15:L15,"DUP")&gt;0,"Duplicate accepted run",IF(COUNTIFS('Estimates'!$A$5:$A$2004,A15,'Estimates'!$H$5:$H$2004,1)-COUNTIFS('Estimates'!$A$5:$A$2004,A15,'Estimates'!$H$5:$H$2004,1,'Estimates'!$F$5:$F$2004,"&lt;&gt;")&gt;0,"Accepted value missing",""))))</x:f>
      </x:c>
    </x:row>
    <x:row r="16">
      <x:c r="A16" s="21" t="n">
        <x:v>10</x:v>
      </x:c>
      <x:c r="B16" s="19"/>
      <x:c r="C16" s="13" t="str">
        <x:f>IF(OR(COUNTA($A16)=0,NOT(ISNUMBER('Status'!$E$5))),"",IF(COUNTIFS('Estimates'!$A$5:$A$2004,$A16,'Estimates'!$B$5:$B$2004,"MPS",'Estimates'!$C$5:$C$2004,'Status'!$E$5,'Estimates'!$H$5:$H$2004,1)=0,"",IF(COUNTIFS('Estimates'!$A$5:$A$2004,$A16,'Estimates'!$B$5:$B$2004,"MPS",'Estimates'!$C$5:$C$2004,'Status'!$E$5,'Estimates'!$H$5:$H$2004,1)&gt;1,"DUP",IF(COUNTIFS('Estimates'!$A$5:$A$2004,$A16,'Estimates'!$B$5:$B$2004,"MPS",'Estimates'!$C$5:$C$2004,'Status'!$E$5,'Estimates'!$H$5:$H$2004,1,'Estimates'!$F$5:$F$2004,"&lt;&gt;")=0,"",SUMIFS('Estimates'!$F$5:$F$2004,'Estimates'!$A$5:$A$2004,$A16,'Estimates'!$B$5:$B$2004,"MPS",'Estimates'!$C$5:$C$2004,'Status'!$E$5,'Estimates'!$H$5:$H$2004,1)))))</x:f>
      </x:c>
      <x:c r="D16" s="13" t="str">
        <x:f>IF(OR(COUNTA($A16)=0,NOT(ISNUMBER('Status'!$F$5))),"",IF(COUNTIFS('Estimates'!$A$5:$A$2004,$A16,'Estimates'!$B$5:$B$2004,"MPS",'Estimates'!$C$5:$C$2004,'Status'!$F$5,'Estimates'!$H$5:$H$2004,1)=0,"",IF(COUNTIFS('Estimates'!$A$5:$A$2004,$A16,'Estimates'!$B$5:$B$2004,"MPS",'Estimates'!$C$5:$C$2004,'Status'!$F$5,'Estimates'!$H$5:$H$2004,1)&gt;1,"DUP",IF(COUNTIFS('Estimates'!$A$5:$A$2004,$A16,'Estimates'!$B$5:$B$2004,"MPS",'Estimates'!$C$5:$C$2004,'Status'!$F$5,'Estimates'!$H$5:$H$2004,1,'Estimates'!$F$5:$F$2004,"&lt;&gt;")=0,"",SUMIFS('Estimates'!$F$5:$F$2004,'Estimates'!$A$5:$A$2004,$A16,'Estimates'!$B$5:$B$2004,"MPS",'Estimates'!$C$5:$C$2004,'Status'!$F$5,'Estimates'!$H$5:$H$2004,1)))))</x:f>
      </x:c>
      <x:c r="E16" s="13" t="str">
        <x:f>IF(OR(COUNTA($A16)=0,NOT(ISNUMBER('Status'!$G$5))),"",IF(COUNTIFS('Estimates'!$A$5:$A$2004,$A16,'Estimates'!$B$5:$B$2004,"MPS",'Estimates'!$C$5:$C$2004,'Status'!$G$5,'Estimates'!$H$5:$H$2004,1)=0,"",IF(COUNTIFS('Estimates'!$A$5:$A$2004,$A16,'Estimates'!$B$5:$B$2004,"MPS",'Estimates'!$C$5:$C$2004,'Status'!$G$5,'Estimates'!$H$5:$H$2004,1)&gt;1,"DUP",IF(COUNTIFS('Estimates'!$A$5:$A$2004,$A16,'Estimates'!$B$5:$B$2004,"MPS",'Estimates'!$C$5:$C$2004,'Status'!$G$5,'Estimates'!$H$5:$H$2004,1,'Estimates'!$F$5:$F$2004,"&lt;&gt;")=0,"",SUMIFS('Estimates'!$F$5:$F$2004,'Estimates'!$A$5:$A$2004,$A16,'Estimates'!$B$5:$B$2004,"MPS",'Estimates'!$C$5:$C$2004,'Status'!$G$5,'Estimates'!$H$5:$H$2004,1)))))</x:f>
      </x:c>
      <x:c r="F16" s="13" t="str">
        <x:f>IF(AND(ISNUMBER(C16),ISNUMBER(D16)),D16-C16,"")</x:f>
      </x:c>
      <x:c r="G16" s="13" t="str">
        <x:f>IF(AND(ISNUMBER(D16),ISNUMBER(E16)),E16-D16,"")</x:f>
      </x:c>
      <x:c r="H16" s="13" t="str">
        <x:f>IF(AND(COUNT(C16:E16)=3,COUNT('Status'!$E$5:$G$5)=3,'Status'!$E$5&gt;0,'Status'!$E$5&lt;'Status'!$F$5,'Status'!$F$5&lt;'Status'!$G$5),ABS(E16-(D16+(D16-C16)*((1/'Status'!$G$5)-(1/'Status'!$F$5))/((1/'Status'!$F$5)-(1/'Status'!$E$5)))),"")</x:f>
      </x:c>
      <x:c r="I16" s="13" t="str">
        <x:f>IF(AND(COUNT(C16:E16)=3,COUNT('Status'!$E$5:$G$5)=3,'Status'!$E$5&gt;0,'Status'!$E$5&lt;'Status'!$F$5,'Status'!$F$5&lt;'Status'!$G$5),((1/'Status'!$F$5)*E16-(1/'Status'!$G$5)*D16)/((1/'Status'!$F$5)-(1/'Status'!$G$5)),"")</x:f>
      </x:c>
      <x:c r="J16" s="13" t="str">
        <x:f>IF(OR(COUNTA($A16)=0,NOT(ISNUMBER('Status'!$E$6))),"",IF(COUNTIFS('Estimates'!$A$5:$A$2004,$A16,'Estimates'!$B$5:$B$2004,"PPS",'Estimates'!$D$5:$D$2004,'Status'!$E$6,'Estimates'!$H$5:$H$2004,1,'Estimates'!$E$5:$E$2004,'Status'!$E$7)=0,"",IF(COUNTIFS('Estimates'!$A$5:$A$2004,$A16,'Estimates'!$B$5:$B$2004,"PPS",'Estimates'!$D$5:$D$2004,'Status'!$E$6,'Estimates'!$H$5:$H$2004,1,'Estimates'!$E$5:$E$2004,'Status'!$E$7)&gt;1,"DUP",IF(COUNTIFS('Estimates'!$A$5:$A$2004,$A16,'Estimates'!$B$5:$B$2004,"PPS",'Estimates'!$D$5:$D$2004,'Status'!$E$6,'Estimates'!$H$5:$H$2004,1,'Estimates'!$E$5:$E$2004,'Status'!$E$7,'Estimates'!$F$5:$F$2004,"&lt;&gt;")=0,"",SUMIFS('Estimates'!$F$5:$F$2004,'Estimates'!$A$5:$A$2004,$A16,'Estimates'!$B$5:$B$2004,"PPS",'Estimates'!$D$5:$D$2004,'Status'!$E$6,'Estimates'!$H$5:$H$2004,1,'Estimates'!$E$5:$E$2004,'Status'!$E$7)))))</x:f>
      </x:c>
      <x:c r="K16" s="13" t="str">
        <x:f>IF(OR(COUNTA($A16)=0,NOT(ISNUMBER('Status'!$F$6))),"",IF(COUNTIFS('Estimates'!$A$5:$A$2004,$A16,'Estimates'!$B$5:$B$2004,"PPS",'Estimates'!$D$5:$D$2004,'Status'!$F$6,'Estimates'!$H$5:$H$2004,1,'Estimates'!$E$5:$E$2004,'Status'!$E$7)=0,"",IF(COUNTIFS('Estimates'!$A$5:$A$2004,$A16,'Estimates'!$B$5:$B$2004,"PPS",'Estimates'!$D$5:$D$2004,'Status'!$F$6,'Estimates'!$H$5:$H$2004,1,'Estimates'!$E$5:$E$2004,'Status'!$E$7)&gt;1,"DUP",IF(COUNTIFS('Estimates'!$A$5:$A$2004,$A16,'Estimates'!$B$5:$B$2004,"PPS",'Estimates'!$D$5:$D$2004,'Status'!$F$6,'Estimates'!$H$5:$H$2004,1,'Estimates'!$E$5:$E$2004,'Status'!$E$7,'Estimates'!$F$5:$F$2004,"&lt;&gt;")=0,"",SUMIFS('Estimates'!$F$5:$F$2004,'Estimates'!$A$5:$A$2004,$A16,'Estimates'!$B$5:$B$2004,"PPS",'Estimates'!$D$5:$D$2004,'Status'!$F$6,'Estimates'!$H$5:$H$2004,1,'Estimates'!$E$5:$E$2004,'Status'!$E$7)))))</x:f>
      </x:c>
      <x:c r="L16" s="13" t="str">
        <x:f>IF(OR(COUNTA($A16)=0,NOT(ISNUMBER('Status'!$G$6))),"",IF(COUNTIFS('Estimates'!$A$5:$A$2004,$A16,'Estimates'!$B$5:$B$2004,"PPS",'Estimates'!$D$5:$D$2004,'Status'!$G$6,'Estimates'!$H$5:$H$2004,1,'Estimates'!$E$5:$E$2004,'Status'!$E$7)=0,"",IF(COUNTIFS('Estimates'!$A$5:$A$2004,$A16,'Estimates'!$B$5:$B$2004,"PPS",'Estimates'!$D$5:$D$2004,'Status'!$G$6,'Estimates'!$H$5:$H$2004,1,'Estimates'!$E$5:$E$2004,'Status'!$E$7)&gt;1,"DUP",IF(COUNTIFS('Estimates'!$A$5:$A$2004,$A16,'Estimates'!$B$5:$B$2004,"PPS",'Estimates'!$D$5:$D$2004,'Status'!$G$6,'Estimates'!$H$5:$H$2004,1,'Estimates'!$E$5:$E$2004,'Status'!$E$7,'Estimates'!$F$5:$F$2004,"&lt;&gt;")=0,"",SUMIFS('Estimates'!$F$5:$F$2004,'Estimates'!$A$5:$A$2004,$A16,'Estimates'!$B$5:$B$2004,"PPS",'Estimates'!$D$5:$D$2004,'Status'!$G$6,'Estimates'!$H$5:$H$2004,1,'Estimates'!$E$5:$E$2004,'Status'!$E$7)))))</x:f>
      </x:c>
      <x:c r="M16" s="13" t="str">
        <x:f>IF(AND(ISNUMBER(J16),ISNUMBER(K16)),K16-J16,"")</x:f>
      </x:c>
      <x:c r="N16" s="13" t="str">
        <x:f>IF(AND(ISNUMBER(K16),ISNUMBER(L16)),L16-K16,"")</x:f>
      </x:c>
      <x:c r="O16" s="13" t="str">
        <x:f>IF(AND(COUNT(J16:L16)=3,COUNT('Status'!$E$6:$G$6)=3,'Status'!$E$6&gt;'Status'!$F$6,'Status'!$F$6&gt;'Status'!$G$6,'Status'!$G$6&gt;0),ABS(L16-(K16+(K16-J16)*('Status'!$G$6-'Status'!$F$6)/('Status'!$F$6-'Status'!$E$6))),"")</x:f>
      </x:c>
      <x:c r="P16" s="13" t="str">
        <x:f>IF(AND(COUNT(J16:L16)=3,COUNT('Status'!$E$6:$G$6)=3,'Status'!$E$6&gt;'Status'!$F$6,'Status'!$F$6&gt;'Status'!$G$6,'Status'!$G$6&gt;0),('Status'!$F$6*L16-'Status'!$G$6*K16)/('Status'!$F$6-'Status'!$G$6),"")</x:f>
      </x:c>
      <x:c r="Q16" s="20"/>
      <x:c r="R16" s="13" t="str">
        <x:f>IF(COUNTA($A16)=0,"",IF('Status'!$B$6="MPS 1",IF(ISNUMBER(C16),C16,""),IF('Status'!$B$6="MPS 2",IF(ISNUMBER(D16),D16,""),IF('Status'!$B$6="MPS 3",IF(ISNUMBER(E16),E16,""),IF('Status'!$B$6="MPS extrap",IF(ISNUMBER(I16),I16,""),IF('Status'!$B$6="PPS 1",IF(ISNUMBER(J16),J16,""),IF('Status'!$B$6="PPS 2",IF(ISNUMBER(K16),K16,""),IF('Status'!$B$6="PPS 3",IF(ISNUMBER(L16),L16,""),IF('Status'!$B$6="PPS extrap",IF(ISNUMBER(P16),P16,""),IF('Status'!$B$6="Calibrated",IF(ISNUMBER(Q16),Q16,""),""))))))))))</x:f>
      </x:c>
      <x:c r="S16" s="2" t="str">
        <x:f>IF(COUNTA(A16)=0,"",IF(COUNTIFS('Estimates'!$A$5:$A$2004,A16,'Estimates'!$B$5:$B$2004,"MPS",'Estimates'!$H$5:$H$2004,1)+COUNTIFS('Estimates'!$A$5:$A$2004,A16,'Estimates'!$B$5:$B$2004,"PPS",'Estimates'!$H$5:$H$2004,1)&gt;0,1,0))</x:f>
      </x:c>
      <x:c r="T16" s="2" t="str">
        <x:f>IF(COUNTA(A16)=0,"",IF(COUNTIFS($A$6:$A$165,A16)&gt;1,"Duplicate target",IF(COUNTIFS(C16:E16,"DUP")+COUNTIFS(J16:L16,"DUP")&gt;0,"Duplicate accepted run",IF(COUNTIFS('Estimates'!$A$5:$A$2004,A16,'Estimates'!$H$5:$H$2004,1)-COUNTIFS('Estimates'!$A$5:$A$2004,A16,'Estimates'!$H$5:$H$2004,1,'Estimates'!$F$5:$F$2004,"&lt;&gt;")&gt;0,"Accepted value missing",""))))</x:f>
      </x:c>
    </x:row>
    <x:row r="17">
      <x:c r="A17" s="21" t="n">
        <x:v>11</x:v>
      </x:c>
      <x:c r="B17" s="19"/>
      <x:c r="C17" s="13" t="str">
        <x:f>IF(OR(COUNTA($A17)=0,NOT(ISNUMBER('Status'!$E$5))),"",IF(COUNTIFS('Estimates'!$A$5:$A$2004,$A17,'Estimates'!$B$5:$B$2004,"MPS",'Estimates'!$C$5:$C$2004,'Status'!$E$5,'Estimates'!$H$5:$H$2004,1)=0,"",IF(COUNTIFS('Estimates'!$A$5:$A$2004,$A17,'Estimates'!$B$5:$B$2004,"MPS",'Estimates'!$C$5:$C$2004,'Status'!$E$5,'Estimates'!$H$5:$H$2004,1)&gt;1,"DUP",IF(COUNTIFS('Estimates'!$A$5:$A$2004,$A17,'Estimates'!$B$5:$B$2004,"MPS",'Estimates'!$C$5:$C$2004,'Status'!$E$5,'Estimates'!$H$5:$H$2004,1,'Estimates'!$F$5:$F$2004,"&lt;&gt;")=0,"",SUMIFS('Estimates'!$F$5:$F$2004,'Estimates'!$A$5:$A$2004,$A17,'Estimates'!$B$5:$B$2004,"MPS",'Estimates'!$C$5:$C$2004,'Status'!$E$5,'Estimates'!$H$5:$H$2004,1)))))</x:f>
      </x:c>
      <x:c r="D17" s="13" t="str">
        <x:f>IF(OR(COUNTA($A17)=0,NOT(ISNUMBER('Status'!$F$5))),"",IF(COUNTIFS('Estimates'!$A$5:$A$2004,$A17,'Estimates'!$B$5:$B$2004,"MPS",'Estimates'!$C$5:$C$2004,'Status'!$F$5,'Estimates'!$H$5:$H$2004,1)=0,"",IF(COUNTIFS('Estimates'!$A$5:$A$2004,$A17,'Estimates'!$B$5:$B$2004,"MPS",'Estimates'!$C$5:$C$2004,'Status'!$F$5,'Estimates'!$H$5:$H$2004,1)&gt;1,"DUP",IF(COUNTIFS('Estimates'!$A$5:$A$2004,$A17,'Estimates'!$B$5:$B$2004,"MPS",'Estimates'!$C$5:$C$2004,'Status'!$F$5,'Estimates'!$H$5:$H$2004,1,'Estimates'!$F$5:$F$2004,"&lt;&gt;")=0,"",SUMIFS('Estimates'!$F$5:$F$2004,'Estimates'!$A$5:$A$2004,$A17,'Estimates'!$B$5:$B$2004,"MPS",'Estimates'!$C$5:$C$2004,'Status'!$F$5,'Estimates'!$H$5:$H$2004,1)))))</x:f>
      </x:c>
      <x:c r="E17" s="13" t="str">
        <x:f>IF(OR(COUNTA($A17)=0,NOT(ISNUMBER('Status'!$G$5))),"",IF(COUNTIFS('Estimates'!$A$5:$A$2004,$A17,'Estimates'!$B$5:$B$2004,"MPS",'Estimates'!$C$5:$C$2004,'Status'!$G$5,'Estimates'!$H$5:$H$2004,1)=0,"",IF(COUNTIFS('Estimates'!$A$5:$A$2004,$A17,'Estimates'!$B$5:$B$2004,"MPS",'Estimates'!$C$5:$C$2004,'Status'!$G$5,'Estimates'!$H$5:$H$2004,1)&gt;1,"DUP",IF(COUNTIFS('Estimates'!$A$5:$A$2004,$A17,'Estimates'!$B$5:$B$2004,"MPS",'Estimates'!$C$5:$C$2004,'Status'!$G$5,'Estimates'!$H$5:$H$2004,1,'Estimates'!$F$5:$F$2004,"&lt;&gt;")=0,"",SUMIFS('Estimates'!$F$5:$F$2004,'Estimates'!$A$5:$A$2004,$A17,'Estimates'!$B$5:$B$2004,"MPS",'Estimates'!$C$5:$C$2004,'Status'!$G$5,'Estimates'!$H$5:$H$2004,1)))))</x:f>
      </x:c>
      <x:c r="F17" s="13" t="str">
        <x:f>IF(AND(ISNUMBER(C17),ISNUMBER(D17)),D17-C17,"")</x:f>
      </x:c>
      <x:c r="G17" s="13" t="str">
        <x:f>IF(AND(ISNUMBER(D17),ISNUMBER(E17)),E17-D17,"")</x:f>
      </x:c>
      <x:c r="H17" s="13" t="str">
        <x:f>IF(AND(COUNT(C17:E17)=3,COUNT('Status'!$E$5:$G$5)=3,'Status'!$E$5&gt;0,'Status'!$E$5&lt;'Status'!$F$5,'Status'!$F$5&lt;'Status'!$G$5),ABS(E17-(D17+(D17-C17)*((1/'Status'!$G$5)-(1/'Status'!$F$5))/((1/'Status'!$F$5)-(1/'Status'!$E$5)))),"")</x:f>
      </x:c>
      <x:c r="I17" s="13" t="str">
        <x:f>IF(AND(COUNT(C17:E17)=3,COUNT('Status'!$E$5:$G$5)=3,'Status'!$E$5&gt;0,'Status'!$E$5&lt;'Status'!$F$5,'Status'!$F$5&lt;'Status'!$G$5),((1/'Status'!$F$5)*E17-(1/'Status'!$G$5)*D17)/((1/'Status'!$F$5)-(1/'Status'!$G$5)),"")</x:f>
      </x:c>
      <x:c r="J17" s="13" t="str">
        <x:f>IF(OR(COUNTA($A17)=0,NOT(ISNUMBER('Status'!$E$6))),"",IF(COUNTIFS('Estimates'!$A$5:$A$2004,$A17,'Estimates'!$B$5:$B$2004,"PPS",'Estimates'!$D$5:$D$2004,'Status'!$E$6,'Estimates'!$H$5:$H$2004,1,'Estimates'!$E$5:$E$2004,'Status'!$E$7)=0,"",IF(COUNTIFS('Estimates'!$A$5:$A$2004,$A17,'Estimates'!$B$5:$B$2004,"PPS",'Estimates'!$D$5:$D$2004,'Status'!$E$6,'Estimates'!$H$5:$H$2004,1,'Estimates'!$E$5:$E$2004,'Status'!$E$7)&gt;1,"DUP",IF(COUNTIFS('Estimates'!$A$5:$A$2004,$A17,'Estimates'!$B$5:$B$2004,"PPS",'Estimates'!$D$5:$D$2004,'Status'!$E$6,'Estimates'!$H$5:$H$2004,1,'Estimates'!$E$5:$E$2004,'Status'!$E$7,'Estimates'!$F$5:$F$2004,"&lt;&gt;")=0,"",SUMIFS('Estimates'!$F$5:$F$2004,'Estimates'!$A$5:$A$2004,$A17,'Estimates'!$B$5:$B$2004,"PPS",'Estimates'!$D$5:$D$2004,'Status'!$E$6,'Estimates'!$H$5:$H$2004,1,'Estimates'!$E$5:$E$2004,'Status'!$E$7)))))</x:f>
      </x:c>
      <x:c r="K17" s="13" t="str">
        <x:f>IF(OR(COUNTA($A17)=0,NOT(ISNUMBER('Status'!$F$6))),"",IF(COUNTIFS('Estimates'!$A$5:$A$2004,$A17,'Estimates'!$B$5:$B$2004,"PPS",'Estimates'!$D$5:$D$2004,'Status'!$F$6,'Estimates'!$H$5:$H$2004,1,'Estimates'!$E$5:$E$2004,'Status'!$E$7)=0,"",IF(COUNTIFS('Estimates'!$A$5:$A$2004,$A17,'Estimates'!$B$5:$B$2004,"PPS",'Estimates'!$D$5:$D$2004,'Status'!$F$6,'Estimates'!$H$5:$H$2004,1,'Estimates'!$E$5:$E$2004,'Status'!$E$7)&gt;1,"DUP",IF(COUNTIFS('Estimates'!$A$5:$A$2004,$A17,'Estimates'!$B$5:$B$2004,"PPS",'Estimates'!$D$5:$D$2004,'Status'!$F$6,'Estimates'!$H$5:$H$2004,1,'Estimates'!$E$5:$E$2004,'Status'!$E$7,'Estimates'!$F$5:$F$2004,"&lt;&gt;")=0,"",SUMIFS('Estimates'!$F$5:$F$2004,'Estimates'!$A$5:$A$2004,$A17,'Estimates'!$B$5:$B$2004,"PPS",'Estimates'!$D$5:$D$2004,'Status'!$F$6,'Estimates'!$H$5:$H$2004,1,'Estimates'!$E$5:$E$2004,'Status'!$E$7)))))</x:f>
      </x:c>
      <x:c r="L17" s="13" t="str">
        <x:f>IF(OR(COUNTA($A17)=0,NOT(ISNUMBER('Status'!$G$6))),"",IF(COUNTIFS('Estimates'!$A$5:$A$2004,$A17,'Estimates'!$B$5:$B$2004,"PPS",'Estimates'!$D$5:$D$2004,'Status'!$G$6,'Estimates'!$H$5:$H$2004,1,'Estimates'!$E$5:$E$2004,'Status'!$E$7)=0,"",IF(COUNTIFS('Estimates'!$A$5:$A$2004,$A17,'Estimates'!$B$5:$B$2004,"PPS",'Estimates'!$D$5:$D$2004,'Status'!$G$6,'Estimates'!$H$5:$H$2004,1,'Estimates'!$E$5:$E$2004,'Status'!$E$7)&gt;1,"DUP",IF(COUNTIFS('Estimates'!$A$5:$A$2004,$A17,'Estimates'!$B$5:$B$2004,"PPS",'Estimates'!$D$5:$D$2004,'Status'!$G$6,'Estimates'!$H$5:$H$2004,1,'Estimates'!$E$5:$E$2004,'Status'!$E$7,'Estimates'!$F$5:$F$2004,"&lt;&gt;")=0,"",SUMIFS('Estimates'!$F$5:$F$2004,'Estimates'!$A$5:$A$2004,$A17,'Estimates'!$B$5:$B$2004,"PPS",'Estimates'!$D$5:$D$2004,'Status'!$G$6,'Estimates'!$H$5:$H$2004,1,'Estimates'!$E$5:$E$2004,'Status'!$E$7)))))</x:f>
      </x:c>
      <x:c r="M17" s="13" t="str">
        <x:f>IF(AND(ISNUMBER(J17),ISNUMBER(K17)),K17-J17,"")</x:f>
      </x:c>
      <x:c r="N17" s="13" t="str">
        <x:f>IF(AND(ISNUMBER(K17),ISNUMBER(L17)),L17-K17,"")</x:f>
      </x:c>
      <x:c r="O17" s="13" t="str">
        <x:f>IF(AND(COUNT(J17:L17)=3,COUNT('Status'!$E$6:$G$6)=3,'Status'!$E$6&gt;'Status'!$F$6,'Status'!$F$6&gt;'Status'!$G$6,'Status'!$G$6&gt;0),ABS(L17-(K17+(K17-J17)*('Status'!$G$6-'Status'!$F$6)/('Status'!$F$6-'Status'!$E$6))),"")</x:f>
      </x:c>
      <x:c r="P17" s="13" t="str">
        <x:f>IF(AND(COUNT(J17:L17)=3,COUNT('Status'!$E$6:$G$6)=3,'Status'!$E$6&gt;'Status'!$F$6,'Status'!$F$6&gt;'Status'!$G$6,'Status'!$G$6&gt;0),('Status'!$F$6*L17-'Status'!$G$6*K17)/('Status'!$F$6-'Status'!$G$6),"")</x:f>
      </x:c>
      <x:c r="Q17" s="20"/>
      <x:c r="R17" s="13" t="str">
        <x:f>IF(COUNTA($A17)=0,"",IF('Status'!$B$6="MPS 1",IF(ISNUMBER(C17),C17,""),IF('Status'!$B$6="MPS 2",IF(ISNUMBER(D17),D17,""),IF('Status'!$B$6="MPS 3",IF(ISNUMBER(E17),E17,""),IF('Status'!$B$6="MPS extrap",IF(ISNUMBER(I17),I17,""),IF('Status'!$B$6="PPS 1",IF(ISNUMBER(J17),J17,""),IF('Status'!$B$6="PPS 2",IF(ISNUMBER(K17),K17,""),IF('Status'!$B$6="PPS 3",IF(ISNUMBER(L17),L17,""),IF('Status'!$B$6="PPS extrap",IF(ISNUMBER(P17),P17,""),IF('Status'!$B$6="Calibrated",IF(ISNUMBER(Q17),Q17,""),""))))))))))</x:f>
      </x:c>
      <x:c r="S17" s="2" t="str">
        <x:f>IF(COUNTA(A17)=0,"",IF(COUNTIFS('Estimates'!$A$5:$A$2004,A17,'Estimates'!$B$5:$B$2004,"MPS",'Estimates'!$H$5:$H$2004,1)+COUNTIFS('Estimates'!$A$5:$A$2004,A17,'Estimates'!$B$5:$B$2004,"PPS",'Estimates'!$H$5:$H$2004,1)&gt;0,1,0))</x:f>
      </x:c>
      <x:c r="T17" s="2" t="str">
        <x:f>IF(COUNTA(A17)=0,"",IF(COUNTIFS($A$6:$A$165,A17)&gt;1,"Duplicate target",IF(COUNTIFS(C17:E17,"DUP")+COUNTIFS(J17:L17,"DUP")&gt;0,"Duplicate accepted run",IF(COUNTIFS('Estimates'!$A$5:$A$2004,A17,'Estimates'!$H$5:$H$2004,1)-COUNTIFS('Estimates'!$A$5:$A$2004,A17,'Estimates'!$H$5:$H$2004,1,'Estimates'!$F$5:$F$2004,"&lt;&gt;")&gt;0,"Accepted value missing",""))))</x:f>
      </x:c>
    </x:row>
    <x:row r="18">
      <x:c r="A18" s="21" t="n">
        <x:v>12</x:v>
      </x:c>
      <x:c r="B18" s="19"/>
      <x:c r="C18" s="13" t="str">
        <x:f>IF(OR(COUNTA($A18)=0,NOT(ISNUMBER('Status'!$E$5))),"",IF(COUNTIFS('Estimates'!$A$5:$A$2004,$A18,'Estimates'!$B$5:$B$2004,"MPS",'Estimates'!$C$5:$C$2004,'Status'!$E$5,'Estimates'!$H$5:$H$2004,1)=0,"",IF(COUNTIFS('Estimates'!$A$5:$A$2004,$A18,'Estimates'!$B$5:$B$2004,"MPS",'Estimates'!$C$5:$C$2004,'Status'!$E$5,'Estimates'!$H$5:$H$2004,1)&gt;1,"DUP",IF(COUNTIFS('Estimates'!$A$5:$A$2004,$A18,'Estimates'!$B$5:$B$2004,"MPS",'Estimates'!$C$5:$C$2004,'Status'!$E$5,'Estimates'!$H$5:$H$2004,1,'Estimates'!$F$5:$F$2004,"&lt;&gt;")=0,"",SUMIFS('Estimates'!$F$5:$F$2004,'Estimates'!$A$5:$A$2004,$A18,'Estimates'!$B$5:$B$2004,"MPS",'Estimates'!$C$5:$C$2004,'Status'!$E$5,'Estimates'!$H$5:$H$2004,1)))))</x:f>
      </x:c>
      <x:c r="D18" s="13" t="str">
        <x:f>IF(OR(COUNTA($A18)=0,NOT(ISNUMBER('Status'!$F$5))),"",IF(COUNTIFS('Estimates'!$A$5:$A$2004,$A18,'Estimates'!$B$5:$B$2004,"MPS",'Estimates'!$C$5:$C$2004,'Status'!$F$5,'Estimates'!$H$5:$H$2004,1)=0,"",IF(COUNTIFS('Estimates'!$A$5:$A$2004,$A18,'Estimates'!$B$5:$B$2004,"MPS",'Estimates'!$C$5:$C$2004,'Status'!$F$5,'Estimates'!$H$5:$H$2004,1)&gt;1,"DUP",IF(COUNTIFS('Estimates'!$A$5:$A$2004,$A18,'Estimates'!$B$5:$B$2004,"MPS",'Estimates'!$C$5:$C$2004,'Status'!$F$5,'Estimates'!$H$5:$H$2004,1,'Estimates'!$F$5:$F$2004,"&lt;&gt;")=0,"",SUMIFS('Estimates'!$F$5:$F$2004,'Estimates'!$A$5:$A$2004,$A18,'Estimates'!$B$5:$B$2004,"MPS",'Estimates'!$C$5:$C$2004,'Status'!$F$5,'Estimates'!$H$5:$H$2004,1)))))</x:f>
      </x:c>
      <x:c r="E18" s="13" t="str">
        <x:f>IF(OR(COUNTA($A18)=0,NOT(ISNUMBER('Status'!$G$5))),"",IF(COUNTIFS('Estimates'!$A$5:$A$2004,$A18,'Estimates'!$B$5:$B$2004,"MPS",'Estimates'!$C$5:$C$2004,'Status'!$G$5,'Estimates'!$H$5:$H$2004,1)=0,"",IF(COUNTIFS('Estimates'!$A$5:$A$2004,$A18,'Estimates'!$B$5:$B$2004,"MPS",'Estimates'!$C$5:$C$2004,'Status'!$G$5,'Estimates'!$H$5:$H$2004,1)&gt;1,"DUP",IF(COUNTIFS('Estimates'!$A$5:$A$2004,$A18,'Estimates'!$B$5:$B$2004,"MPS",'Estimates'!$C$5:$C$2004,'Status'!$G$5,'Estimates'!$H$5:$H$2004,1,'Estimates'!$F$5:$F$2004,"&lt;&gt;")=0,"",SUMIFS('Estimates'!$F$5:$F$2004,'Estimates'!$A$5:$A$2004,$A18,'Estimates'!$B$5:$B$2004,"MPS",'Estimates'!$C$5:$C$2004,'Status'!$G$5,'Estimates'!$H$5:$H$2004,1)))))</x:f>
      </x:c>
      <x:c r="F18" s="13" t="str">
        <x:f>IF(AND(ISNUMBER(C18),ISNUMBER(D18)),D18-C18,"")</x:f>
      </x:c>
      <x:c r="G18" s="13" t="str">
        <x:f>IF(AND(ISNUMBER(D18),ISNUMBER(E18)),E18-D18,"")</x:f>
      </x:c>
      <x:c r="H18" s="13" t="str">
        <x:f>IF(AND(COUNT(C18:E18)=3,COUNT('Status'!$E$5:$G$5)=3,'Status'!$E$5&gt;0,'Status'!$E$5&lt;'Status'!$F$5,'Status'!$F$5&lt;'Status'!$G$5),ABS(E18-(D18+(D18-C18)*((1/'Status'!$G$5)-(1/'Status'!$F$5))/((1/'Status'!$F$5)-(1/'Status'!$E$5)))),"")</x:f>
      </x:c>
      <x:c r="I18" s="13" t="str">
        <x:f>IF(AND(COUNT(C18:E18)=3,COUNT('Status'!$E$5:$G$5)=3,'Status'!$E$5&gt;0,'Status'!$E$5&lt;'Status'!$F$5,'Status'!$F$5&lt;'Status'!$G$5),((1/'Status'!$F$5)*E18-(1/'Status'!$G$5)*D18)/((1/'Status'!$F$5)-(1/'Status'!$G$5)),"")</x:f>
      </x:c>
      <x:c r="J18" s="13" t="str">
        <x:f>IF(OR(COUNTA($A18)=0,NOT(ISNUMBER('Status'!$E$6))),"",IF(COUNTIFS('Estimates'!$A$5:$A$2004,$A18,'Estimates'!$B$5:$B$2004,"PPS",'Estimates'!$D$5:$D$2004,'Status'!$E$6,'Estimates'!$H$5:$H$2004,1,'Estimates'!$E$5:$E$2004,'Status'!$E$7)=0,"",IF(COUNTIFS('Estimates'!$A$5:$A$2004,$A18,'Estimates'!$B$5:$B$2004,"PPS",'Estimates'!$D$5:$D$2004,'Status'!$E$6,'Estimates'!$H$5:$H$2004,1,'Estimates'!$E$5:$E$2004,'Status'!$E$7)&gt;1,"DUP",IF(COUNTIFS('Estimates'!$A$5:$A$2004,$A18,'Estimates'!$B$5:$B$2004,"PPS",'Estimates'!$D$5:$D$2004,'Status'!$E$6,'Estimates'!$H$5:$H$2004,1,'Estimates'!$E$5:$E$2004,'Status'!$E$7,'Estimates'!$F$5:$F$2004,"&lt;&gt;")=0,"",SUMIFS('Estimates'!$F$5:$F$2004,'Estimates'!$A$5:$A$2004,$A18,'Estimates'!$B$5:$B$2004,"PPS",'Estimates'!$D$5:$D$2004,'Status'!$E$6,'Estimates'!$H$5:$H$2004,1,'Estimates'!$E$5:$E$2004,'Status'!$E$7)))))</x:f>
      </x:c>
      <x:c r="K18" s="13" t="str">
        <x:f>IF(OR(COUNTA($A18)=0,NOT(ISNUMBER('Status'!$F$6))),"",IF(COUNTIFS('Estimates'!$A$5:$A$2004,$A18,'Estimates'!$B$5:$B$2004,"PPS",'Estimates'!$D$5:$D$2004,'Status'!$F$6,'Estimates'!$H$5:$H$2004,1,'Estimates'!$E$5:$E$2004,'Status'!$E$7)=0,"",IF(COUNTIFS('Estimates'!$A$5:$A$2004,$A18,'Estimates'!$B$5:$B$2004,"PPS",'Estimates'!$D$5:$D$2004,'Status'!$F$6,'Estimates'!$H$5:$H$2004,1,'Estimates'!$E$5:$E$2004,'Status'!$E$7)&gt;1,"DUP",IF(COUNTIFS('Estimates'!$A$5:$A$2004,$A18,'Estimates'!$B$5:$B$2004,"PPS",'Estimates'!$D$5:$D$2004,'Status'!$F$6,'Estimates'!$H$5:$H$2004,1,'Estimates'!$E$5:$E$2004,'Status'!$E$7,'Estimates'!$F$5:$F$2004,"&lt;&gt;")=0,"",SUMIFS('Estimates'!$F$5:$F$2004,'Estimates'!$A$5:$A$2004,$A18,'Estimates'!$B$5:$B$2004,"PPS",'Estimates'!$D$5:$D$2004,'Status'!$F$6,'Estimates'!$H$5:$H$2004,1,'Estimates'!$E$5:$E$2004,'Status'!$E$7)))))</x:f>
      </x:c>
      <x:c r="L18" s="13" t="str">
        <x:f>IF(OR(COUNTA($A18)=0,NOT(ISNUMBER('Status'!$G$6))),"",IF(COUNTIFS('Estimates'!$A$5:$A$2004,$A18,'Estimates'!$B$5:$B$2004,"PPS",'Estimates'!$D$5:$D$2004,'Status'!$G$6,'Estimates'!$H$5:$H$2004,1,'Estimates'!$E$5:$E$2004,'Status'!$E$7)=0,"",IF(COUNTIFS('Estimates'!$A$5:$A$2004,$A18,'Estimates'!$B$5:$B$2004,"PPS",'Estimates'!$D$5:$D$2004,'Status'!$G$6,'Estimates'!$H$5:$H$2004,1,'Estimates'!$E$5:$E$2004,'Status'!$E$7)&gt;1,"DUP",IF(COUNTIFS('Estimates'!$A$5:$A$2004,$A18,'Estimates'!$B$5:$B$2004,"PPS",'Estimates'!$D$5:$D$2004,'Status'!$G$6,'Estimates'!$H$5:$H$2004,1,'Estimates'!$E$5:$E$2004,'Status'!$E$7,'Estimates'!$F$5:$F$2004,"&lt;&gt;")=0,"",SUMIFS('Estimates'!$F$5:$F$2004,'Estimates'!$A$5:$A$2004,$A18,'Estimates'!$B$5:$B$2004,"PPS",'Estimates'!$D$5:$D$2004,'Status'!$G$6,'Estimates'!$H$5:$H$2004,1,'Estimates'!$E$5:$E$2004,'Status'!$E$7)))))</x:f>
      </x:c>
      <x:c r="M18" s="13" t="str">
        <x:f>IF(AND(ISNUMBER(J18),ISNUMBER(K18)),K18-J18,"")</x:f>
      </x:c>
      <x:c r="N18" s="13" t="str">
        <x:f>IF(AND(ISNUMBER(K18),ISNUMBER(L18)),L18-K18,"")</x:f>
      </x:c>
      <x:c r="O18" s="13" t="str">
        <x:f>IF(AND(COUNT(J18:L18)=3,COUNT('Status'!$E$6:$G$6)=3,'Status'!$E$6&gt;'Status'!$F$6,'Status'!$F$6&gt;'Status'!$G$6,'Status'!$G$6&gt;0),ABS(L18-(K18+(K18-J18)*('Status'!$G$6-'Status'!$F$6)/('Status'!$F$6-'Status'!$E$6))),"")</x:f>
      </x:c>
      <x:c r="P18" s="13" t="str">
        <x:f>IF(AND(COUNT(J18:L18)=3,COUNT('Status'!$E$6:$G$6)=3,'Status'!$E$6&gt;'Status'!$F$6,'Status'!$F$6&gt;'Status'!$G$6,'Status'!$G$6&gt;0),('Status'!$F$6*L18-'Status'!$G$6*K18)/('Status'!$F$6-'Status'!$G$6),"")</x:f>
      </x:c>
      <x:c r="Q18" s="20"/>
      <x:c r="R18" s="13" t="str">
        <x:f>IF(COUNTA($A18)=0,"",IF('Status'!$B$6="MPS 1",IF(ISNUMBER(C18),C18,""),IF('Status'!$B$6="MPS 2",IF(ISNUMBER(D18),D18,""),IF('Status'!$B$6="MPS 3",IF(ISNUMBER(E18),E18,""),IF('Status'!$B$6="MPS extrap",IF(ISNUMBER(I18),I18,""),IF('Status'!$B$6="PPS 1",IF(ISNUMBER(J18),J18,""),IF('Status'!$B$6="PPS 2",IF(ISNUMBER(K18),K18,""),IF('Status'!$B$6="PPS 3",IF(ISNUMBER(L18),L18,""),IF('Status'!$B$6="PPS extrap",IF(ISNUMBER(P18),P18,""),IF('Status'!$B$6="Calibrated",IF(ISNUMBER(Q18),Q18,""),""))))))))))</x:f>
      </x:c>
      <x:c r="S18" s="2" t="str">
        <x:f>IF(COUNTA(A18)=0,"",IF(COUNTIFS('Estimates'!$A$5:$A$2004,A18,'Estimates'!$B$5:$B$2004,"MPS",'Estimates'!$H$5:$H$2004,1)+COUNTIFS('Estimates'!$A$5:$A$2004,A18,'Estimates'!$B$5:$B$2004,"PPS",'Estimates'!$H$5:$H$2004,1)&gt;0,1,0))</x:f>
      </x:c>
      <x:c r="T18" s="2" t="str">
        <x:f>IF(COUNTA(A18)=0,"",IF(COUNTIFS($A$6:$A$165,A18)&gt;1,"Duplicate target",IF(COUNTIFS(C18:E18,"DUP")+COUNTIFS(J18:L18,"DUP")&gt;0,"Duplicate accepted run",IF(COUNTIFS('Estimates'!$A$5:$A$2004,A18,'Estimates'!$H$5:$H$2004,1)-COUNTIFS('Estimates'!$A$5:$A$2004,A18,'Estimates'!$H$5:$H$2004,1,'Estimates'!$F$5:$F$2004,"&lt;&gt;")&gt;0,"Accepted value missing",""))))</x:f>
      </x:c>
    </x:row>
    <x:row r="19">
      <x:c r="A19" s="21" t="n">
        <x:v>13</x:v>
      </x:c>
      <x:c r="B19" s="19"/>
      <x:c r="C19" s="13" t="str">
        <x:f>IF(OR(COUNTA($A19)=0,NOT(ISNUMBER('Status'!$E$5))),"",IF(COUNTIFS('Estimates'!$A$5:$A$2004,$A19,'Estimates'!$B$5:$B$2004,"MPS",'Estimates'!$C$5:$C$2004,'Status'!$E$5,'Estimates'!$H$5:$H$2004,1)=0,"",IF(COUNTIFS('Estimates'!$A$5:$A$2004,$A19,'Estimates'!$B$5:$B$2004,"MPS",'Estimates'!$C$5:$C$2004,'Status'!$E$5,'Estimates'!$H$5:$H$2004,1)&gt;1,"DUP",IF(COUNTIFS('Estimates'!$A$5:$A$2004,$A19,'Estimates'!$B$5:$B$2004,"MPS",'Estimates'!$C$5:$C$2004,'Status'!$E$5,'Estimates'!$H$5:$H$2004,1,'Estimates'!$F$5:$F$2004,"&lt;&gt;")=0,"",SUMIFS('Estimates'!$F$5:$F$2004,'Estimates'!$A$5:$A$2004,$A19,'Estimates'!$B$5:$B$2004,"MPS",'Estimates'!$C$5:$C$2004,'Status'!$E$5,'Estimates'!$H$5:$H$2004,1)))))</x:f>
      </x:c>
      <x:c r="D19" s="13" t="str">
        <x:f>IF(OR(COUNTA($A19)=0,NOT(ISNUMBER('Status'!$F$5))),"",IF(COUNTIFS('Estimates'!$A$5:$A$2004,$A19,'Estimates'!$B$5:$B$2004,"MPS",'Estimates'!$C$5:$C$2004,'Status'!$F$5,'Estimates'!$H$5:$H$2004,1)=0,"",IF(COUNTIFS('Estimates'!$A$5:$A$2004,$A19,'Estimates'!$B$5:$B$2004,"MPS",'Estimates'!$C$5:$C$2004,'Status'!$F$5,'Estimates'!$H$5:$H$2004,1)&gt;1,"DUP",IF(COUNTIFS('Estimates'!$A$5:$A$2004,$A19,'Estimates'!$B$5:$B$2004,"MPS",'Estimates'!$C$5:$C$2004,'Status'!$F$5,'Estimates'!$H$5:$H$2004,1,'Estimates'!$F$5:$F$2004,"&lt;&gt;")=0,"",SUMIFS('Estimates'!$F$5:$F$2004,'Estimates'!$A$5:$A$2004,$A19,'Estimates'!$B$5:$B$2004,"MPS",'Estimates'!$C$5:$C$2004,'Status'!$F$5,'Estimates'!$H$5:$H$2004,1)))))</x:f>
      </x:c>
      <x:c r="E19" s="13" t="str">
        <x:f>IF(OR(COUNTA($A19)=0,NOT(ISNUMBER('Status'!$G$5))),"",IF(COUNTIFS('Estimates'!$A$5:$A$2004,$A19,'Estimates'!$B$5:$B$2004,"MPS",'Estimates'!$C$5:$C$2004,'Status'!$G$5,'Estimates'!$H$5:$H$2004,1)=0,"",IF(COUNTIFS('Estimates'!$A$5:$A$2004,$A19,'Estimates'!$B$5:$B$2004,"MPS",'Estimates'!$C$5:$C$2004,'Status'!$G$5,'Estimates'!$H$5:$H$2004,1)&gt;1,"DUP",IF(COUNTIFS('Estimates'!$A$5:$A$2004,$A19,'Estimates'!$B$5:$B$2004,"MPS",'Estimates'!$C$5:$C$2004,'Status'!$G$5,'Estimates'!$H$5:$H$2004,1,'Estimates'!$F$5:$F$2004,"&lt;&gt;")=0,"",SUMIFS('Estimates'!$F$5:$F$2004,'Estimates'!$A$5:$A$2004,$A19,'Estimates'!$B$5:$B$2004,"MPS",'Estimates'!$C$5:$C$2004,'Status'!$G$5,'Estimates'!$H$5:$H$2004,1)))))</x:f>
      </x:c>
      <x:c r="F19" s="13" t="str">
        <x:f>IF(AND(ISNUMBER(C19),ISNUMBER(D19)),D19-C19,"")</x:f>
      </x:c>
      <x:c r="G19" s="13" t="str">
        <x:f>IF(AND(ISNUMBER(D19),ISNUMBER(E19)),E19-D19,"")</x:f>
      </x:c>
      <x:c r="H19" s="13" t="str">
        <x:f>IF(AND(COUNT(C19:E19)=3,COUNT('Status'!$E$5:$G$5)=3,'Status'!$E$5&gt;0,'Status'!$E$5&lt;'Status'!$F$5,'Status'!$F$5&lt;'Status'!$G$5),ABS(E19-(D19+(D19-C19)*((1/'Status'!$G$5)-(1/'Status'!$F$5))/((1/'Status'!$F$5)-(1/'Status'!$E$5)))),"")</x:f>
      </x:c>
      <x:c r="I19" s="13" t="str">
        <x:f>IF(AND(COUNT(C19:E19)=3,COUNT('Status'!$E$5:$G$5)=3,'Status'!$E$5&gt;0,'Status'!$E$5&lt;'Status'!$F$5,'Status'!$F$5&lt;'Status'!$G$5),((1/'Status'!$F$5)*E19-(1/'Status'!$G$5)*D19)/((1/'Status'!$F$5)-(1/'Status'!$G$5)),"")</x:f>
      </x:c>
      <x:c r="J19" s="13" t="str">
        <x:f>IF(OR(COUNTA($A19)=0,NOT(ISNUMBER('Status'!$E$6))),"",IF(COUNTIFS('Estimates'!$A$5:$A$2004,$A19,'Estimates'!$B$5:$B$2004,"PPS",'Estimates'!$D$5:$D$2004,'Status'!$E$6,'Estimates'!$H$5:$H$2004,1,'Estimates'!$E$5:$E$2004,'Status'!$E$7)=0,"",IF(COUNTIFS('Estimates'!$A$5:$A$2004,$A19,'Estimates'!$B$5:$B$2004,"PPS",'Estimates'!$D$5:$D$2004,'Status'!$E$6,'Estimates'!$H$5:$H$2004,1,'Estimates'!$E$5:$E$2004,'Status'!$E$7)&gt;1,"DUP",IF(COUNTIFS('Estimates'!$A$5:$A$2004,$A19,'Estimates'!$B$5:$B$2004,"PPS",'Estimates'!$D$5:$D$2004,'Status'!$E$6,'Estimates'!$H$5:$H$2004,1,'Estimates'!$E$5:$E$2004,'Status'!$E$7,'Estimates'!$F$5:$F$2004,"&lt;&gt;")=0,"",SUMIFS('Estimates'!$F$5:$F$2004,'Estimates'!$A$5:$A$2004,$A19,'Estimates'!$B$5:$B$2004,"PPS",'Estimates'!$D$5:$D$2004,'Status'!$E$6,'Estimates'!$H$5:$H$2004,1,'Estimates'!$E$5:$E$2004,'Status'!$E$7)))))</x:f>
      </x:c>
      <x:c r="K19" s="13" t="str">
        <x:f>IF(OR(COUNTA($A19)=0,NOT(ISNUMBER('Status'!$F$6))),"",IF(COUNTIFS('Estimates'!$A$5:$A$2004,$A19,'Estimates'!$B$5:$B$2004,"PPS",'Estimates'!$D$5:$D$2004,'Status'!$F$6,'Estimates'!$H$5:$H$2004,1,'Estimates'!$E$5:$E$2004,'Status'!$E$7)=0,"",IF(COUNTIFS('Estimates'!$A$5:$A$2004,$A19,'Estimates'!$B$5:$B$2004,"PPS",'Estimates'!$D$5:$D$2004,'Status'!$F$6,'Estimates'!$H$5:$H$2004,1,'Estimates'!$E$5:$E$2004,'Status'!$E$7)&gt;1,"DUP",IF(COUNTIFS('Estimates'!$A$5:$A$2004,$A19,'Estimates'!$B$5:$B$2004,"PPS",'Estimates'!$D$5:$D$2004,'Status'!$F$6,'Estimates'!$H$5:$H$2004,1,'Estimates'!$E$5:$E$2004,'Status'!$E$7,'Estimates'!$F$5:$F$2004,"&lt;&gt;")=0,"",SUMIFS('Estimates'!$F$5:$F$2004,'Estimates'!$A$5:$A$2004,$A19,'Estimates'!$B$5:$B$2004,"PPS",'Estimates'!$D$5:$D$2004,'Status'!$F$6,'Estimates'!$H$5:$H$2004,1,'Estimates'!$E$5:$E$2004,'Status'!$E$7)))))</x:f>
      </x:c>
      <x:c r="L19" s="13" t="str">
        <x:f>IF(OR(COUNTA($A19)=0,NOT(ISNUMBER('Status'!$G$6))),"",IF(COUNTIFS('Estimates'!$A$5:$A$2004,$A19,'Estimates'!$B$5:$B$2004,"PPS",'Estimates'!$D$5:$D$2004,'Status'!$G$6,'Estimates'!$H$5:$H$2004,1,'Estimates'!$E$5:$E$2004,'Status'!$E$7)=0,"",IF(COUNTIFS('Estimates'!$A$5:$A$2004,$A19,'Estimates'!$B$5:$B$2004,"PPS",'Estimates'!$D$5:$D$2004,'Status'!$G$6,'Estimates'!$H$5:$H$2004,1,'Estimates'!$E$5:$E$2004,'Status'!$E$7)&gt;1,"DUP",IF(COUNTIFS('Estimates'!$A$5:$A$2004,$A19,'Estimates'!$B$5:$B$2004,"PPS",'Estimates'!$D$5:$D$2004,'Status'!$G$6,'Estimates'!$H$5:$H$2004,1,'Estimates'!$E$5:$E$2004,'Status'!$E$7,'Estimates'!$F$5:$F$2004,"&lt;&gt;")=0,"",SUMIFS('Estimates'!$F$5:$F$2004,'Estimates'!$A$5:$A$2004,$A19,'Estimates'!$B$5:$B$2004,"PPS",'Estimates'!$D$5:$D$2004,'Status'!$G$6,'Estimates'!$H$5:$H$2004,1,'Estimates'!$E$5:$E$2004,'Status'!$E$7)))))</x:f>
      </x:c>
      <x:c r="M19" s="13" t="str">
        <x:f>IF(AND(ISNUMBER(J19),ISNUMBER(K19)),K19-J19,"")</x:f>
      </x:c>
      <x:c r="N19" s="13" t="str">
        <x:f>IF(AND(ISNUMBER(K19),ISNUMBER(L19)),L19-K19,"")</x:f>
      </x:c>
      <x:c r="O19" s="13" t="str">
        <x:f>IF(AND(COUNT(J19:L19)=3,COUNT('Status'!$E$6:$G$6)=3,'Status'!$E$6&gt;'Status'!$F$6,'Status'!$F$6&gt;'Status'!$G$6,'Status'!$G$6&gt;0),ABS(L19-(K19+(K19-J19)*('Status'!$G$6-'Status'!$F$6)/('Status'!$F$6-'Status'!$E$6))),"")</x:f>
      </x:c>
      <x:c r="P19" s="13" t="str">
        <x:f>IF(AND(COUNT(J19:L19)=3,COUNT('Status'!$E$6:$G$6)=3,'Status'!$E$6&gt;'Status'!$F$6,'Status'!$F$6&gt;'Status'!$G$6,'Status'!$G$6&gt;0),('Status'!$F$6*L19-'Status'!$G$6*K19)/('Status'!$F$6-'Status'!$G$6),"")</x:f>
      </x:c>
      <x:c r="Q19" s="20"/>
      <x:c r="R19" s="13" t="str">
        <x:f>IF(COUNTA($A19)=0,"",IF('Status'!$B$6="MPS 1",IF(ISNUMBER(C19),C19,""),IF('Status'!$B$6="MPS 2",IF(ISNUMBER(D19),D19,""),IF('Status'!$B$6="MPS 3",IF(ISNUMBER(E19),E19,""),IF('Status'!$B$6="MPS extrap",IF(ISNUMBER(I19),I19,""),IF('Status'!$B$6="PPS 1",IF(ISNUMBER(J19),J19,""),IF('Status'!$B$6="PPS 2",IF(ISNUMBER(K19),K19,""),IF('Status'!$B$6="PPS 3",IF(ISNUMBER(L19),L19,""),IF('Status'!$B$6="PPS extrap",IF(ISNUMBER(P19),P19,""),IF('Status'!$B$6="Calibrated",IF(ISNUMBER(Q19),Q19,""),""))))))))))</x:f>
      </x:c>
      <x:c r="S19" s="2" t="str">
        <x:f>IF(COUNTA(A19)=0,"",IF(COUNTIFS('Estimates'!$A$5:$A$2004,A19,'Estimates'!$B$5:$B$2004,"MPS",'Estimates'!$H$5:$H$2004,1)+COUNTIFS('Estimates'!$A$5:$A$2004,A19,'Estimates'!$B$5:$B$2004,"PPS",'Estimates'!$H$5:$H$2004,1)&gt;0,1,0))</x:f>
      </x:c>
      <x:c r="T19" s="2" t="str">
        <x:f>IF(COUNTA(A19)=0,"",IF(COUNTIFS($A$6:$A$165,A19)&gt;1,"Duplicate target",IF(COUNTIFS(C19:E19,"DUP")+COUNTIFS(J19:L19,"DUP")&gt;0,"Duplicate accepted run",IF(COUNTIFS('Estimates'!$A$5:$A$2004,A19,'Estimates'!$H$5:$H$2004,1)-COUNTIFS('Estimates'!$A$5:$A$2004,A19,'Estimates'!$H$5:$H$2004,1,'Estimates'!$F$5:$F$2004,"&lt;&gt;")&gt;0,"Accepted value missing",""))))</x:f>
      </x:c>
    </x:row>
    <x:row r="20">
      <x:c r="A20" s="21" t="n">
        <x:v>14</x:v>
      </x:c>
      <x:c r="B20" s="19"/>
      <x:c r="C20" s="13" t="str">
        <x:f>IF(OR(COUNTA($A20)=0,NOT(ISNUMBER('Status'!$E$5))),"",IF(COUNTIFS('Estimates'!$A$5:$A$2004,$A20,'Estimates'!$B$5:$B$2004,"MPS",'Estimates'!$C$5:$C$2004,'Status'!$E$5,'Estimates'!$H$5:$H$2004,1)=0,"",IF(COUNTIFS('Estimates'!$A$5:$A$2004,$A20,'Estimates'!$B$5:$B$2004,"MPS",'Estimates'!$C$5:$C$2004,'Status'!$E$5,'Estimates'!$H$5:$H$2004,1)&gt;1,"DUP",IF(COUNTIFS('Estimates'!$A$5:$A$2004,$A20,'Estimates'!$B$5:$B$2004,"MPS",'Estimates'!$C$5:$C$2004,'Status'!$E$5,'Estimates'!$H$5:$H$2004,1,'Estimates'!$F$5:$F$2004,"&lt;&gt;")=0,"",SUMIFS('Estimates'!$F$5:$F$2004,'Estimates'!$A$5:$A$2004,$A20,'Estimates'!$B$5:$B$2004,"MPS",'Estimates'!$C$5:$C$2004,'Status'!$E$5,'Estimates'!$H$5:$H$2004,1)))))</x:f>
      </x:c>
      <x:c r="D20" s="13" t="str">
        <x:f>IF(OR(COUNTA($A20)=0,NOT(ISNUMBER('Status'!$F$5))),"",IF(COUNTIFS('Estimates'!$A$5:$A$2004,$A20,'Estimates'!$B$5:$B$2004,"MPS",'Estimates'!$C$5:$C$2004,'Status'!$F$5,'Estimates'!$H$5:$H$2004,1)=0,"",IF(COUNTIFS('Estimates'!$A$5:$A$2004,$A20,'Estimates'!$B$5:$B$2004,"MPS",'Estimates'!$C$5:$C$2004,'Status'!$F$5,'Estimates'!$H$5:$H$2004,1)&gt;1,"DUP",IF(COUNTIFS('Estimates'!$A$5:$A$2004,$A20,'Estimates'!$B$5:$B$2004,"MPS",'Estimates'!$C$5:$C$2004,'Status'!$F$5,'Estimates'!$H$5:$H$2004,1,'Estimates'!$F$5:$F$2004,"&lt;&gt;")=0,"",SUMIFS('Estimates'!$F$5:$F$2004,'Estimates'!$A$5:$A$2004,$A20,'Estimates'!$B$5:$B$2004,"MPS",'Estimates'!$C$5:$C$2004,'Status'!$F$5,'Estimates'!$H$5:$H$2004,1)))))</x:f>
      </x:c>
      <x:c r="E20" s="13" t="str">
        <x:f>IF(OR(COUNTA($A20)=0,NOT(ISNUMBER('Status'!$G$5))),"",IF(COUNTIFS('Estimates'!$A$5:$A$2004,$A20,'Estimates'!$B$5:$B$2004,"MPS",'Estimates'!$C$5:$C$2004,'Status'!$G$5,'Estimates'!$H$5:$H$2004,1)=0,"",IF(COUNTIFS('Estimates'!$A$5:$A$2004,$A20,'Estimates'!$B$5:$B$2004,"MPS",'Estimates'!$C$5:$C$2004,'Status'!$G$5,'Estimates'!$H$5:$H$2004,1)&gt;1,"DUP",IF(COUNTIFS('Estimates'!$A$5:$A$2004,$A20,'Estimates'!$B$5:$B$2004,"MPS",'Estimates'!$C$5:$C$2004,'Status'!$G$5,'Estimates'!$H$5:$H$2004,1,'Estimates'!$F$5:$F$2004,"&lt;&gt;")=0,"",SUMIFS('Estimates'!$F$5:$F$2004,'Estimates'!$A$5:$A$2004,$A20,'Estimates'!$B$5:$B$2004,"MPS",'Estimates'!$C$5:$C$2004,'Status'!$G$5,'Estimates'!$H$5:$H$2004,1)))))</x:f>
      </x:c>
      <x:c r="F20" s="13" t="str">
        <x:f>IF(AND(ISNUMBER(C20),ISNUMBER(D20)),D20-C20,"")</x:f>
      </x:c>
      <x:c r="G20" s="13" t="str">
        <x:f>IF(AND(ISNUMBER(D20),ISNUMBER(E20)),E20-D20,"")</x:f>
      </x:c>
      <x:c r="H20" s="13" t="str">
        <x:f>IF(AND(COUNT(C20:E20)=3,COUNT('Status'!$E$5:$G$5)=3,'Status'!$E$5&gt;0,'Status'!$E$5&lt;'Status'!$F$5,'Status'!$F$5&lt;'Status'!$G$5),ABS(E20-(D20+(D20-C20)*((1/'Status'!$G$5)-(1/'Status'!$F$5))/((1/'Status'!$F$5)-(1/'Status'!$E$5)))),"")</x:f>
      </x:c>
      <x:c r="I20" s="13" t="str">
        <x:f>IF(AND(COUNT(C20:E20)=3,COUNT('Status'!$E$5:$G$5)=3,'Status'!$E$5&gt;0,'Status'!$E$5&lt;'Status'!$F$5,'Status'!$F$5&lt;'Status'!$G$5),((1/'Status'!$F$5)*E20-(1/'Status'!$G$5)*D20)/((1/'Status'!$F$5)-(1/'Status'!$G$5)),"")</x:f>
      </x:c>
      <x:c r="J20" s="13" t="str">
        <x:f>IF(OR(COUNTA($A20)=0,NOT(ISNUMBER('Status'!$E$6))),"",IF(COUNTIFS('Estimates'!$A$5:$A$2004,$A20,'Estimates'!$B$5:$B$2004,"PPS",'Estimates'!$D$5:$D$2004,'Status'!$E$6,'Estimates'!$H$5:$H$2004,1,'Estimates'!$E$5:$E$2004,'Status'!$E$7)=0,"",IF(COUNTIFS('Estimates'!$A$5:$A$2004,$A20,'Estimates'!$B$5:$B$2004,"PPS",'Estimates'!$D$5:$D$2004,'Status'!$E$6,'Estimates'!$H$5:$H$2004,1,'Estimates'!$E$5:$E$2004,'Status'!$E$7)&gt;1,"DUP",IF(COUNTIFS('Estimates'!$A$5:$A$2004,$A20,'Estimates'!$B$5:$B$2004,"PPS",'Estimates'!$D$5:$D$2004,'Status'!$E$6,'Estimates'!$H$5:$H$2004,1,'Estimates'!$E$5:$E$2004,'Status'!$E$7,'Estimates'!$F$5:$F$2004,"&lt;&gt;")=0,"",SUMIFS('Estimates'!$F$5:$F$2004,'Estimates'!$A$5:$A$2004,$A20,'Estimates'!$B$5:$B$2004,"PPS",'Estimates'!$D$5:$D$2004,'Status'!$E$6,'Estimates'!$H$5:$H$2004,1,'Estimates'!$E$5:$E$2004,'Status'!$E$7)))))</x:f>
      </x:c>
      <x:c r="K20" s="13" t="str">
        <x:f>IF(OR(COUNTA($A20)=0,NOT(ISNUMBER('Status'!$F$6))),"",IF(COUNTIFS('Estimates'!$A$5:$A$2004,$A20,'Estimates'!$B$5:$B$2004,"PPS",'Estimates'!$D$5:$D$2004,'Status'!$F$6,'Estimates'!$H$5:$H$2004,1,'Estimates'!$E$5:$E$2004,'Status'!$E$7)=0,"",IF(COUNTIFS('Estimates'!$A$5:$A$2004,$A20,'Estimates'!$B$5:$B$2004,"PPS",'Estimates'!$D$5:$D$2004,'Status'!$F$6,'Estimates'!$H$5:$H$2004,1,'Estimates'!$E$5:$E$2004,'Status'!$E$7)&gt;1,"DUP",IF(COUNTIFS('Estimates'!$A$5:$A$2004,$A20,'Estimates'!$B$5:$B$2004,"PPS",'Estimates'!$D$5:$D$2004,'Status'!$F$6,'Estimates'!$H$5:$H$2004,1,'Estimates'!$E$5:$E$2004,'Status'!$E$7,'Estimates'!$F$5:$F$2004,"&lt;&gt;")=0,"",SUMIFS('Estimates'!$F$5:$F$2004,'Estimates'!$A$5:$A$2004,$A20,'Estimates'!$B$5:$B$2004,"PPS",'Estimates'!$D$5:$D$2004,'Status'!$F$6,'Estimates'!$H$5:$H$2004,1,'Estimates'!$E$5:$E$2004,'Status'!$E$7)))))</x:f>
      </x:c>
      <x:c r="L20" s="13" t="str">
        <x:f>IF(OR(COUNTA($A20)=0,NOT(ISNUMBER('Status'!$G$6))),"",IF(COUNTIFS('Estimates'!$A$5:$A$2004,$A20,'Estimates'!$B$5:$B$2004,"PPS",'Estimates'!$D$5:$D$2004,'Status'!$G$6,'Estimates'!$H$5:$H$2004,1,'Estimates'!$E$5:$E$2004,'Status'!$E$7)=0,"",IF(COUNTIFS('Estimates'!$A$5:$A$2004,$A20,'Estimates'!$B$5:$B$2004,"PPS",'Estimates'!$D$5:$D$2004,'Status'!$G$6,'Estimates'!$H$5:$H$2004,1,'Estimates'!$E$5:$E$2004,'Status'!$E$7)&gt;1,"DUP",IF(COUNTIFS('Estimates'!$A$5:$A$2004,$A20,'Estimates'!$B$5:$B$2004,"PPS",'Estimates'!$D$5:$D$2004,'Status'!$G$6,'Estimates'!$H$5:$H$2004,1,'Estimates'!$E$5:$E$2004,'Status'!$E$7,'Estimates'!$F$5:$F$2004,"&lt;&gt;")=0,"",SUMIFS('Estimates'!$F$5:$F$2004,'Estimates'!$A$5:$A$2004,$A20,'Estimates'!$B$5:$B$2004,"PPS",'Estimates'!$D$5:$D$2004,'Status'!$G$6,'Estimates'!$H$5:$H$2004,1,'Estimates'!$E$5:$E$2004,'Status'!$E$7)))))</x:f>
      </x:c>
      <x:c r="M20" s="13" t="str">
        <x:f>IF(AND(ISNUMBER(J20),ISNUMBER(K20)),K20-J20,"")</x:f>
      </x:c>
      <x:c r="N20" s="13" t="str">
        <x:f>IF(AND(ISNUMBER(K20),ISNUMBER(L20)),L20-K20,"")</x:f>
      </x:c>
      <x:c r="O20" s="13" t="str">
        <x:f>IF(AND(COUNT(J20:L20)=3,COUNT('Status'!$E$6:$G$6)=3,'Status'!$E$6&gt;'Status'!$F$6,'Status'!$F$6&gt;'Status'!$G$6,'Status'!$G$6&gt;0),ABS(L20-(K20+(K20-J20)*('Status'!$G$6-'Status'!$F$6)/('Status'!$F$6-'Status'!$E$6))),"")</x:f>
      </x:c>
      <x:c r="P20" s="13" t="str">
        <x:f>IF(AND(COUNT(J20:L20)=3,COUNT('Status'!$E$6:$G$6)=3,'Status'!$E$6&gt;'Status'!$F$6,'Status'!$F$6&gt;'Status'!$G$6,'Status'!$G$6&gt;0),('Status'!$F$6*L20-'Status'!$G$6*K20)/('Status'!$F$6-'Status'!$G$6),"")</x:f>
      </x:c>
      <x:c r="Q20" s="20"/>
      <x:c r="R20" s="13" t="str">
        <x:f>IF(COUNTA($A20)=0,"",IF('Status'!$B$6="MPS 1",IF(ISNUMBER(C20),C20,""),IF('Status'!$B$6="MPS 2",IF(ISNUMBER(D20),D20,""),IF('Status'!$B$6="MPS 3",IF(ISNUMBER(E20),E20,""),IF('Status'!$B$6="MPS extrap",IF(ISNUMBER(I20),I20,""),IF('Status'!$B$6="PPS 1",IF(ISNUMBER(J20),J20,""),IF('Status'!$B$6="PPS 2",IF(ISNUMBER(K20),K20,""),IF('Status'!$B$6="PPS 3",IF(ISNUMBER(L20),L20,""),IF('Status'!$B$6="PPS extrap",IF(ISNUMBER(P20),P20,""),IF('Status'!$B$6="Calibrated",IF(ISNUMBER(Q20),Q20,""),""))))))))))</x:f>
      </x:c>
      <x:c r="S20" s="2" t="str">
        <x:f>IF(COUNTA(A20)=0,"",IF(COUNTIFS('Estimates'!$A$5:$A$2004,A20,'Estimates'!$B$5:$B$2004,"MPS",'Estimates'!$H$5:$H$2004,1)+COUNTIFS('Estimates'!$A$5:$A$2004,A20,'Estimates'!$B$5:$B$2004,"PPS",'Estimates'!$H$5:$H$2004,1)&gt;0,1,0))</x:f>
      </x:c>
      <x:c r="T20" s="2" t="str">
        <x:f>IF(COUNTA(A20)=0,"",IF(COUNTIFS($A$6:$A$165,A20)&gt;1,"Duplicate target",IF(COUNTIFS(C20:E20,"DUP")+COUNTIFS(J20:L20,"DUP")&gt;0,"Duplicate accepted run",IF(COUNTIFS('Estimates'!$A$5:$A$2004,A20,'Estimates'!$H$5:$H$2004,1)-COUNTIFS('Estimates'!$A$5:$A$2004,A20,'Estimates'!$H$5:$H$2004,1,'Estimates'!$F$5:$F$2004,"&lt;&gt;")&gt;0,"Accepted value missing",""))))</x:f>
      </x:c>
    </x:row>
    <x:row r="21">
      <x:c r="A21" s="21" t="n">
        <x:v>15</x:v>
      </x:c>
      <x:c r="B21" s="19"/>
      <x:c r="C21" s="13" t="str">
        <x:f>IF(OR(COUNTA($A21)=0,NOT(ISNUMBER('Status'!$E$5))),"",IF(COUNTIFS('Estimates'!$A$5:$A$2004,$A21,'Estimates'!$B$5:$B$2004,"MPS",'Estimates'!$C$5:$C$2004,'Status'!$E$5,'Estimates'!$H$5:$H$2004,1)=0,"",IF(COUNTIFS('Estimates'!$A$5:$A$2004,$A21,'Estimates'!$B$5:$B$2004,"MPS",'Estimates'!$C$5:$C$2004,'Status'!$E$5,'Estimates'!$H$5:$H$2004,1)&gt;1,"DUP",IF(COUNTIFS('Estimates'!$A$5:$A$2004,$A21,'Estimates'!$B$5:$B$2004,"MPS",'Estimates'!$C$5:$C$2004,'Status'!$E$5,'Estimates'!$H$5:$H$2004,1,'Estimates'!$F$5:$F$2004,"&lt;&gt;")=0,"",SUMIFS('Estimates'!$F$5:$F$2004,'Estimates'!$A$5:$A$2004,$A21,'Estimates'!$B$5:$B$2004,"MPS",'Estimates'!$C$5:$C$2004,'Status'!$E$5,'Estimates'!$H$5:$H$2004,1)))))</x:f>
      </x:c>
      <x:c r="D21" s="13" t="str">
        <x:f>IF(OR(COUNTA($A21)=0,NOT(ISNUMBER('Status'!$F$5))),"",IF(COUNTIFS('Estimates'!$A$5:$A$2004,$A21,'Estimates'!$B$5:$B$2004,"MPS",'Estimates'!$C$5:$C$2004,'Status'!$F$5,'Estimates'!$H$5:$H$2004,1)=0,"",IF(COUNTIFS('Estimates'!$A$5:$A$2004,$A21,'Estimates'!$B$5:$B$2004,"MPS",'Estimates'!$C$5:$C$2004,'Status'!$F$5,'Estimates'!$H$5:$H$2004,1)&gt;1,"DUP",IF(COUNTIFS('Estimates'!$A$5:$A$2004,$A21,'Estimates'!$B$5:$B$2004,"MPS",'Estimates'!$C$5:$C$2004,'Status'!$F$5,'Estimates'!$H$5:$H$2004,1,'Estimates'!$F$5:$F$2004,"&lt;&gt;")=0,"",SUMIFS('Estimates'!$F$5:$F$2004,'Estimates'!$A$5:$A$2004,$A21,'Estimates'!$B$5:$B$2004,"MPS",'Estimates'!$C$5:$C$2004,'Status'!$F$5,'Estimates'!$H$5:$H$2004,1)))))</x:f>
      </x:c>
      <x:c r="E21" s="13" t="str">
        <x:f>IF(OR(COUNTA($A21)=0,NOT(ISNUMBER('Status'!$G$5))),"",IF(COUNTIFS('Estimates'!$A$5:$A$2004,$A21,'Estimates'!$B$5:$B$2004,"MPS",'Estimates'!$C$5:$C$2004,'Status'!$G$5,'Estimates'!$H$5:$H$2004,1)=0,"",IF(COUNTIFS('Estimates'!$A$5:$A$2004,$A21,'Estimates'!$B$5:$B$2004,"MPS",'Estimates'!$C$5:$C$2004,'Status'!$G$5,'Estimates'!$H$5:$H$2004,1)&gt;1,"DUP",IF(COUNTIFS('Estimates'!$A$5:$A$2004,$A21,'Estimates'!$B$5:$B$2004,"MPS",'Estimates'!$C$5:$C$2004,'Status'!$G$5,'Estimates'!$H$5:$H$2004,1,'Estimates'!$F$5:$F$2004,"&lt;&gt;")=0,"",SUMIFS('Estimates'!$F$5:$F$2004,'Estimates'!$A$5:$A$2004,$A21,'Estimates'!$B$5:$B$2004,"MPS",'Estimates'!$C$5:$C$2004,'Status'!$G$5,'Estimates'!$H$5:$H$2004,1)))))</x:f>
      </x:c>
      <x:c r="F21" s="13" t="str">
        <x:f>IF(AND(ISNUMBER(C21),ISNUMBER(D21)),D21-C21,"")</x:f>
      </x:c>
      <x:c r="G21" s="13" t="str">
        <x:f>IF(AND(ISNUMBER(D21),ISNUMBER(E21)),E21-D21,"")</x:f>
      </x:c>
      <x:c r="H21" s="13" t="str">
        <x:f>IF(AND(COUNT(C21:E21)=3,COUNT('Status'!$E$5:$G$5)=3,'Status'!$E$5&gt;0,'Status'!$E$5&lt;'Status'!$F$5,'Status'!$F$5&lt;'Status'!$G$5),ABS(E21-(D21+(D21-C21)*((1/'Status'!$G$5)-(1/'Status'!$F$5))/((1/'Status'!$F$5)-(1/'Status'!$E$5)))),"")</x:f>
      </x:c>
      <x:c r="I21" s="13" t="str">
        <x:f>IF(AND(COUNT(C21:E21)=3,COUNT('Status'!$E$5:$G$5)=3,'Status'!$E$5&gt;0,'Status'!$E$5&lt;'Status'!$F$5,'Status'!$F$5&lt;'Status'!$G$5),((1/'Status'!$F$5)*E21-(1/'Status'!$G$5)*D21)/((1/'Status'!$F$5)-(1/'Status'!$G$5)),"")</x:f>
      </x:c>
      <x:c r="J21" s="13" t="str">
        <x:f>IF(OR(COUNTA($A21)=0,NOT(ISNUMBER('Status'!$E$6))),"",IF(COUNTIFS('Estimates'!$A$5:$A$2004,$A21,'Estimates'!$B$5:$B$2004,"PPS",'Estimates'!$D$5:$D$2004,'Status'!$E$6,'Estimates'!$H$5:$H$2004,1,'Estimates'!$E$5:$E$2004,'Status'!$E$7)=0,"",IF(COUNTIFS('Estimates'!$A$5:$A$2004,$A21,'Estimates'!$B$5:$B$2004,"PPS",'Estimates'!$D$5:$D$2004,'Status'!$E$6,'Estimates'!$H$5:$H$2004,1,'Estimates'!$E$5:$E$2004,'Status'!$E$7)&gt;1,"DUP",IF(COUNTIFS('Estimates'!$A$5:$A$2004,$A21,'Estimates'!$B$5:$B$2004,"PPS",'Estimates'!$D$5:$D$2004,'Status'!$E$6,'Estimates'!$H$5:$H$2004,1,'Estimates'!$E$5:$E$2004,'Status'!$E$7,'Estimates'!$F$5:$F$2004,"&lt;&gt;")=0,"",SUMIFS('Estimates'!$F$5:$F$2004,'Estimates'!$A$5:$A$2004,$A21,'Estimates'!$B$5:$B$2004,"PPS",'Estimates'!$D$5:$D$2004,'Status'!$E$6,'Estimates'!$H$5:$H$2004,1,'Estimates'!$E$5:$E$2004,'Status'!$E$7)))))</x:f>
      </x:c>
      <x:c r="K21" s="13" t="str">
        <x:f>IF(OR(COUNTA($A21)=0,NOT(ISNUMBER('Status'!$F$6))),"",IF(COUNTIFS('Estimates'!$A$5:$A$2004,$A21,'Estimates'!$B$5:$B$2004,"PPS",'Estimates'!$D$5:$D$2004,'Status'!$F$6,'Estimates'!$H$5:$H$2004,1,'Estimates'!$E$5:$E$2004,'Status'!$E$7)=0,"",IF(COUNTIFS('Estimates'!$A$5:$A$2004,$A21,'Estimates'!$B$5:$B$2004,"PPS",'Estimates'!$D$5:$D$2004,'Status'!$F$6,'Estimates'!$H$5:$H$2004,1,'Estimates'!$E$5:$E$2004,'Status'!$E$7)&gt;1,"DUP",IF(COUNTIFS('Estimates'!$A$5:$A$2004,$A21,'Estimates'!$B$5:$B$2004,"PPS",'Estimates'!$D$5:$D$2004,'Status'!$F$6,'Estimates'!$H$5:$H$2004,1,'Estimates'!$E$5:$E$2004,'Status'!$E$7,'Estimates'!$F$5:$F$2004,"&lt;&gt;")=0,"",SUMIFS('Estimates'!$F$5:$F$2004,'Estimates'!$A$5:$A$2004,$A21,'Estimates'!$B$5:$B$2004,"PPS",'Estimates'!$D$5:$D$2004,'Status'!$F$6,'Estimates'!$H$5:$H$2004,1,'Estimates'!$E$5:$E$2004,'Status'!$E$7)))))</x:f>
      </x:c>
      <x:c r="L21" s="13" t="str">
        <x:f>IF(OR(COUNTA($A21)=0,NOT(ISNUMBER('Status'!$G$6))),"",IF(COUNTIFS('Estimates'!$A$5:$A$2004,$A21,'Estimates'!$B$5:$B$2004,"PPS",'Estimates'!$D$5:$D$2004,'Status'!$G$6,'Estimates'!$H$5:$H$2004,1,'Estimates'!$E$5:$E$2004,'Status'!$E$7)=0,"",IF(COUNTIFS('Estimates'!$A$5:$A$2004,$A21,'Estimates'!$B$5:$B$2004,"PPS",'Estimates'!$D$5:$D$2004,'Status'!$G$6,'Estimates'!$H$5:$H$2004,1,'Estimates'!$E$5:$E$2004,'Status'!$E$7)&gt;1,"DUP",IF(COUNTIFS('Estimates'!$A$5:$A$2004,$A21,'Estimates'!$B$5:$B$2004,"PPS",'Estimates'!$D$5:$D$2004,'Status'!$G$6,'Estimates'!$H$5:$H$2004,1,'Estimates'!$E$5:$E$2004,'Status'!$E$7,'Estimates'!$F$5:$F$2004,"&lt;&gt;")=0,"",SUMIFS('Estimates'!$F$5:$F$2004,'Estimates'!$A$5:$A$2004,$A21,'Estimates'!$B$5:$B$2004,"PPS",'Estimates'!$D$5:$D$2004,'Status'!$G$6,'Estimates'!$H$5:$H$2004,1,'Estimates'!$E$5:$E$2004,'Status'!$E$7)))))</x:f>
      </x:c>
      <x:c r="M21" s="13" t="str">
        <x:f>IF(AND(ISNUMBER(J21),ISNUMBER(K21)),K21-J21,"")</x:f>
      </x:c>
      <x:c r="N21" s="13" t="str">
        <x:f>IF(AND(ISNUMBER(K21),ISNUMBER(L21)),L21-K21,"")</x:f>
      </x:c>
      <x:c r="O21" s="13" t="str">
        <x:f>IF(AND(COUNT(J21:L21)=3,COUNT('Status'!$E$6:$G$6)=3,'Status'!$E$6&gt;'Status'!$F$6,'Status'!$F$6&gt;'Status'!$G$6,'Status'!$G$6&gt;0),ABS(L21-(K21+(K21-J21)*('Status'!$G$6-'Status'!$F$6)/('Status'!$F$6-'Status'!$E$6))),"")</x:f>
      </x:c>
      <x:c r="P21" s="13" t="str">
        <x:f>IF(AND(COUNT(J21:L21)=3,COUNT('Status'!$E$6:$G$6)=3,'Status'!$E$6&gt;'Status'!$F$6,'Status'!$F$6&gt;'Status'!$G$6,'Status'!$G$6&gt;0),('Status'!$F$6*L21-'Status'!$G$6*K21)/('Status'!$F$6-'Status'!$G$6),"")</x:f>
      </x:c>
      <x:c r="Q21" s="20"/>
      <x:c r="R21" s="13" t="str">
        <x:f>IF(COUNTA($A21)=0,"",IF('Status'!$B$6="MPS 1",IF(ISNUMBER(C21),C21,""),IF('Status'!$B$6="MPS 2",IF(ISNUMBER(D21),D21,""),IF('Status'!$B$6="MPS 3",IF(ISNUMBER(E21),E21,""),IF('Status'!$B$6="MPS extrap",IF(ISNUMBER(I21),I21,""),IF('Status'!$B$6="PPS 1",IF(ISNUMBER(J21),J21,""),IF('Status'!$B$6="PPS 2",IF(ISNUMBER(K21),K21,""),IF('Status'!$B$6="PPS 3",IF(ISNUMBER(L21),L21,""),IF('Status'!$B$6="PPS extrap",IF(ISNUMBER(P21),P21,""),IF('Status'!$B$6="Calibrated",IF(ISNUMBER(Q21),Q21,""),""))))))))))</x:f>
      </x:c>
      <x:c r="S21" s="2" t="str">
        <x:f>IF(COUNTA(A21)=0,"",IF(COUNTIFS('Estimates'!$A$5:$A$2004,A21,'Estimates'!$B$5:$B$2004,"MPS",'Estimates'!$H$5:$H$2004,1)+COUNTIFS('Estimates'!$A$5:$A$2004,A21,'Estimates'!$B$5:$B$2004,"PPS",'Estimates'!$H$5:$H$2004,1)&gt;0,1,0))</x:f>
      </x:c>
      <x:c r="T21" s="2" t="str">
        <x:f>IF(COUNTA(A21)=0,"",IF(COUNTIFS($A$6:$A$165,A21)&gt;1,"Duplicate target",IF(COUNTIFS(C21:E21,"DUP")+COUNTIFS(J21:L21,"DUP")&gt;0,"Duplicate accepted run",IF(COUNTIFS('Estimates'!$A$5:$A$2004,A21,'Estimates'!$H$5:$H$2004,1)-COUNTIFS('Estimates'!$A$5:$A$2004,A21,'Estimates'!$H$5:$H$2004,1,'Estimates'!$F$5:$F$2004,"&lt;&gt;")&gt;0,"Accepted value missing",""))))</x:f>
      </x:c>
    </x:row>
    <x:row r="22">
      <x:c r="A22" s="21" t="n">
        <x:v>16</x:v>
      </x:c>
      <x:c r="B22" s="19"/>
      <x:c r="C22" s="13" t="str">
        <x:f>IF(OR(COUNTA($A22)=0,NOT(ISNUMBER('Status'!$E$5))),"",IF(COUNTIFS('Estimates'!$A$5:$A$2004,$A22,'Estimates'!$B$5:$B$2004,"MPS",'Estimates'!$C$5:$C$2004,'Status'!$E$5,'Estimates'!$H$5:$H$2004,1)=0,"",IF(COUNTIFS('Estimates'!$A$5:$A$2004,$A22,'Estimates'!$B$5:$B$2004,"MPS",'Estimates'!$C$5:$C$2004,'Status'!$E$5,'Estimates'!$H$5:$H$2004,1)&gt;1,"DUP",IF(COUNTIFS('Estimates'!$A$5:$A$2004,$A22,'Estimates'!$B$5:$B$2004,"MPS",'Estimates'!$C$5:$C$2004,'Status'!$E$5,'Estimates'!$H$5:$H$2004,1,'Estimates'!$F$5:$F$2004,"&lt;&gt;")=0,"",SUMIFS('Estimates'!$F$5:$F$2004,'Estimates'!$A$5:$A$2004,$A22,'Estimates'!$B$5:$B$2004,"MPS",'Estimates'!$C$5:$C$2004,'Status'!$E$5,'Estimates'!$H$5:$H$2004,1)))))</x:f>
      </x:c>
      <x:c r="D22" s="13" t="str">
        <x:f>IF(OR(COUNTA($A22)=0,NOT(ISNUMBER('Status'!$F$5))),"",IF(COUNTIFS('Estimates'!$A$5:$A$2004,$A22,'Estimates'!$B$5:$B$2004,"MPS",'Estimates'!$C$5:$C$2004,'Status'!$F$5,'Estimates'!$H$5:$H$2004,1)=0,"",IF(COUNTIFS('Estimates'!$A$5:$A$2004,$A22,'Estimates'!$B$5:$B$2004,"MPS",'Estimates'!$C$5:$C$2004,'Status'!$F$5,'Estimates'!$H$5:$H$2004,1)&gt;1,"DUP",IF(COUNTIFS('Estimates'!$A$5:$A$2004,$A22,'Estimates'!$B$5:$B$2004,"MPS",'Estimates'!$C$5:$C$2004,'Status'!$F$5,'Estimates'!$H$5:$H$2004,1,'Estimates'!$F$5:$F$2004,"&lt;&gt;")=0,"",SUMIFS('Estimates'!$F$5:$F$2004,'Estimates'!$A$5:$A$2004,$A22,'Estimates'!$B$5:$B$2004,"MPS",'Estimates'!$C$5:$C$2004,'Status'!$F$5,'Estimates'!$H$5:$H$2004,1)))))</x:f>
      </x:c>
      <x:c r="E22" s="13" t="str">
        <x:f>IF(OR(COUNTA($A22)=0,NOT(ISNUMBER('Status'!$G$5))),"",IF(COUNTIFS('Estimates'!$A$5:$A$2004,$A22,'Estimates'!$B$5:$B$2004,"MPS",'Estimates'!$C$5:$C$2004,'Status'!$G$5,'Estimates'!$H$5:$H$2004,1)=0,"",IF(COUNTIFS('Estimates'!$A$5:$A$2004,$A22,'Estimates'!$B$5:$B$2004,"MPS",'Estimates'!$C$5:$C$2004,'Status'!$G$5,'Estimates'!$H$5:$H$2004,1)&gt;1,"DUP",IF(COUNTIFS('Estimates'!$A$5:$A$2004,$A22,'Estimates'!$B$5:$B$2004,"MPS",'Estimates'!$C$5:$C$2004,'Status'!$G$5,'Estimates'!$H$5:$H$2004,1,'Estimates'!$F$5:$F$2004,"&lt;&gt;")=0,"",SUMIFS('Estimates'!$F$5:$F$2004,'Estimates'!$A$5:$A$2004,$A22,'Estimates'!$B$5:$B$2004,"MPS",'Estimates'!$C$5:$C$2004,'Status'!$G$5,'Estimates'!$H$5:$H$2004,1)))))</x:f>
      </x:c>
      <x:c r="F22" s="13" t="str">
        <x:f>IF(AND(ISNUMBER(C22),ISNUMBER(D22)),D22-C22,"")</x:f>
      </x:c>
      <x:c r="G22" s="13" t="str">
        <x:f>IF(AND(ISNUMBER(D22),ISNUMBER(E22)),E22-D22,"")</x:f>
      </x:c>
      <x:c r="H22" s="13" t="str">
        <x:f>IF(AND(COUNT(C22:E22)=3,COUNT('Status'!$E$5:$G$5)=3,'Status'!$E$5&gt;0,'Status'!$E$5&lt;'Status'!$F$5,'Status'!$F$5&lt;'Status'!$G$5),ABS(E22-(D22+(D22-C22)*((1/'Status'!$G$5)-(1/'Status'!$F$5))/((1/'Status'!$F$5)-(1/'Status'!$E$5)))),"")</x:f>
      </x:c>
      <x:c r="I22" s="13" t="str">
        <x:f>IF(AND(COUNT(C22:E22)=3,COUNT('Status'!$E$5:$G$5)=3,'Status'!$E$5&gt;0,'Status'!$E$5&lt;'Status'!$F$5,'Status'!$F$5&lt;'Status'!$G$5),((1/'Status'!$F$5)*E22-(1/'Status'!$G$5)*D22)/((1/'Status'!$F$5)-(1/'Status'!$G$5)),"")</x:f>
      </x:c>
      <x:c r="J22" s="13" t="str">
        <x:f>IF(OR(COUNTA($A22)=0,NOT(ISNUMBER('Status'!$E$6))),"",IF(COUNTIFS('Estimates'!$A$5:$A$2004,$A22,'Estimates'!$B$5:$B$2004,"PPS",'Estimates'!$D$5:$D$2004,'Status'!$E$6,'Estimates'!$H$5:$H$2004,1,'Estimates'!$E$5:$E$2004,'Status'!$E$7)=0,"",IF(COUNTIFS('Estimates'!$A$5:$A$2004,$A22,'Estimates'!$B$5:$B$2004,"PPS",'Estimates'!$D$5:$D$2004,'Status'!$E$6,'Estimates'!$H$5:$H$2004,1,'Estimates'!$E$5:$E$2004,'Status'!$E$7)&gt;1,"DUP",IF(COUNTIFS('Estimates'!$A$5:$A$2004,$A22,'Estimates'!$B$5:$B$2004,"PPS",'Estimates'!$D$5:$D$2004,'Status'!$E$6,'Estimates'!$H$5:$H$2004,1,'Estimates'!$E$5:$E$2004,'Status'!$E$7,'Estimates'!$F$5:$F$2004,"&lt;&gt;")=0,"",SUMIFS('Estimates'!$F$5:$F$2004,'Estimates'!$A$5:$A$2004,$A22,'Estimates'!$B$5:$B$2004,"PPS",'Estimates'!$D$5:$D$2004,'Status'!$E$6,'Estimates'!$H$5:$H$2004,1,'Estimates'!$E$5:$E$2004,'Status'!$E$7)))))</x:f>
      </x:c>
      <x:c r="K22" s="13" t="str">
        <x:f>IF(OR(COUNTA($A22)=0,NOT(ISNUMBER('Status'!$F$6))),"",IF(COUNTIFS('Estimates'!$A$5:$A$2004,$A22,'Estimates'!$B$5:$B$2004,"PPS",'Estimates'!$D$5:$D$2004,'Status'!$F$6,'Estimates'!$H$5:$H$2004,1,'Estimates'!$E$5:$E$2004,'Status'!$E$7)=0,"",IF(COUNTIFS('Estimates'!$A$5:$A$2004,$A22,'Estimates'!$B$5:$B$2004,"PPS",'Estimates'!$D$5:$D$2004,'Status'!$F$6,'Estimates'!$H$5:$H$2004,1,'Estimates'!$E$5:$E$2004,'Status'!$E$7)&gt;1,"DUP",IF(COUNTIFS('Estimates'!$A$5:$A$2004,$A22,'Estimates'!$B$5:$B$2004,"PPS",'Estimates'!$D$5:$D$2004,'Status'!$F$6,'Estimates'!$H$5:$H$2004,1,'Estimates'!$E$5:$E$2004,'Status'!$E$7,'Estimates'!$F$5:$F$2004,"&lt;&gt;")=0,"",SUMIFS('Estimates'!$F$5:$F$2004,'Estimates'!$A$5:$A$2004,$A22,'Estimates'!$B$5:$B$2004,"PPS",'Estimates'!$D$5:$D$2004,'Status'!$F$6,'Estimates'!$H$5:$H$2004,1,'Estimates'!$E$5:$E$2004,'Status'!$E$7)))))</x:f>
      </x:c>
      <x:c r="L22" s="13" t="str">
        <x:f>IF(OR(COUNTA($A22)=0,NOT(ISNUMBER('Status'!$G$6))),"",IF(COUNTIFS('Estimates'!$A$5:$A$2004,$A22,'Estimates'!$B$5:$B$2004,"PPS",'Estimates'!$D$5:$D$2004,'Status'!$G$6,'Estimates'!$H$5:$H$2004,1,'Estimates'!$E$5:$E$2004,'Status'!$E$7)=0,"",IF(COUNTIFS('Estimates'!$A$5:$A$2004,$A22,'Estimates'!$B$5:$B$2004,"PPS",'Estimates'!$D$5:$D$2004,'Status'!$G$6,'Estimates'!$H$5:$H$2004,1,'Estimates'!$E$5:$E$2004,'Status'!$E$7)&gt;1,"DUP",IF(COUNTIFS('Estimates'!$A$5:$A$2004,$A22,'Estimates'!$B$5:$B$2004,"PPS",'Estimates'!$D$5:$D$2004,'Status'!$G$6,'Estimates'!$H$5:$H$2004,1,'Estimates'!$E$5:$E$2004,'Status'!$E$7,'Estimates'!$F$5:$F$2004,"&lt;&gt;")=0,"",SUMIFS('Estimates'!$F$5:$F$2004,'Estimates'!$A$5:$A$2004,$A22,'Estimates'!$B$5:$B$2004,"PPS",'Estimates'!$D$5:$D$2004,'Status'!$G$6,'Estimates'!$H$5:$H$2004,1,'Estimates'!$E$5:$E$2004,'Status'!$E$7)))))</x:f>
      </x:c>
      <x:c r="M22" s="13" t="str">
        <x:f>IF(AND(ISNUMBER(J22),ISNUMBER(K22)),K22-J22,"")</x:f>
      </x:c>
      <x:c r="N22" s="13" t="str">
        <x:f>IF(AND(ISNUMBER(K22),ISNUMBER(L22)),L22-K22,"")</x:f>
      </x:c>
      <x:c r="O22" s="13" t="str">
        <x:f>IF(AND(COUNT(J22:L22)=3,COUNT('Status'!$E$6:$G$6)=3,'Status'!$E$6&gt;'Status'!$F$6,'Status'!$F$6&gt;'Status'!$G$6,'Status'!$G$6&gt;0),ABS(L22-(K22+(K22-J22)*('Status'!$G$6-'Status'!$F$6)/('Status'!$F$6-'Status'!$E$6))),"")</x:f>
      </x:c>
      <x:c r="P22" s="13" t="str">
        <x:f>IF(AND(COUNT(J22:L22)=3,COUNT('Status'!$E$6:$G$6)=3,'Status'!$E$6&gt;'Status'!$F$6,'Status'!$F$6&gt;'Status'!$G$6,'Status'!$G$6&gt;0),('Status'!$F$6*L22-'Status'!$G$6*K22)/('Status'!$F$6-'Status'!$G$6),"")</x:f>
      </x:c>
      <x:c r="Q22" s="20"/>
      <x:c r="R22" s="13" t="str">
        <x:f>IF(COUNTA($A22)=0,"",IF('Status'!$B$6="MPS 1",IF(ISNUMBER(C22),C22,""),IF('Status'!$B$6="MPS 2",IF(ISNUMBER(D22),D22,""),IF('Status'!$B$6="MPS 3",IF(ISNUMBER(E22),E22,""),IF('Status'!$B$6="MPS extrap",IF(ISNUMBER(I22),I22,""),IF('Status'!$B$6="PPS 1",IF(ISNUMBER(J22),J22,""),IF('Status'!$B$6="PPS 2",IF(ISNUMBER(K22),K22,""),IF('Status'!$B$6="PPS 3",IF(ISNUMBER(L22),L22,""),IF('Status'!$B$6="PPS extrap",IF(ISNUMBER(P22),P22,""),IF('Status'!$B$6="Calibrated",IF(ISNUMBER(Q22),Q22,""),""))))))))))</x:f>
      </x:c>
      <x:c r="S22" s="2" t="str">
        <x:f>IF(COUNTA(A22)=0,"",IF(COUNTIFS('Estimates'!$A$5:$A$2004,A22,'Estimates'!$B$5:$B$2004,"MPS",'Estimates'!$H$5:$H$2004,1)+COUNTIFS('Estimates'!$A$5:$A$2004,A22,'Estimates'!$B$5:$B$2004,"PPS",'Estimates'!$H$5:$H$2004,1)&gt;0,1,0))</x:f>
      </x:c>
      <x:c r="T22" s="2" t="str">
        <x:f>IF(COUNTA(A22)=0,"",IF(COUNTIFS($A$6:$A$165,A22)&gt;1,"Duplicate target",IF(COUNTIFS(C22:E22,"DUP")+COUNTIFS(J22:L22,"DUP")&gt;0,"Duplicate accepted run",IF(COUNTIFS('Estimates'!$A$5:$A$2004,A22,'Estimates'!$H$5:$H$2004,1)-COUNTIFS('Estimates'!$A$5:$A$2004,A22,'Estimates'!$H$5:$H$2004,1,'Estimates'!$F$5:$F$2004,"&lt;&gt;")&gt;0,"Accepted value missing",""))))</x:f>
      </x:c>
    </x:row>
    <x:row r="23">
      <x:c r="A23" s="21" t="n">
        <x:v>17</x:v>
      </x:c>
      <x:c r="B23" s="19"/>
      <x:c r="C23" s="13" t="str">
        <x:f>IF(OR(COUNTA($A23)=0,NOT(ISNUMBER('Status'!$E$5))),"",IF(COUNTIFS('Estimates'!$A$5:$A$2004,$A23,'Estimates'!$B$5:$B$2004,"MPS",'Estimates'!$C$5:$C$2004,'Status'!$E$5,'Estimates'!$H$5:$H$2004,1)=0,"",IF(COUNTIFS('Estimates'!$A$5:$A$2004,$A23,'Estimates'!$B$5:$B$2004,"MPS",'Estimates'!$C$5:$C$2004,'Status'!$E$5,'Estimates'!$H$5:$H$2004,1)&gt;1,"DUP",IF(COUNTIFS('Estimates'!$A$5:$A$2004,$A23,'Estimates'!$B$5:$B$2004,"MPS",'Estimates'!$C$5:$C$2004,'Status'!$E$5,'Estimates'!$H$5:$H$2004,1,'Estimates'!$F$5:$F$2004,"&lt;&gt;")=0,"",SUMIFS('Estimates'!$F$5:$F$2004,'Estimates'!$A$5:$A$2004,$A23,'Estimates'!$B$5:$B$2004,"MPS",'Estimates'!$C$5:$C$2004,'Status'!$E$5,'Estimates'!$H$5:$H$2004,1)))))</x:f>
      </x:c>
      <x:c r="D23" s="13" t="str">
        <x:f>IF(OR(COUNTA($A23)=0,NOT(ISNUMBER('Status'!$F$5))),"",IF(COUNTIFS('Estimates'!$A$5:$A$2004,$A23,'Estimates'!$B$5:$B$2004,"MPS",'Estimates'!$C$5:$C$2004,'Status'!$F$5,'Estimates'!$H$5:$H$2004,1)=0,"",IF(COUNTIFS('Estimates'!$A$5:$A$2004,$A23,'Estimates'!$B$5:$B$2004,"MPS",'Estimates'!$C$5:$C$2004,'Status'!$F$5,'Estimates'!$H$5:$H$2004,1)&gt;1,"DUP",IF(COUNTIFS('Estimates'!$A$5:$A$2004,$A23,'Estimates'!$B$5:$B$2004,"MPS",'Estimates'!$C$5:$C$2004,'Status'!$F$5,'Estimates'!$H$5:$H$2004,1,'Estimates'!$F$5:$F$2004,"&lt;&gt;")=0,"",SUMIFS('Estimates'!$F$5:$F$2004,'Estimates'!$A$5:$A$2004,$A23,'Estimates'!$B$5:$B$2004,"MPS",'Estimates'!$C$5:$C$2004,'Status'!$F$5,'Estimates'!$H$5:$H$2004,1)))))</x:f>
      </x:c>
      <x:c r="E23" s="13" t="str">
        <x:f>IF(OR(COUNTA($A23)=0,NOT(ISNUMBER('Status'!$G$5))),"",IF(COUNTIFS('Estimates'!$A$5:$A$2004,$A23,'Estimates'!$B$5:$B$2004,"MPS",'Estimates'!$C$5:$C$2004,'Status'!$G$5,'Estimates'!$H$5:$H$2004,1)=0,"",IF(COUNTIFS('Estimates'!$A$5:$A$2004,$A23,'Estimates'!$B$5:$B$2004,"MPS",'Estimates'!$C$5:$C$2004,'Status'!$G$5,'Estimates'!$H$5:$H$2004,1)&gt;1,"DUP",IF(COUNTIFS('Estimates'!$A$5:$A$2004,$A23,'Estimates'!$B$5:$B$2004,"MPS",'Estimates'!$C$5:$C$2004,'Status'!$G$5,'Estimates'!$H$5:$H$2004,1,'Estimates'!$F$5:$F$2004,"&lt;&gt;")=0,"",SUMIFS('Estimates'!$F$5:$F$2004,'Estimates'!$A$5:$A$2004,$A23,'Estimates'!$B$5:$B$2004,"MPS",'Estimates'!$C$5:$C$2004,'Status'!$G$5,'Estimates'!$H$5:$H$2004,1)))))</x:f>
      </x:c>
      <x:c r="F23" s="13" t="str">
        <x:f>IF(AND(ISNUMBER(C23),ISNUMBER(D23)),D23-C23,"")</x:f>
      </x:c>
      <x:c r="G23" s="13" t="str">
        <x:f>IF(AND(ISNUMBER(D23),ISNUMBER(E23)),E23-D23,"")</x:f>
      </x:c>
      <x:c r="H23" s="13" t="str">
        <x:f>IF(AND(COUNT(C23:E23)=3,COUNT('Status'!$E$5:$G$5)=3,'Status'!$E$5&gt;0,'Status'!$E$5&lt;'Status'!$F$5,'Status'!$F$5&lt;'Status'!$G$5),ABS(E23-(D23+(D23-C23)*((1/'Status'!$G$5)-(1/'Status'!$F$5))/((1/'Status'!$F$5)-(1/'Status'!$E$5)))),"")</x:f>
      </x:c>
      <x:c r="I23" s="13" t="str">
        <x:f>IF(AND(COUNT(C23:E23)=3,COUNT('Status'!$E$5:$G$5)=3,'Status'!$E$5&gt;0,'Status'!$E$5&lt;'Status'!$F$5,'Status'!$F$5&lt;'Status'!$G$5),((1/'Status'!$F$5)*E23-(1/'Status'!$G$5)*D23)/((1/'Status'!$F$5)-(1/'Status'!$G$5)),"")</x:f>
      </x:c>
      <x:c r="J23" s="13" t="str">
        <x:f>IF(OR(COUNTA($A23)=0,NOT(ISNUMBER('Status'!$E$6))),"",IF(COUNTIFS('Estimates'!$A$5:$A$2004,$A23,'Estimates'!$B$5:$B$2004,"PPS",'Estimates'!$D$5:$D$2004,'Status'!$E$6,'Estimates'!$H$5:$H$2004,1,'Estimates'!$E$5:$E$2004,'Status'!$E$7)=0,"",IF(COUNTIFS('Estimates'!$A$5:$A$2004,$A23,'Estimates'!$B$5:$B$2004,"PPS",'Estimates'!$D$5:$D$2004,'Status'!$E$6,'Estimates'!$H$5:$H$2004,1,'Estimates'!$E$5:$E$2004,'Status'!$E$7)&gt;1,"DUP",IF(COUNTIFS('Estimates'!$A$5:$A$2004,$A23,'Estimates'!$B$5:$B$2004,"PPS",'Estimates'!$D$5:$D$2004,'Status'!$E$6,'Estimates'!$H$5:$H$2004,1,'Estimates'!$E$5:$E$2004,'Status'!$E$7,'Estimates'!$F$5:$F$2004,"&lt;&gt;")=0,"",SUMIFS('Estimates'!$F$5:$F$2004,'Estimates'!$A$5:$A$2004,$A23,'Estimates'!$B$5:$B$2004,"PPS",'Estimates'!$D$5:$D$2004,'Status'!$E$6,'Estimates'!$H$5:$H$2004,1,'Estimates'!$E$5:$E$2004,'Status'!$E$7)))))</x:f>
      </x:c>
      <x:c r="K23" s="13" t="str">
        <x:f>IF(OR(COUNTA($A23)=0,NOT(ISNUMBER('Status'!$F$6))),"",IF(COUNTIFS('Estimates'!$A$5:$A$2004,$A23,'Estimates'!$B$5:$B$2004,"PPS",'Estimates'!$D$5:$D$2004,'Status'!$F$6,'Estimates'!$H$5:$H$2004,1,'Estimates'!$E$5:$E$2004,'Status'!$E$7)=0,"",IF(COUNTIFS('Estimates'!$A$5:$A$2004,$A23,'Estimates'!$B$5:$B$2004,"PPS",'Estimates'!$D$5:$D$2004,'Status'!$F$6,'Estimates'!$H$5:$H$2004,1,'Estimates'!$E$5:$E$2004,'Status'!$E$7)&gt;1,"DUP",IF(COUNTIFS('Estimates'!$A$5:$A$2004,$A23,'Estimates'!$B$5:$B$2004,"PPS",'Estimates'!$D$5:$D$2004,'Status'!$F$6,'Estimates'!$H$5:$H$2004,1,'Estimates'!$E$5:$E$2004,'Status'!$E$7,'Estimates'!$F$5:$F$2004,"&lt;&gt;")=0,"",SUMIFS('Estimates'!$F$5:$F$2004,'Estimates'!$A$5:$A$2004,$A23,'Estimates'!$B$5:$B$2004,"PPS",'Estimates'!$D$5:$D$2004,'Status'!$F$6,'Estimates'!$H$5:$H$2004,1,'Estimates'!$E$5:$E$2004,'Status'!$E$7)))))</x:f>
      </x:c>
      <x:c r="L23" s="13" t="str">
        <x:f>IF(OR(COUNTA($A23)=0,NOT(ISNUMBER('Status'!$G$6))),"",IF(COUNTIFS('Estimates'!$A$5:$A$2004,$A23,'Estimates'!$B$5:$B$2004,"PPS",'Estimates'!$D$5:$D$2004,'Status'!$G$6,'Estimates'!$H$5:$H$2004,1,'Estimates'!$E$5:$E$2004,'Status'!$E$7)=0,"",IF(COUNTIFS('Estimates'!$A$5:$A$2004,$A23,'Estimates'!$B$5:$B$2004,"PPS",'Estimates'!$D$5:$D$2004,'Status'!$G$6,'Estimates'!$H$5:$H$2004,1,'Estimates'!$E$5:$E$2004,'Status'!$E$7)&gt;1,"DUP",IF(COUNTIFS('Estimates'!$A$5:$A$2004,$A23,'Estimates'!$B$5:$B$2004,"PPS",'Estimates'!$D$5:$D$2004,'Status'!$G$6,'Estimates'!$H$5:$H$2004,1,'Estimates'!$E$5:$E$2004,'Status'!$E$7,'Estimates'!$F$5:$F$2004,"&lt;&gt;")=0,"",SUMIFS('Estimates'!$F$5:$F$2004,'Estimates'!$A$5:$A$2004,$A23,'Estimates'!$B$5:$B$2004,"PPS",'Estimates'!$D$5:$D$2004,'Status'!$G$6,'Estimates'!$H$5:$H$2004,1,'Estimates'!$E$5:$E$2004,'Status'!$E$7)))))</x:f>
      </x:c>
      <x:c r="M23" s="13" t="str">
        <x:f>IF(AND(ISNUMBER(J23),ISNUMBER(K23)),K23-J23,"")</x:f>
      </x:c>
      <x:c r="N23" s="13" t="str">
        <x:f>IF(AND(ISNUMBER(K23),ISNUMBER(L23)),L23-K23,"")</x:f>
      </x:c>
      <x:c r="O23" s="13" t="str">
        <x:f>IF(AND(COUNT(J23:L23)=3,COUNT('Status'!$E$6:$G$6)=3,'Status'!$E$6&gt;'Status'!$F$6,'Status'!$F$6&gt;'Status'!$G$6,'Status'!$G$6&gt;0),ABS(L23-(K23+(K23-J23)*('Status'!$G$6-'Status'!$F$6)/('Status'!$F$6-'Status'!$E$6))),"")</x:f>
      </x:c>
      <x:c r="P23" s="13" t="str">
        <x:f>IF(AND(COUNT(J23:L23)=3,COUNT('Status'!$E$6:$G$6)=3,'Status'!$E$6&gt;'Status'!$F$6,'Status'!$F$6&gt;'Status'!$G$6,'Status'!$G$6&gt;0),('Status'!$F$6*L23-'Status'!$G$6*K23)/('Status'!$F$6-'Status'!$G$6),"")</x:f>
      </x:c>
      <x:c r="Q23" s="20"/>
      <x:c r="R23" s="13" t="str">
        <x:f>IF(COUNTA($A23)=0,"",IF('Status'!$B$6="MPS 1",IF(ISNUMBER(C23),C23,""),IF('Status'!$B$6="MPS 2",IF(ISNUMBER(D23),D23,""),IF('Status'!$B$6="MPS 3",IF(ISNUMBER(E23),E23,""),IF('Status'!$B$6="MPS extrap",IF(ISNUMBER(I23),I23,""),IF('Status'!$B$6="PPS 1",IF(ISNUMBER(J23),J23,""),IF('Status'!$B$6="PPS 2",IF(ISNUMBER(K23),K23,""),IF('Status'!$B$6="PPS 3",IF(ISNUMBER(L23),L23,""),IF('Status'!$B$6="PPS extrap",IF(ISNUMBER(P23),P23,""),IF('Status'!$B$6="Calibrated",IF(ISNUMBER(Q23),Q23,""),""))))))))))</x:f>
      </x:c>
      <x:c r="S23" s="2" t="str">
        <x:f>IF(COUNTA(A23)=0,"",IF(COUNTIFS('Estimates'!$A$5:$A$2004,A23,'Estimates'!$B$5:$B$2004,"MPS",'Estimates'!$H$5:$H$2004,1)+COUNTIFS('Estimates'!$A$5:$A$2004,A23,'Estimates'!$B$5:$B$2004,"PPS",'Estimates'!$H$5:$H$2004,1)&gt;0,1,0))</x:f>
      </x:c>
      <x:c r="T23" s="2" t="str">
        <x:f>IF(COUNTA(A23)=0,"",IF(COUNTIFS($A$6:$A$165,A23)&gt;1,"Duplicate target",IF(COUNTIFS(C23:E23,"DUP")+COUNTIFS(J23:L23,"DUP")&gt;0,"Duplicate accepted run",IF(COUNTIFS('Estimates'!$A$5:$A$2004,A23,'Estimates'!$H$5:$H$2004,1)-COUNTIFS('Estimates'!$A$5:$A$2004,A23,'Estimates'!$H$5:$H$2004,1,'Estimates'!$F$5:$F$2004,"&lt;&gt;")&gt;0,"Accepted value missing",""))))</x:f>
      </x:c>
    </x:row>
    <x:row r="24">
      <x:c r="A24" s="21" t="n">
        <x:v>18</x:v>
      </x:c>
      <x:c r="B24" s="19"/>
      <x:c r="C24" s="13" t="str">
        <x:f>IF(OR(COUNTA($A24)=0,NOT(ISNUMBER('Status'!$E$5))),"",IF(COUNTIFS('Estimates'!$A$5:$A$2004,$A24,'Estimates'!$B$5:$B$2004,"MPS",'Estimates'!$C$5:$C$2004,'Status'!$E$5,'Estimates'!$H$5:$H$2004,1)=0,"",IF(COUNTIFS('Estimates'!$A$5:$A$2004,$A24,'Estimates'!$B$5:$B$2004,"MPS",'Estimates'!$C$5:$C$2004,'Status'!$E$5,'Estimates'!$H$5:$H$2004,1)&gt;1,"DUP",IF(COUNTIFS('Estimates'!$A$5:$A$2004,$A24,'Estimates'!$B$5:$B$2004,"MPS",'Estimates'!$C$5:$C$2004,'Status'!$E$5,'Estimates'!$H$5:$H$2004,1,'Estimates'!$F$5:$F$2004,"&lt;&gt;")=0,"",SUMIFS('Estimates'!$F$5:$F$2004,'Estimates'!$A$5:$A$2004,$A24,'Estimates'!$B$5:$B$2004,"MPS",'Estimates'!$C$5:$C$2004,'Status'!$E$5,'Estimates'!$H$5:$H$2004,1)))))</x:f>
      </x:c>
      <x:c r="D24" s="13" t="str">
        <x:f>IF(OR(COUNTA($A24)=0,NOT(ISNUMBER('Status'!$F$5))),"",IF(COUNTIFS('Estimates'!$A$5:$A$2004,$A24,'Estimates'!$B$5:$B$2004,"MPS",'Estimates'!$C$5:$C$2004,'Status'!$F$5,'Estimates'!$H$5:$H$2004,1)=0,"",IF(COUNTIFS('Estimates'!$A$5:$A$2004,$A24,'Estimates'!$B$5:$B$2004,"MPS",'Estimates'!$C$5:$C$2004,'Status'!$F$5,'Estimates'!$H$5:$H$2004,1)&gt;1,"DUP",IF(COUNTIFS('Estimates'!$A$5:$A$2004,$A24,'Estimates'!$B$5:$B$2004,"MPS",'Estimates'!$C$5:$C$2004,'Status'!$F$5,'Estimates'!$H$5:$H$2004,1,'Estimates'!$F$5:$F$2004,"&lt;&gt;")=0,"",SUMIFS('Estimates'!$F$5:$F$2004,'Estimates'!$A$5:$A$2004,$A24,'Estimates'!$B$5:$B$2004,"MPS",'Estimates'!$C$5:$C$2004,'Status'!$F$5,'Estimates'!$H$5:$H$2004,1)))))</x:f>
      </x:c>
      <x:c r="E24" s="13" t="str">
        <x:f>IF(OR(COUNTA($A24)=0,NOT(ISNUMBER('Status'!$G$5))),"",IF(COUNTIFS('Estimates'!$A$5:$A$2004,$A24,'Estimates'!$B$5:$B$2004,"MPS",'Estimates'!$C$5:$C$2004,'Status'!$G$5,'Estimates'!$H$5:$H$2004,1)=0,"",IF(COUNTIFS('Estimates'!$A$5:$A$2004,$A24,'Estimates'!$B$5:$B$2004,"MPS",'Estimates'!$C$5:$C$2004,'Status'!$G$5,'Estimates'!$H$5:$H$2004,1)&gt;1,"DUP",IF(COUNTIFS('Estimates'!$A$5:$A$2004,$A24,'Estimates'!$B$5:$B$2004,"MPS",'Estimates'!$C$5:$C$2004,'Status'!$G$5,'Estimates'!$H$5:$H$2004,1,'Estimates'!$F$5:$F$2004,"&lt;&gt;")=0,"",SUMIFS('Estimates'!$F$5:$F$2004,'Estimates'!$A$5:$A$2004,$A24,'Estimates'!$B$5:$B$2004,"MPS",'Estimates'!$C$5:$C$2004,'Status'!$G$5,'Estimates'!$H$5:$H$2004,1)))))</x:f>
      </x:c>
      <x:c r="F24" s="13" t="str">
        <x:f>IF(AND(ISNUMBER(C24),ISNUMBER(D24)),D24-C24,"")</x:f>
      </x:c>
      <x:c r="G24" s="13" t="str">
        <x:f>IF(AND(ISNUMBER(D24),ISNUMBER(E24)),E24-D24,"")</x:f>
      </x:c>
      <x:c r="H24" s="13" t="str">
        <x:f>IF(AND(COUNT(C24:E24)=3,COUNT('Status'!$E$5:$G$5)=3,'Status'!$E$5&gt;0,'Status'!$E$5&lt;'Status'!$F$5,'Status'!$F$5&lt;'Status'!$G$5),ABS(E24-(D24+(D24-C24)*((1/'Status'!$G$5)-(1/'Status'!$F$5))/((1/'Status'!$F$5)-(1/'Status'!$E$5)))),"")</x:f>
      </x:c>
      <x:c r="I24" s="13" t="str">
        <x:f>IF(AND(COUNT(C24:E24)=3,COUNT('Status'!$E$5:$G$5)=3,'Status'!$E$5&gt;0,'Status'!$E$5&lt;'Status'!$F$5,'Status'!$F$5&lt;'Status'!$G$5),((1/'Status'!$F$5)*E24-(1/'Status'!$G$5)*D24)/((1/'Status'!$F$5)-(1/'Status'!$G$5)),"")</x:f>
      </x:c>
      <x:c r="J24" s="13" t="str">
        <x:f>IF(OR(COUNTA($A24)=0,NOT(ISNUMBER('Status'!$E$6))),"",IF(COUNTIFS('Estimates'!$A$5:$A$2004,$A24,'Estimates'!$B$5:$B$2004,"PPS",'Estimates'!$D$5:$D$2004,'Status'!$E$6,'Estimates'!$H$5:$H$2004,1,'Estimates'!$E$5:$E$2004,'Status'!$E$7)=0,"",IF(COUNTIFS('Estimates'!$A$5:$A$2004,$A24,'Estimates'!$B$5:$B$2004,"PPS",'Estimates'!$D$5:$D$2004,'Status'!$E$6,'Estimates'!$H$5:$H$2004,1,'Estimates'!$E$5:$E$2004,'Status'!$E$7)&gt;1,"DUP",IF(COUNTIFS('Estimates'!$A$5:$A$2004,$A24,'Estimates'!$B$5:$B$2004,"PPS",'Estimates'!$D$5:$D$2004,'Status'!$E$6,'Estimates'!$H$5:$H$2004,1,'Estimates'!$E$5:$E$2004,'Status'!$E$7,'Estimates'!$F$5:$F$2004,"&lt;&gt;")=0,"",SUMIFS('Estimates'!$F$5:$F$2004,'Estimates'!$A$5:$A$2004,$A24,'Estimates'!$B$5:$B$2004,"PPS",'Estimates'!$D$5:$D$2004,'Status'!$E$6,'Estimates'!$H$5:$H$2004,1,'Estimates'!$E$5:$E$2004,'Status'!$E$7)))))</x:f>
      </x:c>
      <x:c r="K24" s="13" t="str">
        <x:f>IF(OR(COUNTA($A24)=0,NOT(ISNUMBER('Status'!$F$6))),"",IF(COUNTIFS('Estimates'!$A$5:$A$2004,$A24,'Estimates'!$B$5:$B$2004,"PPS",'Estimates'!$D$5:$D$2004,'Status'!$F$6,'Estimates'!$H$5:$H$2004,1,'Estimates'!$E$5:$E$2004,'Status'!$E$7)=0,"",IF(COUNTIFS('Estimates'!$A$5:$A$2004,$A24,'Estimates'!$B$5:$B$2004,"PPS",'Estimates'!$D$5:$D$2004,'Status'!$F$6,'Estimates'!$H$5:$H$2004,1,'Estimates'!$E$5:$E$2004,'Status'!$E$7)&gt;1,"DUP",IF(COUNTIFS('Estimates'!$A$5:$A$2004,$A24,'Estimates'!$B$5:$B$2004,"PPS",'Estimates'!$D$5:$D$2004,'Status'!$F$6,'Estimates'!$H$5:$H$2004,1,'Estimates'!$E$5:$E$2004,'Status'!$E$7,'Estimates'!$F$5:$F$2004,"&lt;&gt;")=0,"",SUMIFS('Estimates'!$F$5:$F$2004,'Estimates'!$A$5:$A$2004,$A24,'Estimates'!$B$5:$B$2004,"PPS",'Estimates'!$D$5:$D$2004,'Status'!$F$6,'Estimates'!$H$5:$H$2004,1,'Estimates'!$E$5:$E$2004,'Status'!$E$7)))))</x:f>
      </x:c>
      <x:c r="L24" s="13" t="str">
        <x:f>IF(OR(COUNTA($A24)=0,NOT(ISNUMBER('Status'!$G$6))),"",IF(COUNTIFS('Estimates'!$A$5:$A$2004,$A24,'Estimates'!$B$5:$B$2004,"PPS",'Estimates'!$D$5:$D$2004,'Status'!$G$6,'Estimates'!$H$5:$H$2004,1,'Estimates'!$E$5:$E$2004,'Status'!$E$7)=0,"",IF(COUNTIFS('Estimates'!$A$5:$A$2004,$A24,'Estimates'!$B$5:$B$2004,"PPS",'Estimates'!$D$5:$D$2004,'Status'!$G$6,'Estimates'!$H$5:$H$2004,1,'Estimates'!$E$5:$E$2004,'Status'!$E$7)&gt;1,"DUP",IF(COUNTIFS('Estimates'!$A$5:$A$2004,$A24,'Estimates'!$B$5:$B$2004,"PPS",'Estimates'!$D$5:$D$2004,'Status'!$G$6,'Estimates'!$H$5:$H$2004,1,'Estimates'!$E$5:$E$2004,'Status'!$E$7,'Estimates'!$F$5:$F$2004,"&lt;&gt;")=0,"",SUMIFS('Estimates'!$F$5:$F$2004,'Estimates'!$A$5:$A$2004,$A24,'Estimates'!$B$5:$B$2004,"PPS",'Estimates'!$D$5:$D$2004,'Status'!$G$6,'Estimates'!$H$5:$H$2004,1,'Estimates'!$E$5:$E$2004,'Status'!$E$7)))))</x:f>
      </x:c>
      <x:c r="M24" s="13" t="str">
        <x:f>IF(AND(ISNUMBER(J24),ISNUMBER(K24)),K24-J24,"")</x:f>
      </x:c>
      <x:c r="N24" s="13" t="str">
        <x:f>IF(AND(ISNUMBER(K24),ISNUMBER(L24)),L24-K24,"")</x:f>
      </x:c>
      <x:c r="O24" s="13" t="str">
        <x:f>IF(AND(COUNT(J24:L24)=3,COUNT('Status'!$E$6:$G$6)=3,'Status'!$E$6&gt;'Status'!$F$6,'Status'!$F$6&gt;'Status'!$G$6,'Status'!$G$6&gt;0),ABS(L24-(K24+(K24-J24)*('Status'!$G$6-'Status'!$F$6)/('Status'!$F$6-'Status'!$E$6))),"")</x:f>
      </x:c>
      <x:c r="P24" s="13" t="str">
        <x:f>IF(AND(COUNT(J24:L24)=3,COUNT('Status'!$E$6:$G$6)=3,'Status'!$E$6&gt;'Status'!$F$6,'Status'!$F$6&gt;'Status'!$G$6,'Status'!$G$6&gt;0),('Status'!$F$6*L24-'Status'!$G$6*K24)/('Status'!$F$6-'Status'!$G$6),"")</x:f>
      </x:c>
      <x:c r="Q24" s="20"/>
      <x:c r="R24" s="13" t="str">
        <x:f>IF(COUNTA($A24)=0,"",IF('Status'!$B$6="MPS 1",IF(ISNUMBER(C24),C24,""),IF('Status'!$B$6="MPS 2",IF(ISNUMBER(D24),D24,""),IF('Status'!$B$6="MPS 3",IF(ISNUMBER(E24),E24,""),IF('Status'!$B$6="MPS extrap",IF(ISNUMBER(I24),I24,""),IF('Status'!$B$6="PPS 1",IF(ISNUMBER(J24),J24,""),IF('Status'!$B$6="PPS 2",IF(ISNUMBER(K24),K24,""),IF('Status'!$B$6="PPS 3",IF(ISNUMBER(L24),L24,""),IF('Status'!$B$6="PPS extrap",IF(ISNUMBER(P24),P24,""),IF('Status'!$B$6="Calibrated",IF(ISNUMBER(Q24),Q24,""),""))))))))))</x:f>
      </x:c>
      <x:c r="S24" s="2" t="str">
        <x:f>IF(COUNTA(A24)=0,"",IF(COUNTIFS('Estimates'!$A$5:$A$2004,A24,'Estimates'!$B$5:$B$2004,"MPS",'Estimates'!$H$5:$H$2004,1)+COUNTIFS('Estimates'!$A$5:$A$2004,A24,'Estimates'!$B$5:$B$2004,"PPS",'Estimates'!$H$5:$H$2004,1)&gt;0,1,0))</x:f>
      </x:c>
      <x:c r="T24" s="2" t="str">
        <x:f>IF(COUNTA(A24)=0,"",IF(COUNTIFS($A$6:$A$165,A24)&gt;1,"Duplicate target",IF(COUNTIFS(C24:E24,"DUP")+COUNTIFS(J24:L24,"DUP")&gt;0,"Duplicate accepted run",IF(COUNTIFS('Estimates'!$A$5:$A$2004,A24,'Estimates'!$H$5:$H$2004,1)-COUNTIFS('Estimates'!$A$5:$A$2004,A24,'Estimates'!$H$5:$H$2004,1,'Estimates'!$F$5:$F$2004,"&lt;&gt;")&gt;0,"Accepted value missing",""))))</x:f>
      </x:c>
    </x:row>
    <x:row r="25">
      <x:c r="A25" s="21" t="n">
        <x:v>19</x:v>
      </x:c>
      <x:c r="B25" s="19"/>
      <x:c r="C25" s="13" t="str">
        <x:f>IF(OR(COUNTA($A25)=0,NOT(ISNUMBER('Status'!$E$5))),"",IF(COUNTIFS('Estimates'!$A$5:$A$2004,$A25,'Estimates'!$B$5:$B$2004,"MPS",'Estimates'!$C$5:$C$2004,'Status'!$E$5,'Estimates'!$H$5:$H$2004,1)=0,"",IF(COUNTIFS('Estimates'!$A$5:$A$2004,$A25,'Estimates'!$B$5:$B$2004,"MPS",'Estimates'!$C$5:$C$2004,'Status'!$E$5,'Estimates'!$H$5:$H$2004,1)&gt;1,"DUP",IF(COUNTIFS('Estimates'!$A$5:$A$2004,$A25,'Estimates'!$B$5:$B$2004,"MPS",'Estimates'!$C$5:$C$2004,'Status'!$E$5,'Estimates'!$H$5:$H$2004,1,'Estimates'!$F$5:$F$2004,"&lt;&gt;")=0,"",SUMIFS('Estimates'!$F$5:$F$2004,'Estimates'!$A$5:$A$2004,$A25,'Estimates'!$B$5:$B$2004,"MPS",'Estimates'!$C$5:$C$2004,'Status'!$E$5,'Estimates'!$H$5:$H$2004,1)))))</x:f>
      </x:c>
      <x:c r="D25" s="13" t="str">
        <x:f>IF(OR(COUNTA($A25)=0,NOT(ISNUMBER('Status'!$F$5))),"",IF(COUNTIFS('Estimates'!$A$5:$A$2004,$A25,'Estimates'!$B$5:$B$2004,"MPS",'Estimates'!$C$5:$C$2004,'Status'!$F$5,'Estimates'!$H$5:$H$2004,1)=0,"",IF(COUNTIFS('Estimates'!$A$5:$A$2004,$A25,'Estimates'!$B$5:$B$2004,"MPS",'Estimates'!$C$5:$C$2004,'Status'!$F$5,'Estimates'!$H$5:$H$2004,1)&gt;1,"DUP",IF(COUNTIFS('Estimates'!$A$5:$A$2004,$A25,'Estimates'!$B$5:$B$2004,"MPS",'Estimates'!$C$5:$C$2004,'Status'!$F$5,'Estimates'!$H$5:$H$2004,1,'Estimates'!$F$5:$F$2004,"&lt;&gt;")=0,"",SUMIFS('Estimates'!$F$5:$F$2004,'Estimates'!$A$5:$A$2004,$A25,'Estimates'!$B$5:$B$2004,"MPS",'Estimates'!$C$5:$C$2004,'Status'!$F$5,'Estimates'!$H$5:$H$2004,1)))))</x:f>
      </x:c>
      <x:c r="E25" s="13" t="str">
        <x:f>IF(OR(COUNTA($A25)=0,NOT(ISNUMBER('Status'!$G$5))),"",IF(COUNTIFS('Estimates'!$A$5:$A$2004,$A25,'Estimates'!$B$5:$B$2004,"MPS",'Estimates'!$C$5:$C$2004,'Status'!$G$5,'Estimates'!$H$5:$H$2004,1)=0,"",IF(COUNTIFS('Estimates'!$A$5:$A$2004,$A25,'Estimates'!$B$5:$B$2004,"MPS",'Estimates'!$C$5:$C$2004,'Status'!$G$5,'Estimates'!$H$5:$H$2004,1)&gt;1,"DUP",IF(COUNTIFS('Estimates'!$A$5:$A$2004,$A25,'Estimates'!$B$5:$B$2004,"MPS",'Estimates'!$C$5:$C$2004,'Status'!$G$5,'Estimates'!$H$5:$H$2004,1,'Estimates'!$F$5:$F$2004,"&lt;&gt;")=0,"",SUMIFS('Estimates'!$F$5:$F$2004,'Estimates'!$A$5:$A$2004,$A25,'Estimates'!$B$5:$B$2004,"MPS",'Estimates'!$C$5:$C$2004,'Status'!$G$5,'Estimates'!$H$5:$H$2004,1)))))</x:f>
      </x:c>
      <x:c r="F25" s="13" t="str">
        <x:f>IF(AND(ISNUMBER(C25),ISNUMBER(D25)),D25-C25,"")</x:f>
      </x:c>
      <x:c r="G25" s="13" t="str">
        <x:f>IF(AND(ISNUMBER(D25),ISNUMBER(E25)),E25-D25,"")</x:f>
      </x:c>
      <x:c r="H25" s="13" t="str">
        <x:f>IF(AND(COUNT(C25:E25)=3,COUNT('Status'!$E$5:$G$5)=3,'Status'!$E$5&gt;0,'Status'!$E$5&lt;'Status'!$F$5,'Status'!$F$5&lt;'Status'!$G$5),ABS(E25-(D25+(D25-C25)*((1/'Status'!$G$5)-(1/'Status'!$F$5))/((1/'Status'!$F$5)-(1/'Status'!$E$5)))),"")</x:f>
      </x:c>
      <x:c r="I25" s="13" t="str">
        <x:f>IF(AND(COUNT(C25:E25)=3,COUNT('Status'!$E$5:$G$5)=3,'Status'!$E$5&gt;0,'Status'!$E$5&lt;'Status'!$F$5,'Status'!$F$5&lt;'Status'!$G$5),((1/'Status'!$F$5)*E25-(1/'Status'!$G$5)*D25)/((1/'Status'!$F$5)-(1/'Status'!$G$5)),"")</x:f>
      </x:c>
      <x:c r="J25" s="13" t="str">
        <x:f>IF(OR(COUNTA($A25)=0,NOT(ISNUMBER('Status'!$E$6))),"",IF(COUNTIFS('Estimates'!$A$5:$A$2004,$A25,'Estimates'!$B$5:$B$2004,"PPS",'Estimates'!$D$5:$D$2004,'Status'!$E$6,'Estimates'!$H$5:$H$2004,1,'Estimates'!$E$5:$E$2004,'Status'!$E$7)=0,"",IF(COUNTIFS('Estimates'!$A$5:$A$2004,$A25,'Estimates'!$B$5:$B$2004,"PPS",'Estimates'!$D$5:$D$2004,'Status'!$E$6,'Estimates'!$H$5:$H$2004,1,'Estimates'!$E$5:$E$2004,'Status'!$E$7)&gt;1,"DUP",IF(COUNTIFS('Estimates'!$A$5:$A$2004,$A25,'Estimates'!$B$5:$B$2004,"PPS",'Estimates'!$D$5:$D$2004,'Status'!$E$6,'Estimates'!$H$5:$H$2004,1,'Estimates'!$E$5:$E$2004,'Status'!$E$7,'Estimates'!$F$5:$F$2004,"&lt;&gt;")=0,"",SUMIFS('Estimates'!$F$5:$F$2004,'Estimates'!$A$5:$A$2004,$A25,'Estimates'!$B$5:$B$2004,"PPS",'Estimates'!$D$5:$D$2004,'Status'!$E$6,'Estimates'!$H$5:$H$2004,1,'Estimates'!$E$5:$E$2004,'Status'!$E$7)))))</x:f>
      </x:c>
      <x:c r="K25" s="13" t="str">
        <x:f>IF(OR(COUNTA($A25)=0,NOT(ISNUMBER('Status'!$F$6))),"",IF(COUNTIFS('Estimates'!$A$5:$A$2004,$A25,'Estimates'!$B$5:$B$2004,"PPS",'Estimates'!$D$5:$D$2004,'Status'!$F$6,'Estimates'!$H$5:$H$2004,1,'Estimates'!$E$5:$E$2004,'Status'!$E$7)=0,"",IF(COUNTIFS('Estimates'!$A$5:$A$2004,$A25,'Estimates'!$B$5:$B$2004,"PPS",'Estimates'!$D$5:$D$2004,'Status'!$F$6,'Estimates'!$H$5:$H$2004,1,'Estimates'!$E$5:$E$2004,'Status'!$E$7)&gt;1,"DUP",IF(COUNTIFS('Estimates'!$A$5:$A$2004,$A25,'Estimates'!$B$5:$B$2004,"PPS",'Estimates'!$D$5:$D$2004,'Status'!$F$6,'Estimates'!$H$5:$H$2004,1,'Estimates'!$E$5:$E$2004,'Status'!$E$7,'Estimates'!$F$5:$F$2004,"&lt;&gt;")=0,"",SUMIFS('Estimates'!$F$5:$F$2004,'Estimates'!$A$5:$A$2004,$A25,'Estimates'!$B$5:$B$2004,"PPS",'Estimates'!$D$5:$D$2004,'Status'!$F$6,'Estimates'!$H$5:$H$2004,1,'Estimates'!$E$5:$E$2004,'Status'!$E$7)))))</x:f>
      </x:c>
      <x:c r="L25" s="13" t="str">
        <x:f>IF(OR(COUNTA($A25)=0,NOT(ISNUMBER('Status'!$G$6))),"",IF(COUNTIFS('Estimates'!$A$5:$A$2004,$A25,'Estimates'!$B$5:$B$2004,"PPS",'Estimates'!$D$5:$D$2004,'Status'!$G$6,'Estimates'!$H$5:$H$2004,1,'Estimates'!$E$5:$E$2004,'Status'!$E$7)=0,"",IF(COUNTIFS('Estimates'!$A$5:$A$2004,$A25,'Estimates'!$B$5:$B$2004,"PPS",'Estimates'!$D$5:$D$2004,'Status'!$G$6,'Estimates'!$H$5:$H$2004,1,'Estimates'!$E$5:$E$2004,'Status'!$E$7)&gt;1,"DUP",IF(COUNTIFS('Estimates'!$A$5:$A$2004,$A25,'Estimates'!$B$5:$B$2004,"PPS",'Estimates'!$D$5:$D$2004,'Status'!$G$6,'Estimates'!$H$5:$H$2004,1,'Estimates'!$E$5:$E$2004,'Status'!$E$7,'Estimates'!$F$5:$F$2004,"&lt;&gt;")=0,"",SUMIFS('Estimates'!$F$5:$F$2004,'Estimates'!$A$5:$A$2004,$A25,'Estimates'!$B$5:$B$2004,"PPS",'Estimates'!$D$5:$D$2004,'Status'!$G$6,'Estimates'!$H$5:$H$2004,1,'Estimates'!$E$5:$E$2004,'Status'!$E$7)))))</x:f>
      </x:c>
      <x:c r="M25" s="13" t="str">
        <x:f>IF(AND(ISNUMBER(J25),ISNUMBER(K25)),K25-J25,"")</x:f>
      </x:c>
      <x:c r="N25" s="13" t="str">
        <x:f>IF(AND(ISNUMBER(K25),ISNUMBER(L25)),L25-K25,"")</x:f>
      </x:c>
      <x:c r="O25" s="13" t="str">
        <x:f>IF(AND(COUNT(J25:L25)=3,COUNT('Status'!$E$6:$G$6)=3,'Status'!$E$6&gt;'Status'!$F$6,'Status'!$F$6&gt;'Status'!$G$6,'Status'!$G$6&gt;0),ABS(L25-(K25+(K25-J25)*('Status'!$G$6-'Status'!$F$6)/('Status'!$F$6-'Status'!$E$6))),"")</x:f>
      </x:c>
      <x:c r="P25" s="13" t="str">
        <x:f>IF(AND(COUNT(J25:L25)=3,COUNT('Status'!$E$6:$G$6)=3,'Status'!$E$6&gt;'Status'!$F$6,'Status'!$F$6&gt;'Status'!$G$6,'Status'!$G$6&gt;0),('Status'!$F$6*L25-'Status'!$G$6*K25)/('Status'!$F$6-'Status'!$G$6),"")</x:f>
      </x:c>
      <x:c r="Q25" s="20"/>
      <x:c r="R25" s="13" t="str">
        <x:f>IF(COUNTA($A25)=0,"",IF('Status'!$B$6="MPS 1",IF(ISNUMBER(C25),C25,""),IF('Status'!$B$6="MPS 2",IF(ISNUMBER(D25),D25,""),IF('Status'!$B$6="MPS 3",IF(ISNUMBER(E25),E25,""),IF('Status'!$B$6="MPS extrap",IF(ISNUMBER(I25),I25,""),IF('Status'!$B$6="PPS 1",IF(ISNUMBER(J25),J25,""),IF('Status'!$B$6="PPS 2",IF(ISNUMBER(K25),K25,""),IF('Status'!$B$6="PPS 3",IF(ISNUMBER(L25),L25,""),IF('Status'!$B$6="PPS extrap",IF(ISNUMBER(P25),P25,""),IF('Status'!$B$6="Calibrated",IF(ISNUMBER(Q25),Q25,""),""))))))))))</x:f>
      </x:c>
      <x:c r="S25" s="2" t="str">
        <x:f>IF(COUNTA(A25)=0,"",IF(COUNTIFS('Estimates'!$A$5:$A$2004,A25,'Estimates'!$B$5:$B$2004,"MPS",'Estimates'!$H$5:$H$2004,1)+COUNTIFS('Estimates'!$A$5:$A$2004,A25,'Estimates'!$B$5:$B$2004,"PPS",'Estimates'!$H$5:$H$2004,1)&gt;0,1,0))</x:f>
      </x:c>
      <x:c r="T25" s="2" t="str">
        <x:f>IF(COUNTA(A25)=0,"",IF(COUNTIFS($A$6:$A$165,A25)&gt;1,"Duplicate target",IF(COUNTIFS(C25:E25,"DUP")+COUNTIFS(J25:L25,"DUP")&gt;0,"Duplicate accepted run",IF(COUNTIFS('Estimates'!$A$5:$A$2004,A25,'Estimates'!$H$5:$H$2004,1)-COUNTIFS('Estimates'!$A$5:$A$2004,A25,'Estimates'!$H$5:$H$2004,1,'Estimates'!$F$5:$F$2004,"&lt;&gt;")&gt;0,"Accepted value missing",""))))</x:f>
      </x:c>
    </x:row>
    <x:row r="26">
      <x:c r="A26" s="21" t="n">
        <x:v>20</x:v>
      </x:c>
      <x:c r="B26" s="19"/>
      <x:c r="C26" s="13" t="str">
        <x:f>IF(OR(COUNTA($A26)=0,NOT(ISNUMBER('Status'!$E$5))),"",IF(COUNTIFS('Estimates'!$A$5:$A$2004,$A26,'Estimates'!$B$5:$B$2004,"MPS",'Estimates'!$C$5:$C$2004,'Status'!$E$5,'Estimates'!$H$5:$H$2004,1)=0,"",IF(COUNTIFS('Estimates'!$A$5:$A$2004,$A26,'Estimates'!$B$5:$B$2004,"MPS",'Estimates'!$C$5:$C$2004,'Status'!$E$5,'Estimates'!$H$5:$H$2004,1)&gt;1,"DUP",IF(COUNTIFS('Estimates'!$A$5:$A$2004,$A26,'Estimates'!$B$5:$B$2004,"MPS",'Estimates'!$C$5:$C$2004,'Status'!$E$5,'Estimates'!$H$5:$H$2004,1,'Estimates'!$F$5:$F$2004,"&lt;&gt;")=0,"",SUMIFS('Estimates'!$F$5:$F$2004,'Estimates'!$A$5:$A$2004,$A26,'Estimates'!$B$5:$B$2004,"MPS",'Estimates'!$C$5:$C$2004,'Status'!$E$5,'Estimates'!$H$5:$H$2004,1)))))</x:f>
      </x:c>
      <x:c r="D26" s="13" t="str">
        <x:f>IF(OR(COUNTA($A26)=0,NOT(ISNUMBER('Status'!$F$5))),"",IF(COUNTIFS('Estimates'!$A$5:$A$2004,$A26,'Estimates'!$B$5:$B$2004,"MPS",'Estimates'!$C$5:$C$2004,'Status'!$F$5,'Estimates'!$H$5:$H$2004,1)=0,"",IF(COUNTIFS('Estimates'!$A$5:$A$2004,$A26,'Estimates'!$B$5:$B$2004,"MPS",'Estimates'!$C$5:$C$2004,'Status'!$F$5,'Estimates'!$H$5:$H$2004,1)&gt;1,"DUP",IF(COUNTIFS('Estimates'!$A$5:$A$2004,$A26,'Estimates'!$B$5:$B$2004,"MPS",'Estimates'!$C$5:$C$2004,'Status'!$F$5,'Estimates'!$H$5:$H$2004,1,'Estimates'!$F$5:$F$2004,"&lt;&gt;")=0,"",SUMIFS('Estimates'!$F$5:$F$2004,'Estimates'!$A$5:$A$2004,$A26,'Estimates'!$B$5:$B$2004,"MPS",'Estimates'!$C$5:$C$2004,'Status'!$F$5,'Estimates'!$H$5:$H$2004,1)))))</x:f>
      </x:c>
      <x:c r="E26" s="13" t="str">
        <x:f>IF(OR(COUNTA($A26)=0,NOT(ISNUMBER('Status'!$G$5))),"",IF(COUNTIFS('Estimates'!$A$5:$A$2004,$A26,'Estimates'!$B$5:$B$2004,"MPS",'Estimates'!$C$5:$C$2004,'Status'!$G$5,'Estimates'!$H$5:$H$2004,1)=0,"",IF(COUNTIFS('Estimates'!$A$5:$A$2004,$A26,'Estimates'!$B$5:$B$2004,"MPS",'Estimates'!$C$5:$C$2004,'Status'!$G$5,'Estimates'!$H$5:$H$2004,1)&gt;1,"DUP",IF(COUNTIFS('Estimates'!$A$5:$A$2004,$A26,'Estimates'!$B$5:$B$2004,"MPS",'Estimates'!$C$5:$C$2004,'Status'!$G$5,'Estimates'!$H$5:$H$2004,1,'Estimates'!$F$5:$F$2004,"&lt;&gt;")=0,"",SUMIFS('Estimates'!$F$5:$F$2004,'Estimates'!$A$5:$A$2004,$A26,'Estimates'!$B$5:$B$2004,"MPS",'Estimates'!$C$5:$C$2004,'Status'!$G$5,'Estimates'!$H$5:$H$2004,1)))))</x:f>
      </x:c>
      <x:c r="F26" s="13" t="str">
        <x:f>IF(AND(ISNUMBER(C26),ISNUMBER(D26)),D26-C26,"")</x:f>
      </x:c>
      <x:c r="G26" s="13" t="str">
        <x:f>IF(AND(ISNUMBER(D26),ISNUMBER(E26)),E26-D26,"")</x:f>
      </x:c>
      <x:c r="H26" s="13" t="str">
        <x:f>IF(AND(COUNT(C26:E26)=3,COUNT('Status'!$E$5:$G$5)=3,'Status'!$E$5&gt;0,'Status'!$E$5&lt;'Status'!$F$5,'Status'!$F$5&lt;'Status'!$G$5),ABS(E26-(D26+(D26-C26)*((1/'Status'!$G$5)-(1/'Status'!$F$5))/((1/'Status'!$F$5)-(1/'Status'!$E$5)))),"")</x:f>
      </x:c>
      <x:c r="I26" s="13" t="str">
        <x:f>IF(AND(COUNT(C26:E26)=3,COUNT('Status'!$E$5:$G$5)=3,'Status'!$E$5&gt;0,'Status'!$E$5&lt;'Status'!$F$5,'Status'!$F$5&lt;'Status'!$G$5),((1/'Status'!$F$5)*E26-(1/'Status'!$G$5)*D26)/((1/'Status'!$F$5)-(1/'Status'!$G$5)),"")</x:f>
      </x:c>
      <x:c r="J26" s="13" t="str">
        <x:f>IF(OR(COUNTA($A26)=0,NOT(ISNUMBER('Status'!$E$6))),"",IF(COUNTIFS('Estimates'!$A$5:$A$2004,$A26,'Estimates'!$B$5:$B$2004,"PPS",'Estimates'!$D$5:$D$2004,'Status'!$E$6,'Estimates'!$H$5:$H$2004,1,'Estimates'!$E$5:$E$2004,'Status'!$E$7)=0,"",IF(COUNTIFS('Estimates'!$A$5:$A$2004,$A26,'Estimates'!$B$5:$B$2004,"PPS",'Estimates'!$D$5:$D$2004,'Status'!$E$6,'Estimates'!$H$5:$H$2004,1,'Estimates'!$E$5:$E$2004,'Status'!$E$7)&gt;1,"DUP",IF(COUNTIFS('Estimates'!$A$5:$A$2004,$A26,'Estimates'!$B$5:$B$2004,"PPS",'Estimates'!$D$5:$D$2004,'Status'!$E$6,'Estimates'!$H$5:$H$2004,1,'Estimates'!$E$5:$E$2004,'Status'!$E$7,'Estimates'!$F$5:$F$2004,"&lt;&gt;")=0,"",SUMIFS('Estimates'!$F$5:$F$2004,'Estimates'!$A$5:$A$2004,$A26,'Estimates'!$B$5:$B$2004,"PPS",'Estimates'!$D$5:$D$2004,'Status'!$E$6,'Estimates'!$H$5:$H$2004,1,'Estimates'!$E$5:$E$2004,'Status'!$E$7)))))</x:f>
      </x:c>
      <x:c r="K26" s="13" t="str">
        <x:f>IF(OR(COUNTA($A26)=0,NOT(ISNUMBER('Status'!$F$6))),"",IF(COUNTIFS('Estimates'!$A$5:$A$2004,$A26,'Estimates'!$B$5:$B$2004,"PPS",'Estimates'!$D$5:$D$2004,'Status'!$F$6,'Estimates'!$H$5:$H$2004,1,'Estimates'!$E$5:$E$2004,'Status'!$E$7)=0,"",IF(COUNTIFS('Estimates'!$A$5:$A$2004,$A26,'Estimates'!$B$5:$B$2004,"PPS",'Estimates'!$D$5:$D$2004,'Status'!$F$6,'Estimates'!$H$5:$H$2004,1,'Estimates'!$E$5:$E$2004,'Status'!$E$7)&gt;1,"DUP",IF(COUNTIFS('Estimates'!$A$5:$A$2004,$A26,'Estimates'!$B$5:$B$2004,"PPS",'Estimates'!$D$5:$D$2004,'Status'!$F$6,'Estimates'!$H$5:$H$2004,1,'Estimates'!$E$5:$E$2004,'Status'!$E$7,'Estimates'!$F$5:$F$2004,"&lt;&gt;")=0,"",SUMIFS('Estimates'!$F$5:$F$2004,'Estimates'!$A$5:$A$2004,$A26,'Estimates'!$B$5:$B$2004,"PPS",'Estimates'!$D$5:$D$2004,'Status'!$F$6,'Estimates'!$H$5:$H$2004,1,'Estimates'!$E$5:$E$2004,'Status'!$E$7)))))</x:f>
      </x:c>
      <x:c r="L26" s="13" t="str">
        <x:f>IF(OR(COUNTA($A26)=0,NOT(ISNUMBER('Status'!$G$6))),"",IF(COUNTIFS('Estimates'!$A$5:$A$2004,$A26,'Estimates'!$B$5:$B$2004,"PPS",'Estimates'!$D$5:$D$2004,'Status'!$G$6,'Estimates'!$H$5:$H$2004,1,'Estimates'!$E$5:$E$2004,'Status'!$E$7)=0,"",IF(COUNTIFS('Estimates'!$A$5:$A$2004,$A26,'Estimates'!$B$5:$B$2004,"PPS",'Estimates'!$D$5:$D$2004,'Status'!$G$6,'Estimates'!$H$5:$H$2004,1,'Estimates'!$E$5:$E$2004,'Status'!$E$7)&gt;1,"DUP",IF(COUNTIFS('Estimates'!$A$5:$A$2004,$A26,'Estimates'!$B$5:$B$2004,"PPS",'Estimates'!$D$5:$D$2004,'Status'!$G$6,'Estimates'!$H$5:$H$2004,1,'Estimates'!$E$5:$E$2004,'Status'!$E$7,'Estimates'!$F$5:$F$2004,"&lt;&gt;")=0,"",SUMIFS('Estimates'!$F$5:$F$2004,'Estimates'!$A$5:$A$2004,$A26,'Estimates'!$B$5:$B$2004,"PPS",'Estimates'!$D$5:$D$2004,'Status'!$G$6,'Estimates'!$H$5:$H$2004,1,'Estimates'!$E$5:$E$2004,'Status'!$E$7)))))</x:f>
      </x:c>
      <x:c r="M26" s="13" t="str">
        <x:f>IF(AND(ISNUMBER(J26),ISNUMBER(K26)),K26-J26,"")</x:f>
      </x:c>
      <x:c r="N26" s="13" t="str">
        <x:f>IF(AND(ISNUMBER(K26),ISNUMBER(L26)),L26-K26,"")</x:f>
      </x:c>
      <x:c r="O26" s="13" t="str">
        <x:f>IF(AND(COUNT(J26:L26)=3,COUNT('Status'!$E$6:$G$6)=3,'Status'!$E$6&gt;'Status'!$F$6,'Status'!$F$6&gt;'Status'!$G$6,'Status'!$G$6&gt;0),ABS(L26-(K26+(K26-J26)*('Status'!$G$6-'Status'!$F$6)/('Status'!$F$6-'Status'!$E$6))),"")</x:f>
      </x:c>
      <x:c r="P26" s="13" t="str">
        <x:f>IF(AND(COUNT(J26:L26)=3,COUNT('Status'!$E$6:$G$6)=3,'Status'!$E$6&gt;'Status'!$F$6,'Status'!$F$6&gt;'Status'!$G$6,'Status'!$G$6&gt;0),('Status'!$F$6*L26-'Status'!$G$6*K26)/('Status'!$F$6-'Status'!$G$6),"")</x:f>
      </x:c>
      <x:c r="Q26" s="20"/>
      <x:c r="R26" s="13" t="str">
        <x:f>IF(COUNTA($A26)=0,"",IF('Status'!$B$6="MPS 1",IF(ISNUMBER(C26),C26,""),IF('Status'!$B$6="MPS 2",IF(ISNUMBER(D26),D26,""),IF('Status'!$B$6="MPS 3",IF(ISNUMBER(E26),E26,""),IF('Status'!$B$6="MPS extrap",IF(ISNUMBER(I26),I26,""),IF('Status'!$B$6="PPS 1",IF(ISNUMBER(J26),J26,""),IF('Status'!$B$6="PPS 2",IF(ISNUMBER(K26),K26,""),IF('Status'!$B$6="PPS 3",IF(ISNUMBER(L26),L26,""),IF('Status'!$B$6="PPS extrap",IF(ISNUMBER(P26),P26,""),IF('Status'!$B$6="Calibrated",IF(ISNUMBER(Q26),Q26,""),""))))))))))</x:f>
      </x:c>
      <x:c r="S26" s="2" t="str">
        <x:f>IF(COUNTA(A26)=0,"",IF(COUNTIFS('Estimates'!$A$5:$A$2004,A26,'Estimates'!$B$5:$B$2004,"MPS",'Estimates'!$H$5:$H$2004,1)+COUNTIFS('Estimates'!$A$5:$A$2004,A26,'Estimates'!$B$5:$B$2004,"PPS",'Estimates'!$H$5:$H$2004,1)&gt;0,1,0))</x:f>
      </x:c>
      <x:c r="T26" s="2" t="str">
        <x:f>IF(COUNTA(A26)=0,"",IF(COUNTIFS($A$6:$A$165,A26)&gt;1,"Duplicate target",IF(COUNTIFS(C26:E26,"DUP")+COUNTIFS(J26:L26,"DUP")&gt;0,"Duplicate accepted run",IF(COUNTIFS('Estimates'!$A$5:$A$2004,A26,'Estimates'!$H$5:$H$2004,1)-COUNTIFS('Estimates'!$A$5:$A$2004,A26,'Estimates'!$H$5:$H$2004,1,'Estimates'!$F$5:$F$2004,"&lt;&gt;")&gt;0,"Accepted value missing",""))))</x:f>
      </x:c>
    </x:row>
    <x:row r="27">
      <x:c r="A27" s="21" t="n">
        <x:v>21</x:v>
      </x:c>
      <x:c r="B27" s="19"/>
      <x:c r="C27" s="13" t="str">
        <x:f>IF(OR(COUNTA($A27)=0,NOT(ISNUMBER('Status'!$E$5))),"",IF(COUNTIFS('Estimates'!$A$5:$A$2004,$A27,'Estimates'!$B$5:$B$2004,"MPS",'Estimates'!$C$5:$C$2004,'Status'!$E$5,'Estimates'!$H$5:$H$2004,1)=0,"",IF(COUNTIFS('Estimates'!$A$5:$A$2004,$A27,'Estimates'!$B$5:$B$2004,"MPS",'Estimates'!$C$5:$C$2004,'Status'!$E$5,'Estimates'!$H$5:$H$2004,1)&gt;1,"DUP",IF(COUNTIFS('Estimates'!$A$5:$A$2004,$A27,'Estimates'!$B$5:$B$2004,"MPS",'Estimates'!$C$5:$C$2004,'Status'!$E$5,'Estimates'!$H$5:$H$2004,1,'Estimates'!$F$5:$F$2004,"&lt;&gt;")=0,"",SUMIFS('Estimates'!$F$5:$F$2004,'Estimates'!$A$5:$A$2004,$A27,'Estimates'!$B$5:$B$2004,"MPS",'Estimates'!$C$5:$C$2004,'Status'!$E$5,'Estimates'!$H$5:$H$2004,1)))))</x:f>
      </x:c>
      <x:c r="D27" s="13" t="str">
        <x:f>IF(OR(COUNTA($A27)=0,NOT(ISNUMBER('Status'!$F$5))),"",IF(COUNTIFS('Estimates'!$A$5:$A$2004,$A27,'Estimates'!$B$5:$B$2004,"MPS",'Estimates'!$C$5:$C$2004,'Status'!$F$5,'Estimates'!$H$5:$H$2004,1)=0,"",IF(COUNTIFS('Estimates'!$A$5:$A$2004,$A27,'Estimates'!$B$5:$B$2004,"MPS",'Estimates'!$C$5:$C$2004,'Status'!$F$5,'Estimates'!$H$5:$H$2004,1)&gt;1,"DUP",IF(COUNTIFS('Estimates'!$A$5:$A$2004,$A27,'Estimates'!$B$5:$B$2004,"MPS",'Estimates'!$C$5:$C$2004,'Status'!$F$5,'Estimates'!$H$5:$H$2004,1,'Estimates'!$F$5:$F$2004,"&lt;&gt;")=0,"",SUMIFS('Estimates'!$F$5:$F$2004,'Estimates'!$A$5:$A$2004,$A27,'Estimates'!$B$5:$B$2004,"MPS",'Estimates'!$C$5:$C$2004,'Status'!$F$5,'Estimates'!$H$5:$H$2004,1)))))</x:f>
      </x:c>
      <x:c r="E27" s="13" t="str">
        <x:f>IF(OR(COUNTA($A27)=0,NOT(ISNUMBER('Status'!$G$5))),"",IF(COUNTIFS('Estimates'!$A$5:$A$2004,$A27,'Estimates'!$B$5:$B$2004,"MPS",'Estimates'!$C$5:$C$2004,'Status'!$G$5,'Estimates'!$H$5:$H$2004,1)=0,"",IF(COUNTIFS('Estimates'!$A$5:$A$2004,$A27,'Estimates'!$B$5:$B$2004,"MPS",'Estimates'!$C$5:$C$2004,'Status'!$G$5,'Estimates'!$H$5:$H$2004,1)&gt;1,"DUP",IF(COUNTIFS('Estimates'!$A$5:$A$2004,$A27,'Estimates'!$B$5:$B$2004,"MPS",'Estimates'!$C$5:$C$2004,'Status'!$G$5,'Estimates'!$H$5:$H$2004,1,'Estimates'!$F$5:$F$2004,"&lt;&gt;")=0,"",SUMIFS('Estimates'!$F$5:$F$2004,'Estimates'!$A$5:$A$2004,$A27,'Estimates'!$B$5:$B$2004,"MPS",'Estimates'!$C$5:$C$2004,'Status'!$G$5,'Estimates'!$H$5:$H$2004,1)))))</x:f>
      </x:c>
      <x:c r="F27" s="13" t="str">
        <x:f>IF(AND(ISNUMBER(C27),ISNUMBER(D27)),D27-C27,"")</x:f>
      </x:c>
      <x:c r="G27" s="13" t="str">
        <x:f>IF(AND(ISNUMBER(D27),ISNUMBER(E27)),E27-D27,"")</x:f>
      </x:c>
      <x:c r="H27" s="13" t="str">
        <x:f>IF(AND(COUNT(C27:E27)=3,COUNT('Status'!$E$5:$G$5)=3,'Status'!$E$5&gt;0,'Status'!$E$5&lt;'Status'!$F$5,'Status'!$F$5&lt;'Status'!$G$5),ABS(E27-(D27+(D27-C27)*((1/'Status'!$G$5)-(1/'Status'!$F$5))/((1/'Status'!$F$5)-(1/'Status'!$E$5)))),"")</x:f>
      </x:c>
      <x:c r="I27" s="13" t="str">
        <x:f>IF(AND(COUNT(C27:E27)=3,COUNT('Status'!$E$5:$G$5)=3,'Status'!$E$5&gt;0,'Status'!$E$5&lt;'Status'!$F$5,'Status'!$F$5&lt;'Status'!$G$5),((1/'Status'!$F$5)*E27-(1/'Status'!$G$5)*D27)/((1/'Status'!$F$5)-(1/'Status'!$G$5)),"")</x:f>
      </x:c>
      <x:c r="J27" s="13" t="str">
        <x:f>IF(OR(COUNTA($A27)=0,NOT(ISNUMBER('Status'!$E$6))),"",IF(COUNTIFS('Estimates'!$A$5:$A$2004,$A27,'Estimates'!$B$5:$B$2004,"PPS",'Estimates'!$D$5:$D$2004,'Status'!$E$6,'Estimates'!$H$5:$H$2004,1,'Estimates'!$E$5:$E$2004,'Status'!$E$7)=0,"",IF(COUNTIFS('Estimates'!$A$5:$A$2004,$A27,'Estimates'!$B$5:$B$2004,"PPS",'Estimates'!$D$5:$D$2004,'Status'!$E$6,'Estimates'!$H$5:$H$2004,1,'Estimates'!$E$5:$E$2004,'Status'!$E$7)&gt;1,"DUP",IF(COUNTIFS('Estimates'!$A$5:$A$2004,$A27,'Estimates'!$B$5:$B$2004,"PPS",'Estimates'!$D$5:$D$2004,'Status'!$E$6,'Estimates'!$H$5:$H$2004,1,'Estimates'!$E$5:$E$2004,'Status'!$E$7,'Estimates'!$F$5:$F$2004,"&lt;&gt;")=0,"",SUMIFS('Estimates'!$F$5:$F$2004,'Estimates'!$A$5:$A$2004,$A27,'Estimates'!$B$5:$B$2004,"PPS",'Estimates'!$D$5:$D$2004,'Status'!$E$6,'Estimates'!$H$5:$H$2004,1,'Estimates'!$E$5:$E$2004,'Status'!$E$7)))))</x:f>
      </x:c>
      <x:c r="K27" s="13" t="str">
        <x:f>IF(OR(COUNTA($A27)=0,NOT(ISNUMBER('Status'!$F$6))),"",IF(COUNTIFS('Estimates'!$A$5:$A$2004,$A27,'Estimates'!$B$5:$B$2004,"PPS",'Estimates'!$D$5:$D$2004,'Status'!$F$6,'Estimates'!$H$5:$H$2004,1,'Estimates'!$E$5:$E$2004,'Status'!$E$7)=0,"",IF(COUNTIFS('Estimates'!$A$5:$A$2004,$A27,'Estimates'!$B$5:$B$2004,"PPS",'Estimates'!$D$5:$D$2004,'Status'!$F$6,'Estimates'!$H$5:$H$2004,1,'Estimates'!$E$5:$E$2004,'Status'!$E$7)&gt;1,"DUP",IF(COUNTIFS('Estimates'!$A$5:$A$2004,$A27,'Estimates'!$B$5:$B$2004,"PPS",'Estimates'!$D$5:$D$2004,'Status'!$F$6,'Estimates'!$H$5:$H$2004,1,'Estimates'!$E$5:$E$2004,'Status'!$E$7,'Estimates'!$F$5:$F$2004,"&lt;&gt;")=0,"",SUMIFS('Estimates'!$F$5:$F$2004,'Estimates'!$A$5:$A$2004,$A27,'Estimates'!$B$5:$B$2004,"PPS",'Estimates'!$D$5:$D$2004,'Status'!$F$6,'Estimates'!$H$5:$H$2004,1,'Estimates'!$E$5:$E$2004,'Status'!$E$7)))))</x:f>
      </x:c>
      <x:c r="L27" s="13" t="str">
        <x:f>IF(OR(COUNTA($A27)=0,NOT(ISNUMBER('Status'!$G$6))),"",IF(COUNTIFS('Estimates'!$A$5:$A$2004,$A27,'Estimates'!$B$5:$B$2004,"PPS",'Estimates'!$D$5:$D$2004,'Status'!$G$6,'Estimates'!$H$5:$H$2004,1,'Estimates'!$E$5:$E$2004,'Status'!$E$7)=0,"",IF(COUNTIFS('Estimates'!$A$5:$A$2004,$A27,'Estimates'!$B$5:$B$2004,"PPS",'Estimates'!$D$5:$D$2004,'Status'!$G$6,'Estimates'!$H$5:$H$2004,1,'Estimates'!$E$5:$E$2004,'Status'!$E$7)&gt;1,"DUP",IF(COUNTIFS('Estimates'!$A$5:$A$2004,$A27,'Estimates'!$B$5:$B$2004,"PPS",'Estimates'!$D$5:$D$2004,'Status'!$G$6,'Estimates'!$H$5:$H$2004,1,'Estimates'!$E$5:$E$2004,'Status'!$E$7,'Estimates'!$F$5:$F$2004,"&lt;&gt;")=0,"",SUMIFS('Estimates'!$F$5:$F$2004,'Estimates'!$A$5:$A$2004,$A27,'Estimates'!$B$5:$B$2004,"PPS",'Estimates'!$D$5:$D$2004,'Status'!$G$6,'Estimates'!$H$5:$H$2004,1,'Estimates'!$E$5:$E$2004,'Status'!$E$7)))))</x:f>
      </x:c>
      <x:c r="M27" s="13" t="str">
        <x:f>IF(AND(ISNUMBER(J27),ISNUMBER(K27)),K27-J27,"")</x:f>
      </x:c>
      <x:c r="N27" s="13" t="str">
        <x:f>IF(AND(ISNUMBER(K27),ISNUMBER(L27)),L27-K27,"")</x:f>
      </x:c>
      <x:c r="O27" s="13" t="str">
        <x:f>IF(AND(COUNT(J27:L27)=3,COUNT('Status'!$E$6:$G$6)=3,'Status'!$E$6&gt;'Status'!$F$6,'Status'!$F$6&gt;'Status'!$G$6,'Status'!$G$6&gt;0),ABS(L27-(K27+(K27-J27)*('Status'!$G$6-'Status'!$F$6)/('Status'!$F$6-'Status'!$E$6))),"")</x:f>
      </x:c>
      <x:c r="P27" s="13" t="str">
        <x:f>IF(AND(COUNT(J27:L27)=3,COUNT('Status'!$E$6:$G$6)=3,'Status'!$E$6&gt;'Status'!$F$6,'Status'!$F$6&gt;'Status'!$G$6,'Status'!$G$6&gt;0),('Status'!$F$6*L27-'Status'!$G$6*K27)/('Status'!$F$6-'Status'!$G$6),"")</x:f>
      </x:c>
      <x:c r="Q27" s="20"/>
      <x:c r="R27" s="13" t="str">
        <x:f>IF(COUNTA($A27)=0,"",IF('Status'!$B$6="MPS 1",IF(ISNUMBER(C27),C27,""),IF('Status'!$B$6="MPS 2",IF(ISNUMBER(D27),D27,""),IF('Status'!$B$6="MPS 3",IF(ISNUMBER(E27),E27,""),IF('Status'!$B$6="MPS extrap",IF(ISNUMBER(I27),I27,""),IF('Status'!$B$6="PPS 1",IF(ISNUMBER(J27),J27,""),IF('Status'!$B$6="PPS 2",IF(ISNUMBER(K27),K27,""),IF('Status'!$B$6="PPS 3",IF(ISNUMBER(L27),L27,""),IF('Status'!$B$6="PPS extrap",IF(ISNUMBER(P27),P27,""),IF('Status'!$B$6="Calibrated",IF(ISNUMBER(Q27),Q27,""),""))))))))))</x:f>
      </x:c>
      <x:c r="S27" s="2" t="str">
        <x:f>IF(COUNTA(A27)=0,"",IF(COUNTIFS('Estimates'!$A$5:$A$2004,A27,'Estimates'!$B$5:$B$2004,"MPS",'Estimates'!$H$5:$H$2004,1)+COUNTIFS('Estimates'!$A$5:$A$2004,A27,'Estimates'!$B$5:$B$2004,"PPS",'Estimates'!$H$5:$H$2004,1)&gt;0,1,0))</x:f>
      </x:c>
      <x:c r="T27" s="2" t="str">
        <x:f>IF(COUNTA(A27)=0,"",IF(COUNTIFS($A$6:$A$165,A27)&gt;1,"Duplicate target",IF(COUNTIFS(C27:E27,"DUP")+COUNTIFS(J27:L27,"DUP")&gt;0,"Duplicate accepted run",IF(COUNTIFS('Estimates'!$A$5:$A$2004,A27,'Estimates'!$H$5:$H$2004,1)-COUNTIFS('Estimates'!$A$5:$A$2004,A27,'Estimates'!$H$5:$H$2004,1,'Estimates'!$F$5:$F$2004,"&lt;&gt;")&gt;0,"Accepted value missing",""))))</x:f>
      </x:c>
    </x:row>
    <x:row r="28">
      <x:c r="A28" s="21" t="n">
        <x:v>22</x:v>
      </x:c>
      <x:c r="B28" s="19"/>
      <x:c r="C28" s="13" t="str">
        <x:f>IF(OR(COUNTA($A28)=0,NOT(ISNUMBER('Status'!$E$5))),"",IF(COUNTIFS('Estimates'!$A$5:$A$2004,$A28,'Estimates'!$B$5:$B$2004,"MPS",'Estimates'!$C$5:$C$2004,'Status'!$E$5,'Estimates'!$H$5:$H$2004,1)=0,"",IF(COUNTIFS('Estimates'!$A$5:$A$2004,$A28,'Estimates'!$B$5:$B$2004,"MPS",'Estimates'!$C$5:$C$2004,'Status'!$E$5,'Estimates'!$H$5:$H$2004,1)&gt;1,"DUP",IF(COUNTIFS('Estimates'!$A$5:$A$2004,$A28,'Estimates'!$B$5:$B$2004,"MPS",'Estimates'!$C$5:$C$2004,'Status'!$E$5,'Estimates'!$H$5:$H$2004,1,'Estimates'!$F$5:$F$2004,"&lt;&gt;")=0,"",SUMIFS('Estimates'!$F$5:$F$2004,'Estimates'!$A$5:$A$2004,$A28,'Estimates'!$B$5:$B$2004,"MPS",'Estimates'!$C$5:$C$2004,'Status'!$E$5,'Estimates'!$H$5:$H$2004,1)))))</x:f>
      </x:c>
      <x:c r="D28" s="13" t="str">
        <x:f>IF(OR(COUNTA($A28)=0,NOT(ISNUMBER('Status'!$F$5))),"",IF(COUNTIFS('Estimates'!$A$5:$A$2004,$A28,'Estimates'!$B$5:$B$2004,"MPS",'Estimates'!$C$5:$C$2004,'Status'!$F$5,'Estimates'!$H$5:$H$2004,1)=0,"",IF(COUNTIFS('Estimates'!$A$5:$A$2004,$A28,'Estimates'!$B$5:$B$2004,"MPS",'Estimates'!$C$5:$C$2004,'Status'!$F$5,'Estimates'!$H$5:$H$2004,1)&gt;1,"DUP",IF(COUNTIFS('Estimates'!$A$5:$A$2004,$A28,'Estimates'!$B$5:$B$2004,"MPS",'Estimates'!$C$5:$C$2004,'Status'!$F$5,'Estimates'!$H$5:$H$2004,1,'Estimates'!$F$5:$F$2004,"&lt;&gt;")=0,"",SUMIFS('Estimates'!$F$5:$F$2004,'Estimates'!$A$5:$A$2004,$A28,'Estimates'!$B$5:$B$2004,"MPS",'Estimates'!$C$5:$C$2004,'Status'!$F$5,'Estimates'!$H$5:$H$2004,1)))))</x:f>
      </x:c>
      <x:c r="E28" s="13" t="str">
        <x:f>IF(OR(COUNTA($A28)=0,NOT(ISNUMBER('Status'!$G$5))),"",IF(COUNTIFS('Estimates'!$A$5:$A$2004,$A28,'Estimates'!$B$5:$B$2004,"MPS",'Estimates'!$C$5:$C$2004,'Status'!$G$5,'Estimates'!$H$5:$H$2004,1)=0,"",IF(COUNTIFS('Estimates'!$A$5:$A$2004,$A28,'Estimates'!$B$5:$B$2004,"MPS",'Estimates'!$C$5:$C$2004,'Status'!$G$5,'Estimates'!$H$5:$H$2004,1)&gt;1,"DUP",IF(COUNTIFS('Estimates'!$A$5:$A$2004,$A28,'Estimates'!$B$5:$B$2004,"MPS",'Estimates'!$C$5:$C$2004,'Status'!$G$5,'Estimates'!$H$5:$H$2004,1,'Estimates'!$F$5:$F$2004,"&lt;&gt;")=0,"",SUMIFS('Estimates'!$F$5:$F$2004,'Estimates'!$A$5:$A$2004,$A28,'Estimates'!$B$5:$B$2004,"MPS",'Estimates'!$C$5:$C$2004,'Status'!$G$5,'Estimates'!$H$5:$H$2004,1)))))</x:f>
      </x:c>
      <x:c r="F28" s="13" t="str">
        <x:f>IF(AND(ISNUMBER(C28),ISNUMBER(D28)),D28-C28,"")</x:f>
      </x:c>
      <x:c r="G28" s="13" t="str">
        <x:f>IF(AND(ISNUMBER(D28),ISNUMBER(E28)),E28-D28,"")</x:f>
      </x:c>
      <x:c r="H28" s="13" t="str">
        <x:f>IF(AND(COUNT(C28:E28)=3,COUNT('Status'!$E$5:$G$5)=3,'Status'!$E$5&gt;0,'Status'!$E$5&lt;'Status'!$F$5,'Status'!$F$5&lt;'Status'!$G$5),ABS(E28-(D28+(D28-C28)*((1/'Status'!$G$5)-(1/'Status'!$F$5))/((1/'Status'!$F$5)-(1/'Status'!$E$5)))),"")</x:f>
      </x:c>
      <x:c r="I28" s="13" t="str">
        <x:f>IF(AND(COUNT(C28:E28)=3,COUNT('Status'!$E$5:$G$5)=3,'Status'!$E$5&gt;0,'Status'!$E$5&lt;'Status'!$F$5,'Status'!$F$5&lt;'Status'!$G$5),((1/'Status'!$F$5)*E28-(1/'Status'!$G$5)*D28)/((1/'Status'!$F$5)-(1/'Status'!$G$5)),"")</x:f>
      </x:c>
      <x:c r="J28" s="13" t="str">
        <x:f>IF(OR(COUNTA($A28)=0,NOT(ISNUMBER('Status'!$E$6))),"",IF(COUNTIFS('Estimates'!$A$5:$A$2004,$A28,'Estimates'!$B$5:$B$2004,"PPS",'Estimates'!$D$5:$D$2004,'Status'!$E$6,'Estimates'!$H$5:$H$2004,1,'Estimates'!$E$5:$E$2004,'Status'!$E$7)=0,"",IF(COUNTIFS('Estimates'!$A$5:$A$2004,$A28,'Estimates'!$B$5:$B$2004,"PPS",'Estimates'!$D$5:$D$2004,'Status'!$E$6,'Estimates'!$H$5:$H$2004,1,'Estimates'!$E$5:$E$2004,'Status'!$E$7)&gt;1,"DUP",IF(COUNTIFS('Estimates'!$A$5:$A$2004,$A28,'Estimates'!$B$5:$B$2004,"PPS",'Estimates'!$D$5:$D$2004,'Status'!$E$6,'Estimates'!$H$5:$H$2004,1,'Estimates'!$E$5:$E$2004,'Status'!$E$7,'Estimates'!$F$5:$F$2004,"&lt;&gt;")=0,"",SUMIFS('Estimates'!$F$5:$F$2004,'Estimates'!$A$5:$A$2004,$A28,'Estimates'!$B$5:$B$2004,"PPS",'Estimates'!$D$5:$D$2004,'Status'!$E$6,'Estimates'!$H$5:$H$2004,1,'Estimates'!$E$5:$E$2004,'Status'!$E$7)))))</x:f>
      </x:c>
      <x:c r="K28" s="13" t="str">
        <x:f>IF(OR(COUNTA($A28)=0,NOT(ISNUMBER('Status'!$F$6))),"",IF(COUNTIFS('Estimates'!$A$5:$A$2004,$A28,'Estimates'!$B$5:$B$2004,"PPS",'Estimates'!$D$5:$D$2004,'Status'!$F$6,'Estimates'!$H$5:$H$2004,1,'Estimates'!$E$5:$E$2004,'Status'!$E$7)=0,"",IF(COUNTIFS('Estimates'!$A$5:$A$2004,$A28,'Estimates'!$B$5:$B$2004,"PPS",'Estimates'!$D$5:$D$2004,'Status'!$F$6,'Estimates'!$H$5:$H$2004,1,'Estimates'!$E$5:$E$2004,'Status'!$E$7)&gt;1,"DUP",IF(COUNTIFS('Estimates'!$A$5:$A$2004,$A28,'Estimates'!$B$5:$B$2004,"PPS",'Estimates'!$D$5:$D$2004,'Status'!$F$6,'Estimates'!$H$5:$H$2004,1,'Estimates'!$E$5:$E$2004,'Status'!$E$7,'Estimates'!$F$5:$F$2004,"&lt;&gt;")=0,"",SUMIFS('Estimates'!$F$5:$F$2004,'Estimates'!$A$5:$A$2004,$A28,'Estimates'!$B$5:$B$2004,"PPS",'Estimates'!$D$5:$D$2004,'Status'!$F$6,'Estimates'!$H$5:$H$2004,1,'Estimates'!$E$5:$E$2004,'Status'!$E$7)))))</x:f>
      </x:c>
      <x:c r="L28" s="13" t="str">
        <x:f>IF(OR(COUNTA($A28)=0,NOT(ISNUMBER('Status'!$G$6))),"",IF(COUNTIFS('Estimates'!$A$5:$A$2004,$A28,'Estimates'!$B$5:$B$2004,"PPS",'Estimates'!$D$5:$D$2004,'Status'!$G$6,'Estimates'!$H$5:$H$2004,1,'Estimates'!$E$5:$E$2004,'Status'!$E$7)=0,"",IF(COUNTIFS('Estimates'!$A$5:$A$2004,$A28,'Estimates'!$B$5:$B$2004,"PPS",'Estimates'!$D$5:$D$2004,'Status'!$G$6,'Estimates'!$H$5:$H$2004,1,'Estimates'!$E$5:$E$2004,'Status'!$E$7)&gt;1,"DUP",IF(COUNTIFS('Estimates'!$A$5:$A$2004,$A28,'Estimates'!$B$5:$B$2004,"PPS",'Estimates'!$D$5:$D$2004,'Status'!$G$6,'Estimates'!$H$5:$H$2004,1,'Estimates'!$E$5:$E$2004,'Status'!$E$7,'Estimates'!$F$5:$F$2004,"&lt;&gt;")=0,"",SUMIFS('Estimates'!$F$5:$F$2004,'Estimates'!$A$5:$A$2004,$A28,'Estimates'!$B$5:$B$2004,"PPS",'Estimates'!$D$5:$D$2004,'Status'!$G$6,'Estimates'!$H$5:$H$2004,1,'Estimates'!$E$5:$E$2004,'Status'!$E$7)))))</x:f>
      </x:c>
      <x:c r="M28" s="13" t="str">
        <x:f>IF(AND(ISNUMBER(J28),ISNUMBER(K28)),K28-J28,"")</x:f>
      </x:c>
      <x:c r="N28" s="13" t="str">
        <x:f>IF(AND(ISNUMBER(K28),ISNUMBER(L28)),L28-K28,"")</x:f>
      </x:c>
      <x:c r="O28" s="13" t="str">
        <x:f>IF(AND(COUNT(J28:L28)=3,COUNT('Status'!$E$6:$G$6)=3,'Status'!$E$6&gt;'Status'!$F$6,'Status'!$F$6&gt;'Status'!$G$6,'Status'!$G$6&gt;0),ABS(L28-(K28+(K28-J28)*('Status'!$G$6-'Status'!$F$6)/('Status'!$F$6-'Status'!$E$6))),"")</x:f>
      </x:c>
      <x:c r="P28" s="13" t="str">
        <x:f>IF(AND(COUNT(J28:L28)=3,COUNT('Status'!$E$6:$G$6)=3,'Status'!$E$6&gt;'Status'!$F$6,'Status'!$F$6&gt;'Status'!$G$6,'Status'!$G$6&gt;0),('Status'!$F$6*L28-'Status'!$G$6*K28)/('Status'!$F$6-'Status'!$G$6),"")</x:f>
      </x:c>
      <x:c r="Q28" s="20"/>
      <x:c r="R28" s="13" t="str">
        <x:f>IF(COUNTA($A28)=0,"",IF('Status'!$B$6="MPS 1",IF(ISNUMBER(C28),C28,""),IF('Status'!$B$6="MPS 2",IF(ISNUMBER(D28),D28,""),IF('Status'!$B$6="MPS 3",IF(ISNUMBER(E28),E28,""),IF('Status'!$B$6="MPS extrap",IF(ISNUMBER(I28),I28,""),IF('Status'!$B$6="PPS 1",IF(ISNUMBER(J28),J28,""),IF('Status'!$B$6="PPS 2",IF(ISNUMBER(K28),K28,""),IF('Status'!$B$6="PPS 3",IF(ISNUMBER(L28),L28,""),IF('Status'!$B$6="PPS extrap",IF(ISNUMBER(P28),P28,""),IF('Status'!$B$6="Calibrated",IF(ISNUMBER(Q28),Q28,""),""))))))))))</x:f>
      </x:c>
      <x:c r="S28" s="2" t="str">
        <x:f>IF(COUNTA(A28)=0,"",IF(COUNTIFS('Estimates'!$A$5:$A$2004,A28,'Estimates'!$B$5:$B$2004,"MPS",'Estimates'!$H$5:$H$2004,1)+COUNTIFS('Estimates'!$A$5:$A$2004,A28,'Estimates'!$B$5:$B$2004,"PPS",'Estimates'!$H$5:$H$2004,1)&gt;0,1,0))</x:f>
      </x:c>
      <x:c r="T28" s="2" t="str">
        <x:f>IF(COUNTA(A28)=0,"",IF(COUNTIFS($A$6:$A$165,A28)&gt;1,"Duplicate target",IF(COUNTIFS(C28:E28,"DUP")+COUNTIFS(J28:L28,"DUP")&gt;0,"Duplicate accepted run",IF(COUNTIFS('Estimates'!$A$5:$A$2004,A28,'Estimates'!$H$5:$H$2004,1)-COUNTIFS('Estimates'!$A$5:$A$2004,A28,'Estimates'!$H$5:$H$2004,1,'Estimates'!$F$5:$F$2004,"&lt;&gt;")&gt;0,"Accepted value missing",""))))</x:f>
      </x:c>
    </x:row>
    <x:row r="29">
      <x:c r="A29" s="21" t="n">
        <x:v>23</x:v>
      </x:c>
      <x:c r="B29" s="19"/>
      <x:c r="C29" s="13" t="str">
        <x:f>IF(OR(COUNTA($A29)=0,NOT(ISNUMBER('Status'!$E$5))),"",IF(COUNTIFS('Estimates'!$A$5:$A$2004,$A29,'Estimates'!$B$5:$B$2004,"MPS",'Estimates'!$C$5:$C$2004,'Status'!$E$5,'Estimates'!$H$5:$H$2004,1)=0,"",IF(COUNTIFS('Estimates'!$A$5:$A$2004,$A29,'Estimates'!$B$5:$B$2004,"MPS",'Estimates'!$C$5:$C$2004,'Status'!$E$5,'Estimates'!$H$5:$H$2004,1)&gt;1,"DUP",IF(COUNTIFS('Estimates'!$A$5:$A$2004,$A29,'Estimates'!$B$5:$B$2004,"MPS",'Estimates'!$C$5:$C$2004,'Status'!$E$5,'Estimates'!$H$5:$H$2004,1,'Estimates'!$F$5:$F$2004,"&lt;&gt;")=0,"",SUMIFS('Estimates'!$F$5:$F$2004,'Estimates'!$A$5:$A$2004,$A29,'Estimates'!$B$5:$B$2004,"MPS",'Estimates'!$C$5:$C$2004,'Status'!$E$5,'Estimates'!$H$5:$H$2004,1)))))</x:f>
      </x:c>
      <x:c r="D29" s="13" t="str">
        <x:f>IF(OR(COUNTA($A29)=0,NOT(ISNUMBER('Status'!$F$5))),"",IF(COUNTIFS('Estimates'!$A$5:$A$2004,$A29,'Estimates'!$B$5:$B$2004,"MPS",'Estimates'!$C$5:$C$2004,'Status'!$F$5,'Estimates'!$H$5:$H$2004,1)=0,"",IF(COUNTIFS('Estimates'!$A$5:$A$2004,$A29,'Estimates'!$B$5:$B$2004,"MPS",'Estimates'!$C$5:$C$2004,'Status'!$F$5,'Estimates'!$H$5:$H$2004,1)&gt;1,"DUP",IF(COUNTIFS('Estimates'!$A$5:$A$2004,$A29,'Estimates'!$B$5:$B$2004,"MPS",'Estimates'!$C$5:$C$2004,'Status'!$F$5,'Estimates'!$H$5:$H$2004,1,'Estimates'!$F$5:$F$2004,"&lt;&gt;")=0,"",SUMIFS('Estimates'!$F$5:$F$2004,'Estimates'!$A$5:$A$2004,$A29,'Estimates'!$B$5:$B$2004,"MPS",'Estimates'!$C$5:$C$2004,'Status'!$F$5,'Estimates'!$H$5:$H$2004,1)))))</x:f>
      </x:c>
      <x:c r="E29" s="13" t="str">
        <x:f>IF(OR(COUNTA($A29)=0,NOT(ISNUMBER('Status'!$G$5))),"",IF(COUNTIFS('Estimates'!$A$5:$A$2004,$A29,'Estimates'!$B$5:$B$2004,"MPS",'Estimates'!$C$5:$C$2004,'Status'!$G$5,'Estimates'!$H$5:$H$2004,1)=0,"",IF(COUNTIFS('Estimates'!$A$5:$A$2004,$A29,'Estimates'!$B$5:$B$2004,"MPS",'Estimates'!$C$5:$C$2004,'Status'!$G$5,'Estimates'!$H$5:$H$2004,1)&gt;1,"DUP",IF(COUNTIFS('Estimates'!$A$5:$A$2004,$A29,'Estimates'!$B$5:$B$2004,"MPS",'Estimates'!$C$5:$C$2004,'Status'!$G$5,'Estimates'!$H$5:$H$2004,1,'Estimates'!$F$5:$F$2004,"&lt;&gt;")=0,"",SUMIFS('Estimates'!$F$5:$F$2004,'Estimates'!$A$5:$A$2004,$A29,'Estimates'!$B$5:$B$2004,"MPS",'Estimates'!$C$5:$C$2004,'Status'!$G$5,'Estimates'!$H$5:$H$2004,1)))))</x:f>
      </x:c>
      <x:c r="F29" s="13" t="str">
        <x:f>IF(AND(ISNUMBER(C29),ISNUMBER(D29)),D29-C29,"")</x:f>
      </x:c>
      <x:c r="G29" s="13" t="str">
        <x:f>IF(AND(ISNUMBER(D29),ISNUMBER(E29)),E29-D29,"")</x:f>
      </x:c>
      <x:c r="H29" s="13" t="str">
        <x:f>IF(AND(COUNT(C29:E29)=3,COUNT('Status'!$E$5:$G$5)=3,'Status'!$E$5&gt;0,'Status'!$E$5&lt;'Status'!$F$5,'Status'!$F$5&lt;'Status'!$G$5),ABS(E29-(D29+(D29-C29)*((1/'Status'!$G$5)-(1/'Status'!$F$5))/((1/'Status'!$F$5)-(1/'Status'!$E$5)))),"")</x:f>
      </x:c>
      <x:c r="I29" s="13" t="str">
        <x:f>IF(AND(COUNT(C29:E29)=3,COUNT('Status'!$E$5:$G$5)=3,'Status'!$E$5&gt;0,'Status'!$E$5&lt;'Status'!$F$5,'Status'!$F$5&lt;'Status'!$G$5),((1/'Status'!$F$5)*E29-(1/'Status'!$G$5)*D29)/((1/'Status'!$F$5)-(1/'Status'!$G$5)),"")</x:f>
      </x:c>
      <x:c r="J29" s="13" t="str">
        <x:f>IF(OR(COUNTA($A29)=0,NOT(ISNUMBER('Status'!$E$6))),"",IF(COUNTIFS('Estimates'!$A$5:$A$2004,$A29,'Estimates'!$B$5:$B$2004,"PPS",'Estimates'!$D$5:$D$2004,'Status'!$E$6,'Estimates'!$H$5:$H$2004,1,'Estimates'!$E$5:$E$2004,'Status'!$E$7)=0,"",IF(COUNTIFS('Estimates'!$A$5:$A$2004,$A29,'Estimates'!$B$5:$B$2004,"PPS",'Estimates'!$D$5:$D$2004,'Status'!$E$6,'Estimates'!$H$5:$H$2004,1,'Estimates'!$E$5:$E$2004,'Status'!$E$7)&gt;1,"DUP",IF(COUNTIFS('Estimates'!$A$5:$A$2004,$A29,'Estimates'!$B$5:$B$2004,"PPS",'Estimates'!$D$5:$D$2004,'Status'!$E$6,'Estimates'!$H$5:$H$2004,1,'Estimates'!$E$5:$E$2004,'Status'!$E$7,'Estimates'!$F$5:$F$2004,"&lt;&gt;")=0,"",SUMIFS('Estimates'!$F$5:$F$2004,'Estimates'!$A$5:$A$2004,$A29,'Estimates'!$B$5:$B$2004,"PPS",'Estimates'!$D$5:$D$2004,'Status'!$E$6,'Estimates'!$H$5:$H$2004,1,'Estimates'!$E$5:$E$2004,'Status'!$E$7)))))</x:f>
      </x:c>
      <x:c r="K29" s="13" t="str">
        <x:f>IF(OR(COUNTA($A29)=0,NOT(ISNUMBER('Status'!$F$6))),"",IF(COUNTIFS('Estimates'!$A$5:$A$2004,$A29,'Estimates'!$B$5:$B$2004,"PPS",'Estimates'!$D$5:$D$2004,'Status'!$F$6,'Estimates'!$H$5:$H$2004,1,'Estimates'!$E$5:$E$2004,'Status'!$E$7)=0,"",IF(COUNTIFS('Estimates'!$A$5:$A$2004,$A29,'Estimates'!$B$5:$B$2004,"PPS",'Estimates'!$D$5:$D$2004,'Status'!$F$6,'Estimates'!$H$5:$H$2004,1,'Estimates'!$E$5:$E$2004,'Status'!$E$7)&gt;1,"DUP",IF(COUNTIFS('Estimates'!$A$5:$A$2004,$A29,'Estimates'!$B$5:$B$2004,"PPS",'Estimates'!$D$5:$D$2004,'Status'!$F$6,'Estimates'!$H$5:$H$2004,1,'Estimates'!$E$5:$E$2004,'Status'!$E$7,'Estimates'!$F$5:$F$2004,"&lt;&gt;")=0,"",SUMIFS('Estimates'!$F$5:$F$2004,'Estimates'!$A$5:$A$2004,$A29,'Estimates'!$B$5:$B$2004,"PPS",'Estimates'!$D$5:$D$2004,'Status'!$F$6,'Estimates'!$H$5:$H$2004,1,'Estimates'!$E$5:$E$2004,'Status'!$E$7)))))</x:f>
      </x:c>
      <x:c r="L29" s="13" t="str">
        <x:f>IF(OR(COUNTA($A29)=0,NOT(ISNUMBER('Status'!$G$6))),"",IF(COUNTIFS('Estimates'!$A$5:$A$2004,$A29,'Estimates'!$B$5:$B$2004,"PPS",'Estimates'!$D$5:$D$2004,'Status'!$G$6,'Estimates'!$H$5:$H$2004,1,'Estimates'!$E$5:$E$2004,'Status'!$E$7)=0,"",IF(COUNTIFS('Estimates'!$A$5:$A$2004,$A29,'Estimates'!$B$5:$B$2004,"PPS",'Estimates'!$D$5:$D$2004,'Status'!$G$6,'Estimates'!$H$5:$H$2004,1,'Estimates'!$E$5:$E$2004,'Status'!$E$7)&gt;1,"DUP",IF(COUNTIFS('Estimates'!$A$5:$A$2004,$A29,'Estimates'!$B$5:$B$2004,"PPS",'Estimates'!$D$5:$D$2004,'Status'!$G$6,'Estimates'!$H$5:$H$2004,1,'Estimates'!$E$5:$E$2004,'Status'!$E$7,'Estimates'!$F$5:$F$2004,"&lt;&gt;")=0,"",SUMIFS('Estimates'!$F$5:$F$2004,'Estimates'!$A$5:$A$2004,$A29,'Estimates'!$B$5:$B$2004,"PPS",'Estimates'!$D$5:$D$2004,'Status'!$G$6,'Estimates'!$H$5:$H$2004,1,'Estimates'!$E$5:$E$2004,'Status'!$E$7)))))</x:f>
      </x:c>
      <x:c r="M29" s="13" t="str">
        <x:f>IF(AND(ISNUMBER(J29),ISNUMBER(K29)),K29-J29,"")</x:f>
      </x:c>
      <x:c r="N29" s="13" t="str">
        <x:f>IF(AND(ISNUMBER(K29),ISNUMBER(L29)),L29-K29,"")</x:f>
      </x:c>
      <x:c r="O29" s="13" t="str">
        <x:f>IF(AND(COUNT(J29:L29)=3,COUNT('Status'!$E$6:$G$6)=3,'Status'!$E$6&gt;'Status'!$F$6,'Status'!$F$6&gt;'Status'!$G$6,'Status'!$G$6&gt;0),ABS(L29-(K29+(K29-J29)*('Status'!$G$6-'Status'!$F$6)/('Status'!$F$6-'Status'!$E$6))),"")</x:f>
      </x:c>
      <x:c r="P29" s="13" t="str">
        <x:f>IF(AND(COUNT(J29:L29)=3,COUNT('Status'!$E$6:$G$6)=3,'Status'!$E$6&gt;'Status'!$F$6,'Status'!$F$6&gt;'Status'!$G$6,'Status'!$G$6&gt;0),('Status'!$F$6*L29-'Status'!$G$6*K29)/('Status'!$F$6-'Status'!$G$6),"")</x:f>
      </x:c>
      <x:c r="Q29" s="20"/>
      <x:c r="R29" s="13" t="str">
        <x:f>IF(COUNTA($A29)=0,"",IF('Status'!$B$6="MPS 1",IF(ISNUMBER(C29),C29,""),IF('Status'!$B$6="MPS 2",IF(ISNUMBER(D29),D29,""),IF('Status'!$B$6="MPS 3",IF(ISNUMBER(E29),E29,""),IF('Status'!$B$6="MPS extrap",IF(ISNUMBER(I29),I29,""),IF('Status'!$B$6="PPS 1",IF(ISNUMBER(J29),J29,""),IF('Status'!$B$6="PPS 2",IF(ISNUMBER(K29),K29,""),IF('Status'!$B$6="PPS 3",IF(ISNUMBER(L29),L29,""),IF('Status'!$B$6="PPS extrap",IF(ISNUMBER(P29),P29,""),IF('Status'!$B$6="Calibrated",IF(ISNUMBER(Q29),Q29,""),""))))))))))</x:f>
      </x:c>
      <x:c r="S29" s="2" t="str">
        <x:f>IF(COUNTA(A29)=0,"",IF(COUNTIFS('Estimates'!$A$5:$A$2004,A29,'Estimates'!$B$5:$B$2004,"MPS",'Estimates'!$H$5:$H$2004,1)+COUNTIFS('Estimates'!$A$5:$A$2004,A29,'Estimates'!$B$5:$B$2004,"PPS",'Estimates'!$H$5:$H$2004,1)&gt;0,1,0))</x:f>
      </x:c>
      <x:c r="T29" s="2" t="str">
        <x:f>IF(COUNTA(A29)=0,"",IF(COUNTIFS($A$6:$A$165,A29)&gt;1,"Duplicate target",IF(COUNTIFS(C29:E29,"DUP")+COUNTIFS(J29:L29,"DUP")&gt;0,"Duplicate accepted run",IF(COUNTIFS('Estimates'!$A$5:$A$2004,A29,'Estimates'!$H$5:$H$2004,1)-COUNTIFS('Estimates'!$A$5:$A$2004,A29,'Estimates'!$H$5:$H$2004,1,'Estimates'!$F$5:$F$2004,"&lt;&gt;")&gt;0,"Accepted value missing",""))))</x:f>
      </x:c>
    </x:row>
    <x:row r="30">
      <x:c r="A30" s="21" t="n">
        <x:v>24</x:v>
      </x:c>
      <x:c r="B30" s="19"/>
      <x:c r="C30" s="13" t="str">
        <x:f>IF(OR(COUNTA($A30)=0,NOT(ISNUMBER('Status'!$E$5))),"",IF(COUNTIFS('Estimates'!$A$5:$A$2004,$A30,'Estimates'!$B$5:$B$2004,"MPS",'Estimates'!$C$5:$C$2004,'Status'!$E$5,'Estimates'!$H$5:$H$2004,1)=0,"",IF(COUNTIFS('Estimates'!$A$5:$A$2004,$A30,'Estimates'!$B$5:$B$2004,"MPS",'Estimates'!$C$5:$C$2004,'Status'!$E$5,'Estimates'!$H$5:$H$2004,1)&gt;1,"DUP",IF(COUNTIFS('Estimates'!$A$5:$A$2004,$A30,'Estimates'!$B$5:$B$2004,"MPS",'Estimates'!$C$5:$C$2004,'Status'!$E$5,'Estimates'!$H$5:$H$2004,1,'Estimates'!$F$5:$F$2004,"&lt;&gt;")=0,"",SUMIFS('Estimates'!$F$5:$F$2004,'Estimates'!$A$5:$A$2004,$A30,'Estimates'!$B$5:$B$2004,"MPS",'Estimates'!$C$5:$C$2004,'Status'!$E$5,'Estimates'!$H$5:$H$2004,1)))))</x:f>
      </x:c>
      <x:c r="D30" s="13" t="str">
        <x:f>IF(OR(COUNTA($A30)=0,NOT(ISNUMBER('Status'!$F$5))),"",IF(COUNTIFS('Estimates'!$A$5:$A$2004,$A30,'Estimates'!$B$5:$B$2004,"MPS",'Estimates'!$C$5:$C$2004,'Status'!$F$5,'Estimates'!$H$5:$H$2004,1)=0,"",IF(COUNTIFS('Estimates'!$A$5:$A$2004,$A30,'Estimates'!$B$5:$B$2004,"MPS",'Estimates'!$C$5:$C$2004,'Status'!$F$5,'Estimates'!$H$5:$H$2004,1)&gt;1,"DUP",IF(COUNTIFS('Estimates'!$A$5:$A$2004,$A30,'Estimates'!$B$5:$B$2004,"MPS",'Estimates'!$C$5:$C$2004,'Status'!$F$5,'Estimates'!$H$5:$H$2004,1,'Estimates'!$F$5:$F$2004,"&lt;&gt;")=0,"",SUMIFS('Estimates'!$F$5:$F$2004,'Estimates'!$A$5:$A$2004,$A30,'Estimates'!$B$5:$B$2004,"MPS",'Estimates'!$C$5:$C$2004,'Status'!$F$5,'Estimates'!$H$5:$H$2004,1)))))</x:f>
      </x:c>
      <x:c r="E30" s="13" t="str">
        <x:f>IF(OR(COUNTA($A30)=0,NOT(ISNUMBER('Status'!$G$5))),"",IF(COUNTIFS('Estimates'!$A$5:$A$2004,$A30,'Estimates'!$B$5:$B$2004,"MPS",'Estimates'!$C$5:$C$2004,'Status'!$G$5,'Estimates'!$H$5:$H$2004,1)=0,"",IF(COUNTIFS('Estimates'!$A$5:$A$2004,$A30,'Estimates'!$B$5:$B$2004,"MPS",'Estimates'!$C$5:$C$2004,'Status'!$G$5,'Estimates'!$H$5:$H$2004,1)&gt;1,"DUP",IF(COUNTIFS('Estimates'!$A$5:$A$2004,$A30,'Estimates'!$B$5:$B$2004,"MPS",'Estimates'!$C$5:$C$2004,'Status'!$G$5,'Estimates'!$H$5:$H$2004,1,'Estimates'!$F$5:$F$2004,"&lt;&gt;")=0,"",SUMIFS('Estimates'!$F$5:$F$2004,'Estimates'!$A$5:$A$2004,$A30,'Estimates'!$B$5:$B$2004,"MPS",'Estimates'!$C$5:$C$2004,'Status'!$G$5,'Estimates'!$H$5:$H$2004,1)))))</x:f>
      </x:c>
      <x:c r="F30" s="13" t="str">
        <x:f>IF(AND(ISNUMBER(C30),ISNUMBER(D30)),D30-C30,"")</x:f>
      </x:c>
      <x:c r="G30" s="13" t="str">
        <x:f>IF(AND(ISNUMBER(D30),ISNUMBER(E30)),E30-D30,"")</x:f>
      </x:c>
      <x:c r="H30" s="13" t="str">
        <x:f>IF(AND(COUNT(C30:E30)=3,COUNT('Status'!$E$5:$G$5)=3,'Status'!$E$5&gt;0,'Status'!$E$5&lt;'Status'!$F$5,'Status'!$F$5&lt;'Status'!$G$5),ABS(E30-(D30+(D30-C30)*((1/'Status'!$G$5)-(1/'Status'!$F$5))/((1/'Status'!$F$5)-(1/'Status'!$E$5)))),"")</x:f>
      </x:c>
      <x:c r="I30" s="13" t="str">
        <x:f>IF(AND(COUNT(C30:E30)=3,COUNT('Status'!$E$5:$G$5)=3,'Status'!$E$5&gt;0,'Status'!$E$5&lt;'Status'!$F$5,'Status'!$F$5&lt;'Status'!$G$5),((1/'Status'!$F$5)*E30-(1/'Status'!$G$5)*D30)/((1/'Status'!$F$5)-(1/'Status'!$G$5)),"")</x:f>
      </x:c>
      <x:c r="J30" s="13" t="str">
        <x:f>IF(OR(COUNTA($A30)=0,NOT(ISNUMBER('Status'!$E$6))),"",IF(COUNTIFS('Estimates'!$A$5:$A$2004,$A30,'Estimates'!$B$5:$B$2004,"PPS",'Estimates'!$D$5:$D$2004,'Status'!$E$6,'Estimates'!$H$5:$H$2004,1,'Estimates'!$E$5:$E$2004,'Status'!$E$7)=0,"",IF(COUNTIFS('Estimates'!$A$5:$A$2004,$A30,'Estimates'!$B$5:$B$2004,"PPS",'Estimates'!$D$5:$D$2004,'Status'!$E$6,'Estimates'!$H$5:$H$2004,1,'Estimates'!$E$5:$E$2004,'Status'!$E$7)&gt;1,"DUP",IF(COUNTIFS('Estimates'!$A$5:$A$2004,$A30,'Estimates'!$B$5:$B$2004,"PPS",'Estimates'!$D$5:$D$2004,'Status'!$E$6,'Estimates'!$H$5:$H$2004,1,'Estimates'!$E$5:$E$2004,'Status'!$E$7,'Estimates'!$F$5:$F$2004,"&lt;&gt;")=0,"",SUMIFS('Estimates'!$F$5:$F$2004,'Estimates'!$A$5:$A$2004,$A30,'Estimates'!$B$5:$B$2004,"PPS",'Estimates'!$D$5:$D$2004,'Status'!$E$6,'Estimates'!$H$5:$H$2004,1,'Estimates'!$E$5:$E$2004,'Status'!$E$7)))))</x:f>
      </x:c>
      <x:c r="K30" s="13" t="str">
        <x:f>IF(OR(COUNTA($A30)=0,NOT(ISNUMBER('Status'!$F$6))),"",IF(COUNTIFS('Estimates'!$A$5:$A$2004,$A30,'Estimates'!$B$5:$B$2004,"PPS",'Estimates'!$D$5:$D$2004,'Status'!$F$6,'Estimates'!$H$5:$H$2004,1,'Estimates'!$E$5:$E$2004,'Status'!$E$7)=0,"",IF(COUNTIFS('Estimates'!$A$5:$A$2004,$A30,'Estimates'!$B$5:$B$2004,"PPS",'Estimates'!$D$5:$D$2004,'Status'!$F$6,'Estimates'!$H$5:$H$2004,1,'Estimates'!$E$5:$E$2004,'Status'!$E$7)&gt;1,"DUP",IF(COUNTIFS('Estimates'!$A$5:$A$2004,$A30,'Estimates'!$B$5:$B$2004,"PPS",'Estimates'!$D$5:$D$2004,'Status'!$F$6,'Estimates'!$H$5:$H$2004,1,'Estimates'!$E$5:$E$2004,'Status'!$E$7,'Estimates'!$F$5:$F$2004,"&lt;&gt;")=0,"",SUMIFS('Estimates'!$F$5:$F$2004,'Estimates'!$A$5:$A$2004,$A30,'Estimates'!$B$5:$B$2004,"PPS",'Estimates'!$D$5:$D$2004,'Status'!$F$6,'Estimates'!$H$5:$H$2004,1,'Estimates'!$E$5:$E$2004,'Status'!$E$7)))))</x:f>
      </x:c>
      <x:c r="L30" s="13" t="str">
        <x:f>IF(OR(COUNTA($A30)=0,NOT(ISNUMBER('Status'!$G$6))),"",IF(COUNTIFS('Estimates'!$A$5:$A$2004,$A30,'Estimates'!$B$5:$B$2004,"PPS",'Estimates'!$D$5:$D$2004,'Status'!$G$6,'Estimates'!$H$5:$H$2004,1,'Estimates'!$E$5:$E$2004,'Status'!$E$7)=0,"",IF(COUNTIFS('Estimates'!$A$5:$A$2004,$A30,'Estimates'!$B$5:$B$2004,"PPS",'Estimates'!$D$5:$D$2004,'Status'!$G$6,'Estimates'!$H$5:$H$2004,1,'Estimates'!$E$5:$E$2004,'Status'!$E$7)&gt;1,"DUP",IF(COUNTIFS('Estimates'!$A$5:$A$2004,$A30,'Estimates'!$B$5:$B$2004,"PPS",'Estimates'!$D$5:$D$2004,'Status'!$G$6,'Estimates'!$H$5:$H$2004,1,'Estimates'!$E$5:$E$2004,'Status'!$E$7,'Estimates'!$F$5:$F$2004,"&lt;&gt;")=0,"",SUMIFS('Estimates'!$F$5:$F$2004,'Estimates'!$A$5:$A$2004,$A30,'Estimates'!$B$5:$B$2004,"PPS",'Estimates'!$D$5:$D$2004,'Status'!$G$6,'Estimates'!$H$5:$H$2004,1,'Estimates'!$E$5:$E$2004,'Status'!$E$7)))))</x:f>
      </x:c>
      <x:c r="M30" s="13" t="str">
        <x:f>IF(AND(ISNUMBER(J30),ISNUMBER(K30)),K30-J30,"")</x:f>
      </x:c>
      <x:c r="N30" s="13" t="str">
        <x:f>IF(AND(ISNUMBER(K30),ISNUMBER(L30)),L30-K30,"")</x:f>
      </x:c>
      <x:c r="O30" s="13" t="str">
        <x:f>IF(AND(COUNT(J30:L30)=3,COUNT('Status'!$E$6:$G$6)=3,'Status'!$E$6&gt;'Status'!$F$6,'Status'!$F$6&gt;'Status'!$G$6,'Status'!$G$6&gt;0),ABS(L30-(K30+(K30-J30)*('Status'!$G$6-'Status'!$F$6)/('Status'!$F$6-'Status'!$E$6))),"")</x:f>
      </x:c>
      <x:c r="P30" s="13" t="str">
        <x:f>IF(AND(COUNT(J30:L30)=3,COUNT('Status'!$E$6:$G$6)=3,'Status'!$E$6&gt;'Status'!$F$6,'Status'!$F$6&gt;'Status'!$G$6,'Status'!$G$6&gt;0),('Status'!$F$6*L30-'Status'!$G$6*K30)/('Status'!$F$6-'Status'!$G$6),"")</x:f>
      </x:c>
      <x:c r="Q30" s="20"/>
      <x:c r="R30" s="13" t="str">
        <x:f>IF(COUNTA($A30)=0,"",IF('Status'!$B$6="MPS 1",IF(ISNUMBER(C30),C30,""),IF('Status'!$B$6="MPS 2",IF(ISNUMBER(D30),D30,""),IF('Status'!$B$6="MPS 3",IF(ISNUMBER(E30),E30,""),IF('Status'!$B$6="MPS extrap",IF(ISNUMBER(I30),I30,""),IF('Status'!$B$6="PPS 1",IF(ISNUMBER(J30),J30,""),IF('Status'!$B$6="PPS 2",IF(ISNUMBER(K30),K30,""),IF('Status'!$B$6="PPS 3",IF(ISNUMBER(L30),L30,""),IF('Status'!$B$6="PPS extrap",IF(ISNUMBER(P30),P30,""),IF('Status'!$B$6="Calibrated",IF(ISNUMBER(Q30),Q30,""),""))))))))))</x:f>
      </x:c>
      <x:c r="S30" s="2" t="str">
        <x:f>IF(COUNTA(A30)=0,"",IF(COUNTIFS('Estimates'!$A$5:$A$2004,A30,'Estimates'!$B$5:$B$2004,"MPS",'Estimates'!$H$5:$H$2004,1)+COUNTIFS('Estimates'!$A$5:$A$2004,A30,'Estimates'!$B$5:$B$2004,"PPS",'Estimates'!$H$5:$H$2004,1)&gt;0,1,0))</x:f>
      </x:c>
      <x:c r="T30" s="2" t="str">
        <x:f>IF(COUNTA(A30)=0,"",IF(COUNTIFS($A$6:$A$165,A30)&gt;1,"Duplicate target",IF(COUNTIFS(C30:E30,"DUP")+COUNTIFS(J30:L30,"DUP")&gt;0,"Duplicate accepted run",IF(COUNTIFS('Estimates'!$A$5:$A$2004,A30,'Estimates'!$H$5:$H$2004,1)-COUNTIFS('Estimates'!$A$5:$A$2004,A30,'Estimates'!$H$5:$H$2004,1,'Estimates'!$F$5:$F$2004,"&lt;&gt;")&gt;0,"Accepted value missing",""))))</x:f>
      </x:c>
    </x:row>
    <x:row r="31">
      <x:c r="A31" s="21" t="n">
        <x:v>25</x:v>
      </x:c>
      <x:c r="B31" s="19"/>
      <x:c r="C31" s="13" t="str">
        <x:f>IF(OR(COUNTA($A31)=0,NOT(ISNUMBER('Status'!$E$5))),"",IF(COUNTIFS('Estimates'!$A$5:$A$2004,$A31,'Estimates'!$B$5:$B$2004,"MPS",'Estimates'!$C$5:$C$2004,'Status'!$E$5,'Estimates'!$H$5:$H$2004,1)=0,"",IF(COUNTIFS('Estimates'!$A$5:$A$2004,$A31,'Estimates'!$B$5:$B$2004,"MPS",'Estimates'!$C$5:$C$2004,'Status'!$E$5,'Estimates'!$H$5:$H$2004,1)&gt;1,"DUP",IF(COUNTIFS('Estimates'!$A$5:$A$2004,$A31,'Estimates'!$B$5:$B$2004,"MPS",'Estimates'!$C$5:$C$2004,'Status'!$E$5,'Estimates'!$H$5:$H$2004,1,'Estimates'!$F$5:$F$2004,"&lt;&gt;")=0,"",SUMIFS('Estimates'!$F$5:$F$2004,'Estimates'!$A$5:$A$2004,$A31,'Estimates'!$B$5:$B$2004,"MPS",'Estimates'!$C$5:$C$2004,'Status'!$E$5,'Estimates'!$H$5:$H$2004,1)))))</x:f>
      </x:c>
      <x:c r="D31" s="13" t="str">
        <x:f>IF(OR(COUNTA($A31)=0,NOT(ISNUMBER('Status'!$F$5))),"",IF(COUNTIFS('Estimates'!$A$5:$A$2004,$A31,'Estimates'!$B$5:$B$2004,"MPS",'Estimates'!$C$5:$C$2004,'Status'!$F$5,'Estimates'!$H$5:$H$2004,1)=0,"",IF(COUNTIFS('Estimates'!$A$5:$A$2004,$A31,'Estimates'!$B$5:$B$2004,"MPS",'Estimates'!$C$5:$C$2004,'Status'!$F$5,'Estimates'!$H$5:$H$2004,1)&gt;1,"DUP",IF(COUNTIFS('Estimates'!$A$5:$A$2004,$A31,'Estimates'!$B$5:$B$2004,"MPS",'Estimates'!$C$5:$C$2004,'Status'!$F$5,'Estimates'!$H$5:$H$2004,1,'Estimates'!$F$5:$F$2004,"&lt;&gt;")=0,"",SUMIFS('Estimates'!$F$5:$F$2004,'Estimates'!$A$5:$A$2004,$A31,'Estimates'!$B$5:$B$2004,"MPS",'Estimates'!$C$5:$C$2004,'Status'!$F$5,'Estimates'!$H$5:$H$2004,1)))))</x:f>
      </x:c>
      <x:c r="E31" s="13" t="str">
        <x:f>IF(OR(COUNTA($A31)=0,NOT(ISNUMBER('Status'!$G$5))),"",IF(COUNTIFS('Estimates'!$A$5:$A$2004,$A31,'Estimates'!$B$5:$B$2004,"MPS",'Estimates'!$C$5:$C$2004,'Status'!$G$5,'Estimates'!$H$5:$H$2004,1)=0,"",IF(COUNTIFS('Estimates'!$A$5:$A$2004,$A31,'Estimates'!$B$5:$B$2004,"MPS",'Estimates'!$C$5:$C$2004,'Status'!$G$5,'Estimates'!$H$5:$H$2004,1)&gt;1,"DUP",IF(COUNTIFS('Estimates'!$A$5:$A$2004,$A31,'Estimates'!$B$5:$B$2004,"MPS",'Estimates'!$C$5:$C$2004,'Status'!$G$5,'Estimates'!$H$5:$H$2004,1,'Estimates'!$F$5:$F$2004,"&lt;&gt;")=0,"",SUMIFS('Estimates'!$F$5:$F$2004,'Estimates'!$A$5:$A$2004,$A31,'Estimates'!$B$5:$B$2004,"MPS",'Estimates'!$C$5:$C$2004,'Status'!$G$5,'Estimates'!$H$5:$H$2004,1)))))</x:f>
      </x:c>
      <x:c r="F31" s="13" t="str">
        <x:f>IF(AND(ISNUMBER(C31),ISNUMBER(D31)),D31-C31,"")</x:f>
      </x:c>
      <x:c r="G31" s="13" t="str">
        <x:f>IF(AND(ISNUMBER(D31),ISNUMBER(E31)),E31-D31,"")</x:f>
      </x:c>
      <x:c r="H31" s="13" t="str">
        <x:f>IF(AND(COUNT(C31:E31)=3,COUNT('Status'!$E$5:$G$5)=3,'Status'!$E$5&gt;0,'Status'!$E$5&lt;'Status'!$F$5,'Status'!$F$5&lt;'Status'!$G$5),ABS(E31-(D31+(D31-C31)*((1/'Status'!$G$5)-(1/'Status'!$F$5))/((1/'Status'!$F$5)-(1/'Status'!$E$5)))),"")</x:f>
      </x:c>
      <x:c r="I31" s="13" t="str">
        <x:f>IF(AND(COUNT(C31:E31)=3,COUNT('Status'!$E$5:$G$5)=3,'Status'!$E$5&gt;0,'Status'!$E$5&lt;'Status'!$F$5,'Status'!$F$5&lt;'Status'!$G$5),((1/'Status'!$F$5)*E31-(1/'Status'!$G$5)*D31)/((1/'Status'!$F$5)-(1/'Status'!$G$5)),"")</x:f>
      </x:c>
      <x:c r="J31" s="13" t="str">
        <x:f>IF(OR(COUNTA($A31)=0,NOT(ISNUMBER('Status'!$E$6))),"",IF(COUNTIFS('Estimates'!$A$5:$A$2004,$A31,'Estimates'!$B$5:$B$2004,"PPS",'Estimates'!$D$5:$D$2004,'Status'!$E$6,'Estimates'!$H$5:$H$2004,1,'Estimates'!$E$5:$E$2004,'Status'!$E$7)=0,"",IF(COUNTIFS('Estimates'!$A$5:$A$2004,$A31,'Estimates'!$B$5:$B$2004,"PPS",'Estimates'!$D$5:$D$2004,'Status'!$E$6,'Estimates'!$H$5:$H$2004,1,'Estimates'!$E$5:$E$2004,'Status'!$E$7)&gt;1,"DUP",IF(COUNTIFS('Estimates'!$A$5:$A$2004,$A31,'Estimates'!$B$5:$B$2004,"PPS",'Estimates'!$D$5:$D$2004,'Status'!$E$6,'Estimates'!$H$5:$H$2004,1,'Estimates'!$E$5:$E$2004,'Status'!$E$7,'Estimates'!$F$5:$F$2004,"&lt;&gt;")=0,"",SUMIFS('Estimates'!$F$5:$F$2004,'Estimates'!$A$5:$A$2004,$A31,'Estimates'!$B$5:$B$2004,"PPS",'Estimates'!$D$5:$D$2004,'Status'!$E$6,'Estimates'!$H$5:$H$2004,1,'Estimates'!$E$5:$E$2004,'Status'!$E$7)))))</x:f>
      </x:c>
      <x:c r="K31" s="13" t="str">
        <x:f>IF(OR(COUNTA($A31)=0,NOT(ISNUMBER('Status'!$F$6))),"",IF(COUNTIFS('Estimates'!$A$5:$A$2004,$A31,'Estimates'!$B$5:$B$2004,"PPS",'Estimates'!$D$5:$D$2004,'Status'!$F$6,'Estimates'!$H$5:$H$2004,1,'Estimates'!$E$5:$E$2004,'Status'!$E$7)=0,"",IF(COUNTIFS('Estimates'!$A$5:$A$2004,$A31,'Estimates'!$B$5:$B$2004,"PPS",'Estimates'!$D$5:$D$2004,'Status'!$F$6,'Estimates'!$H$5:$H$2004,1,'Estimates'!$E$5:$E$2004,'Status'!$E$7)&gt;1,"DUP",IF(COUNTIFS('Estimates'!$A$5:$A$2004,$A31,'Estimates'!$B$5:$B$2004,"PPS",'Estimates'!$D$5:$D$2004,'Status'!$F$6,'Estimates'!$H$5:$H$2004,1,'Estimates'!$E$5:$E$2004,'Status'!$E$7,'Estimates'!$F$5:$F$2004,"&lt;&gt;")=0,"",SUMIFS('Estimates'!$F$5:$F$2004,'Estimates'!$A$5:$A$2004,$A31,'Estimates'!$B$5:$B$2004,"PPS",'Estimates'!$D$5:$D$2004,'Status'!$F$6,'Estimates'!$H$5:$H$2004,1,'Estimates'!$E$5:$E$2004,'Status'!$E$7)))))</x:f>
      </x:c>
      <x:c r="L31" s="13" t="str">
        <x:f>IF(OR(COUNTA($A31)=0,NOT(ISNUMBER('Status'!$G$6))),"",IF(COUNTIFS('Estimates'!$A$5:$A$2004,$A31,'Estimates'!$B$5:$B$2004,"PPS",'Estimates'!$D$5:$D$2004,'Status'!$G$6,'Estimates'!$H$5:$H$2004,1,'Estimates'!$E$5:$E$2004,'Status'!$E$7)=0,"",IF(COUNTIFS('Estimates'!$A$5:$A$2004,$A31,'Estimates'!$B$5:$B$2004,"PPS",'Estimates'!$D$5:$D$2004,'Status'!$G$6,'Estimates'!$H$5:$H$2004,1,'Estimates'!$E$5:$E$2004,'Status'!$E$7)&gt;1,"DUP",IF(COUNTIFS('Estimates'!$A$5:$A$2004,$A31,'Estimates'!$B$5:$B$2004,"PPS",'Estimates'!$D$5:$D$2004,'Status'!$G$6,'Estimates'!$H$5:$H$2004,1,'Estimates'!$E$5:$E$2004,'Status'!$E$7,'Estimates'!$F$5:$F$2004,"&lt;&gt;")=0,"",SUMIFS('Estimates'!$F$5:$F$2004,'Estimates'!$A$5:$A$2004,$A31,'Estimates'!$B$5:$B$2004,"PPS",'Estimates'!$D$5:$D$2004,'Status'!$G$6,'Estimates'!$H$5:$H$2004,1,'Estimates'!$E$5:$E$2004,'Status'!$E$7)))))</x:f>
      </x:c>
      <x:c r="M31" s="13" t="str">
        <x:f>IF(AND(ISNUMBER(J31),ISNUMBER(K31)),K31-J31,"")</x:f>
      </x:c>
      <x:c r="N31" s="13" t="str">
        <x:f>IF(AND(ISNUMBER(K31),ISNUMBER(L31)),L31-K31,"")</x:f>
      </x:c>
      <x:c r="O31" s="13" t="str">
        <x:f>IF(AND(COUNT(J31:L31)=3,COUNT('Status'!$E$6:$G$6)=3,'Status'!$E$6&gt;'Status'!$F$6,'Status'!$F$6&gt;'Status'!$G$6,'Status'!$G$6&gt;0),ABS(L31-(K31+(K31-J31)*('Status'!$G$6-'Status'!$F$6)/('Status'!$F$6-'Status'!$E$6))),"")</x:f>
      </x:c>
      <x:c r="P31" s="13" t="str">
        <x:f>IF(AND(COUNT(J31:L31)=3,COUNT('Status'!$E$6:$G$6)=3,'Status'!$E$6&gt;'Status'!$F$6,'Status'!$F$6&gt;'Status'!$G$6,'Status'!$G$6&gt;0),('Status'!$F$6*L31-'Status'!$G$6*K31)/('Status'!$F$6-'Status'!$G$6),"")</x:f>
      </x:c>
      <x:c r="Q31" s="20"/>
      <x:c r="R31" s="13" t="str">
        <x:f>IF(COUNTA($A31)=0,"",IF('Status'!$B$6="MPS 1",IF(ISNUMBER(C31),C31,""),IF('Status'!$B$6="MPS 2",IF(ISNUMBER(D31),D31,""),IF('Status'!$B$6="MPS 3",IF(ISNUMBER(E31),E31,""),IF('Status'!$B$6="MPS extrap",IF(ISNUMBER(I31),I31,""),IF('Status'!$B$6="PPS 1",IF(ISNUMBER(J31),J31,""),IF('Status'!$B$6="PPS 2",IF(ISNUMBER(K31),K31,""),IF('Status'!$B$6="PPS 3",IF(ISNUMBER(L31),L31,""),IF('Status'!$B$6="PPS extrap",IF(ISNUMBER(P31),P31,""),IF('Status'!$B$6="Calibrated",IF(ISNUMBER(Q31),Q31,""),""))))))))))</x:f>
      </x:c>
      <x:c r="S31" s="2" t="str">
        <x:f>IF(COUNTA(A31)=0,"",IF(COUNTIFS('Estimates'!$A$5:$A$2004,A31,'Estimates'!$B$5:$B$2004,"MPS",'Estimates'!$H$5:$H$2004,1)+COUNTIFS('Estimates'!$A$5:$A$2004,A31,'Estimates'!$B$5:$B$2004,"PPS",'Estimates'!$H$5:$H$2004,1)&gt;0,1,0))</x:f>
      </x:c>
      <x:c r="T31" s="2" t="str">
        <x:f>IF(COUNTA(A31)=0,"",IF(COUNTIFS($A$6:$A$165,A31)&gt;1,"Duplicate target",IF(COUNTIFS(C31:E31,"DUP")+COUNTIFS(J31:L31,"DUP")&gt;0,"Duplicate accepted run",IF(COUNTIFS('Estimates'!$A$5:$A$2004,A31,'Estimates'!$H$5:$H$2004,1)-COUNTIFS('Estimates'!$A$5:$A$2004,A31,'Estimates'!$H$5:$H$2004,1,'Estimates'!$F$5:$F$2004,"&lt;&gt;")&gt;0,"Accepted value missing",""))))</x:f>
      </x:c>
    </x:row>
    <x:row r="32">
      <x:c r="A32" s="21" t="n">
        <x:v>26</x:v>
      </x:c>
      <x:c r="B32" s="19"/>
      <x:c r="C32" s="13" t="str">
        <x:f>IF(OR(COUNTA($A32)=0,NOT(ISNUMBER('Status'!$E$5))),"",IF(COUNTIFS('Estimates'!$A$5:$A$2004,$A32,'Estimates'!$B$5:$B$2004,"MPS",'Estimates'!$C$5:$C$2004,'Status'!$E$5,'Estimates'!$H$5:$H$2004,1)=0,"",IF(COUNTIFS('Estimates'!$A$5:$A$2004,$A32,'Estimates'!$B$5:$B$2004,"MPS",'Estimates'!$C$5:$C$2004,'Status'!$E$5,'Estimates'!$H$5:$H$2004,1)&gt;1,"DUP",IF(COUNTIFS('Estimates'!$A$5:$A$2004,$A32,'Estimates'!$B$5:$B$2004,"MPS",'Estimates'!$C$5:$C$2004,'Status'!$E$5,'Estimates'!$H$5:$H$2004,1,'Estimates'!$F$5:$F$2004,"&lt;&gt;")=0,"",SUMIFS('Estimates'!$F$5:$F$2004,'Estimates'!$A$5:$A$2004,$A32,'Estimates'!$B$5:$B$2004,"MPS",'Estimates'!$C$5:$C$2004,'Status'!$E$5,'Estimates'!$H$5:$H$2004,1)))))</x:f>
      </x:c>
      <x:c r="D32" s="13" t="str">
        <x:f>IF(OR(COUNTA($A32)=0,NOT(ISNUMBER('Status'!$F$5))),"",IF(COUNTIFS('Estimates'!$A$5:$A$2004,$A32,'Estimates'!$B$5:$B$2004,"MPS",'Estimates'!$C$5:$C$2004,'Status'!$F$5,'Estimates'!$H$5:$H$2004,1)=0,"",IF(COUNTIFS('Estimates'!$A$5:$A$2004,$A32,'Estimates'!$B$5:$B$2004,"MPS",'Estimates'!$C$5:$C$2004,'Status'!$F$5,'Estimates'!$H$5:$H$2004,1)&gt;1,"DUP",IF(COUNTIFS('Estimates'!$A$5:$A$2004,$A32,'Estimates'!$B$5:$B$2004,"MPS",'Estimates'!$C$5:$C$2004,'Status'!$F$5,'Estimates'!$H$5:$H$2004,1,'Estimates'!$F$5:$F$2004,"&lt;&gt;")=0,"",SUMIFS('Estimates'!$F$5:$F$2004,'Estimates'!$A$5:$A$2004,$A32,'Estimates'!$B$5:$B$2004,"MPS",'Estimates'!$C$5:$C$2004,'Status'!$F$5,'Estimates'!$H$5:$H$2004,1)))))</x:f>
      </x:c>
      <x:c r="E32" s="13" t="str">
        <x:f>IF(OR(COUNTA($A32)=0,NOT(ISNUMBER('Status'!$G$5))),"",IF(COUNTIFS('Estimates'!$A$5:$A$2004,$A32,'Estimates'!$B$5:$B$2004,"MPS",'Estimates'!$C$5:$C$2004,'Status'!$G$5,'Estimates'!$H$5:$H$2004,1)=0,"",IF(COUNTIFS('Estimates'!$A$5:$A$2004,$A32,'Estimates'!$B$5:$B$2004,"MPS",'Estimates'!$C$5:$C$2004,'Status'!$G$5,'Estimates'!$H$5:$H$2004,1)&gt;1,"DUP",IF(COUNTIFS('Estimates'!$A$5:$A$2004,$A32,'Estimates'!$B$5:$B$2004,"MPS",'Estimates'!$C$5:$C$2004,'Status'!$G$5,'Estimates'!$H$5:$H$2004,1,'Estimates'!$F$5:$F$2004,"&lt;&gt;")=0,"",SUMIFS('Estimates'!$F$5:$F$2004,'Estimates'!$A$5:$A$2004,$A32,'Estimates'!$B$5:$B$2004,"MPS",'Estimates'!$C$5:$C$2004,'Status'!$G$5,'Estimates'!$H$5:$H$2004,1)))))</x:f>
      </x:c>
      <x:c r="F32" s="13" t="str">
        <x:f>IF(AND(ISNUMBER(C32),ISNUMBER(D32)),D32-C32,"")</x:f>
      </x:c>
      <x:c r="G32" s="13" t="str">
        <x:f>IF(AND(ISNUMBER(D32),ISNUMBER(E32)),E32-D32,"")</x:f>
      </x:c>
      <x:c r="H32" s="13" t="str">
        <x:f>IF(AND(COUNT(C32:E32)=3,COUNT('Status'!$E$5:$G$5)=3,'Status'!$E$5&gt;0,'Status'!$E$5&lt;'Status'!$F$5,'Status'!$F$5&lt;'Status'!$G$5),ABS(E32-(D32+(D32-C32)*((1/'Status'!$G$5)-(1/'Status'!$F$5))/((1/'Status'!$F$5)-(1/'Status'!$E$5)))),"")</x:f>
      </x:c>
      <x:c r="I32" s="13" t="str">
        <x:f>IF(AND(COUNT(C32:E32)=3,COUNT('Status'!$E$5:$G$5)=3,'Status'!$E$5&gt;0,'Status'!$E$5&lt;'Status'!$F$5,'Status'!$F$5&lt;'Status'!$G$5),((1/'Status'!$F$5)*E32-(1/'Status'!$G$5)*D32)/((1/'Status'!$F$5)-(1/'Status'!$G$5)),"")</x:f>
      </x:c>
      <x:c r="J32" s="13" t="str">
        <x:f>IF(OR(COUNTA($A32)=0,NOT(ISNUMBER('Status'!$E$6))),"",IF(COUNTIFS('Estimates'!$A$5:$A$2004,$A32,'Estimates'!$B$5:$B$2004,"PPS",'Estimates'!$D$5:$D$2004,'Status'!$E$6,'Estimates'!$H$5:$H$2004,1,'Estimates'!$E$5:$E$2004,'Status'!$E$7)=0,"",IF(COUNTIFS('Estimates'!$A$5:$A$2004,$A32,'Estimates'!$B$5:$B$2004,"PPS",'Estimates'!$D$5:$D$2004,'Status'!$E$6,'Estimates'!$H$5:$H$2004,1,'Estimates'!$E$5:$E$2004,'Status'!$E$7)&gt;1,"DUP",IF(COUNTIFS('Estimates'!$A$5:$A$2004,$A32,'Estimates'!$B$5:$B$2004,"PPS",'Estimates'!$D$5:$D$2004,'Status'!$E$6,'Estimates'!$H$5:$H$2004,1,'Estimates'!$E$5:$E$2004,'Status'!$E$7,'Estimates'!$F$5:$F$2004,"&lt;&gt;")=0,"",SUMIFS('Estimates'!$F$5:$F$2004,'Estimates'!$A$5:$A$2004,$A32,'Estimates'!$B$5:$B$2004,"PPS",'Estimates'!$D$5:$D$2004,'Status'!$E$6,'Estimates'!$H$5:$H$2004,1,'Estimates'!$E$5:$E$2004,'Status'!$E$7)))))</x:f>
      </x:c>
      <x:c r="K32" s="13" t="str">
        <x:f>IF(OR(COUNTA($A32)=0,NOT(ISNUMBER('Status'!$F$6))),"",IF(COUNTIFS('Estimates'!$A$5:$A$2004,$A32,'Estimates'!$B$5:$B$2004,"PPS",'Estimates'!$D$5:$D$2004,'Status'!$F$6,'Estimates'!$H$5:$H$2004,1,'Estimates'!$E$5:$E$2004,'Status'!$E$7)=0,"",IF(COUNTIFS('Estimates'!$A$5:$A$2004,$A32,'Estimates'!$B$5:$B$2004,"PPS",'Estimates'!$D$5:$D$2004,'Status'!$F$6,'Estimates'!$H$5:$H$2004,1,'Estimates'!$E$5:$E$2004,'Status'!$E$7)&gt;1,"DUP",IF(COUNTIFS('Estimates'!$A$5:$A$2004,$A32,'Estimates'!$B$5:$B$2004,"PPS",'Estimates'!$D$5:$D$2004,'Status'!$F$6,'Estimates'!$H$5:$H$2004,1,'Estimates'!$E$5:$E$2004,'Status'!$E$7,'Estimates'!$F$5:$F$2004,"&lt;&gt;")=0,"",SUMIFS('Estimates'!$F$5:$F$2004,'Estimates'!$A$5:$A$2004,$A32,'Estimates'!$B$5:$B$2004,"PPS",'Estimates'!$D$5:$D$2004,'Status'!$F$6,'Estimates'!$H$5:$H$2004,1,'Estimates'!$E$5:$E$2004,'Status'!$E$7)))))</x:f>
      </x:c>
      <x:c r="L32" s="13" t="str">
        <x:f>IF(OR(COUNTA($A32)=0,NOT(ISNUMBER('Status'!$G$6))),"",IF(COUNTIFS('Estimates'!$A$5:$A$2004,$A32,'Estimates'!$B$5:$B$2004,"PPS",'Estimates'!$D$5:$D$2004,'Status'!$G$6,'Estimates'!$H$5:$H$2004,1,'Estimates'!$E$5:$E$2004,'Status'!$E$7)=0,"",IF(COUNTIFS('Estimates'!$A$5:$A$2004,$A32,'Estimates'!$B$5:$B$2004,"PPS",'Estimates'!$D$5:$D$2004,'Status'!$G$6,'Estimates'!$H$5:$H$2004,1,'Estimates'!$E$5:$E$2004,'Status'!$E$7)&gt;1,"DUP",IF(COUNTIFS('Estimates'!$A$5:$A$2004,$A32,'Estimates'!$B$5:$B$2004,"PPS",'Estimates'!$D$5:$D$2004,'Status'!$G$6,'Estimates'!$H$5:$H$2004,1,'Estimates'!$E$5:$E$2004,'Status'!$E$7,'Estimates'!$F$5:$F$2004,"&lt;&gt;")=0,"",SUMIFS('Estimates'!$F$5:$F$2004,'Estimates'!$A$5:$A$2004,$A32,'Estimates'!$B$5:$B$2004,"PPS",'Estimates'!$D$5:$D$2004,'Status'!$G$6,'Estimates'!$H$5:$H$2004,1,'Estimates'!$E$5:$E$2004,'Status'!$E$7)))))</x:f>
      </x:c>
      <x:c r="M32" s="13" t="str">
        <x:f>IF(AND(ISNUMBER(J32),ISNUMBER(K32)),K32-J32,"")</x:f>
      </x:c>
      <x:c r="N32" s="13" t="str">
        <x:f>IF(AND(ISNUMBER(K32),ISNUMBER(L32)),L32-K32,"")</x:f>
      </x:c>
      <x:c r="O32" s="13" t="str">
        <x:f>IF(AND(COUNT(J32:L32)=3,COUNT('Status'!$E$6:$G$6)=3,'Status'!$E$6&gt;'Status'!$F$6,'Status'!$F$6&gt;'Status'!$G$6,'Status'!$G$6&gt;0),ABS(L32-(K32+(K32-J32)*('Status'!$G$6-'Status'!$F$6)/('Status'!$F$6-'Status'!$E$6))),"")</x:f>
      </x:c>
      <x:c r="P32" s="13" t="str">
        <x:f>IF(AND(COUNT(J32:L32)=3,COUNT('Status'!$E$6:$G$6)=3,'Status'!$E$6&gt;'Status'!$F$6,'Status'!$F$6&gt;'Status'!$G$6,'Status'!$G$6&gt;0),('Status'!$F$6*L32-'Status'!$G$6*K32)/('Status'!$F$6-'Status'!$G$6),"")</x:f>
      </x:c>
      <x:c r="Q32" s="20"/>
      <x:c r="R32" s="13" t="str">
        <x:f>IF(COUNTA($A32)=0,"",IF('Status'!$B$6="MPS 1",IF(ISNUMBER(C32),C32,""),IF('Status'!$B$6="MPS 2",IF(ISNUMBER(D32),D32,""),IF('Status'!$B$6="MPS 3",IF(ISNUMBER(E32),E32,""),IF('Status'!$B$6="MPS extrap",IF(ISNUMBER(I32),I32,""),IF('Status'!$B$6="PPS 1",IF(ISNUMBER(J32),J32,""),IF('Status'!$B$6="PPS 2",IF(ISNUMBER(K32),K32,""),IF('Status'!$B$6="PPS 3",IF(ISNUMBER(L32),L32,""),IF('Status'!$B$6="PPS extrap",IF(ISNUMBER(P32),P32,""),IF('Status'!$B$6="Calibrated",IF(ISNUMBER(Q32),Q32,""),""))))))))))</x:f>
      </x:c>
      <x:c r="S32" s="2" t="str">
        <x:f>IF(COUNTA(A32)=0,"",IF(COUNTIFS('Estimates'!$A$5:$A$2004,A32,'Estimates'!$B$5:$B$2004,"MPS",'Estimates'!$H$5:$H$2004,1)+COUNTIFS('Estimates'!$A$5:$A$2004,A32,'Estimates'!$B$5:$B$2004,"PPS",'Estimates'!$H$5:$H$2004,1)&gt;0,1,0))</x:f>
      </x:c>
      <x:c r="T32" s="2" t="str">
        <x:f>IF(COUNTA(A32)=0,"",IF(COUNTIFS($A$6:$A$165,A32)&gt;1,"Duplicate target",IF(COUNTIFS(C32:E32,"DUP")+COUNTIFS(J32:L32,"DUP")&gt;0,"Duplicate accepted run",IF(COUNTIFS('Estimates'!$A$5:$A$2004,A32,'Estimates'!$H$5:$H$2004,1)-COUNTIFS('Estimates'!$A$5:$A$2004,A32,'Estimates'!$H$5:$H$2004,1,'Estimates'!$F$5:$F$2004,"&lt;&gt;")&gt;0,"Accepted value missing",""))))</x:f>
      </x:c>
    </x:row>
    <x:row r="33">
      <x:c r="A33" s="21" t="n">
        <x:v>27</x:v>
      </x:c>
      <x:c r="B33" s="19"/>
      <x:c r="C33" s="13" t="str">
        <x:f>IF(OR(COUNTA($A33)=0,NOT(ISNUMBER('Status'!$E$5))),"",IF(COUNTIFS('Estimates'!$A$5:$A$2004,$A33,'Estimates'!$B$5:$B$2004,"MPS",'Estimates'!$C$5:$C$2004,'Status'!$E$5,'Estimates'!$H$5:$H$2004,1)=0,"",IF(COUNTIFS('Estimates'!$A$5:$A$2004,$A33,'Estimates'!$B$5:$B$2004,"MPS",'Estimates'!$C$5:$C$2004,'Status'!$E$5,'Estimates'!$H$5:$H$2004,1)&gt;1,"DUP",IF(COUNTIFS('Estimates'!$A$5:$A$2004,$A33,'Estimates'!$B$5:$B$2004,"MPS",'Estimates'!$C$5:$C$2004,'Status'!$E$5,'Estimates'!$H$5:$H$2004,1,'Estimates'!$F$5:$F$2004,"&lt;&gt;")=0,"",SUMIFS('Estimates'!$F$5:$F$2004,'Estimates'!$A$5:$A$2004,$A33,'Estimates'!$B$5:$B$2004,"MPS",'Estimates'!$C$5:$C$2004,'Status'!$E$5,'Estimates'!$H$5:$H$2004,1)))))</x:f>
      </x:c>
      <x:c r="D33" s="13" t="str">
        <x:f>IF(OR(COUNTA($A33)=0,NOT(ISNUMBER('Status'!$F$5))),"",IF(COUNTIFS('Estimates'!$A$5:$A$2004,$A33,'Estimates'!$B$5:$B$2004,"MPS",'Estimates'!$C$5:$C$2004,'Status'!$F$5,'Estimates'!$H$5:$H$2004,1)=0,"",IF(COUNTIFS('Estimates'!$A$5:$A$2004,$A33,'Estimates'!$B$5:$B$2004,"MPS",'Estimates'!$C$5:$C$2004,'Status'!$F$5,'Estimates'!$H$5:$H$2004,1)&gt;1,"DUP",IF(COUNTIFS('Estimates'!$A$5:$A$2004,$A33,'Estimates'!$B$5:$B$2004,"MPS",'Estimates'!$C$5:$C$2004,'Status'!$F$5,'Estimates'!$H$5:$H$2004,1,'Estimates'!$F$5:$F$2004,"&lt;&gt;")=0,"",SUMIFS('Estimates'!$F$5:$F$2004,'Estimates'!$A$5:$A$2004,$A33,'Estimates'!$B$5:$B$2004,"MPS",'Estimates'!$C$5:$C$2004,'Status'!$F$5,'Estimates'!$H$5:$H$2004,1)))))</x:f>
      </x:c>
      <x:c r="E33" s="13" t="str">
        <x:f>IF(OR(COUNTA($A33)=0,NOT(ISNUMBER('Status'!$G$5))),"",IF(COUNTIFS('Estimates'!$A$5:$A$2004,$A33,'Estimates'!$B$5:$B$2004,"MPS",'Estimates'!$C$5:$C$2004,'Status'!$G$5,'Estimates'!$H$5:$H$2004,1)=0,"",IF(COUNTIFS('Estimates'!$A$5:$A$2004,$A33,'Estimates'!$B$5:$B$2004,"MPS",'Estimates'!$C$5:$C$2004,'Status'!$G$5,'Estimates'!$H$5:$H$2004,1)&gt;1,"DUP",IF(COUNTIFS('Estimates'!$A$5:$A$2004,$A33,'Estimates'!$B$5:$B$2004,"MPS",'Estimates'!$C$5:$C$2004,'Status'!$G$5,'Estimates'!$H$5:$H$2004,1,'Estimates'!$F$5:$F$2004,"&lt;&gt;")=0,"",SUMIFS('Estimates'!$F$5:$F$2004,'Estimates'!$A$5:$A$2004,$A33,'Estimates'!$B$5:$B$2004,"MPS",'Estimates'!$C$5:$C$2004,'Status'!$G$5,'Estimates'!$H$5:$H$2004,1)))))</x:f>
      </x:c>
      <x:c r="F33" s="13" t="str">
        <x:f>IF(AND(ISNUMBER(C33),ISNUMBER(D33)),D33-C33,"")</x:f>
      </x:c>
      <x:c r="G33" s="13" t="str">
        <x:f>IF(AND(ISNUMBER(D33),ISNUMBER(E33)),E33-D33,"")</x:f>
      </x:c>
      <x:c r="H33" s="13" t="str">
        <x:f>IF(AND(COUNT(C33:E33)=3,COUNT('Status'!$E$5:$G$5)=3,'Status'!$E$5&gt;0,'Status'!$E$5&lt;'Status'!$F$5,'Status'!$F$5&lt;'Status'!$G$5),ABS(E33-(D33+(D33-C33)*((1/'Status'!$G$5)-(1/'Status'!$F$5))/((1/'Status'!$F$5)-(1/'Status'!$E$5)))),"")</x:f>
      </x:c>
      <x:c r="I33" s="13" t="str">
        <x:f>IF(AND(COUNT(C33:E33)=3,COUNT('Status'!$E$5:$G$5)=3,'Status'!$E$5&gt;0,'Status'!$E$5&lt;'Status'!$F$5,'Status'!$F$5&lt;'Status'!$G$5),((1/'Status'!$F$5)*E33-(1/'Status'!$G$5)*D33)/((1/'Status'!$F$5)-(1/'Status'!$G$5)),"")</x:f>
      </x:c>
      <x:c r="J33" s="13" t="str">
        <x:f>IF(OR(COUNTA($A33)=0,NOT(ISNUMBER('Status'!$E$6))),"",IF(COUNTIFS('Estimates'!$A$5:$A$2004,$A33,'Estimates'!$B$5:$B$2004,"PPS",'Estimates'!$D$5:$D$2004,'Status'!$E$6,'Estimates'!$H$5:$H$2004,1,'Estimates'!$E$5:$E$2004,'Status'!$E$7)=0,"",IF(COUNTIFS('Estimates'!$A$5:$A$2004,$A33,'Estimates'!$B$5:$B$2004,"PPS",'Estimates'!$D$5:$D$2004,'Status'!$E$6,'Estimates'!$H$5:$H$2004,1,'Estimates'!$E$5:$E$2004,'Status'!$E$7)&gt;1,"DUP",IF(COUNTIFS('Estimates'!$A$5:$A$2004,$A33,'Estimates'!$B$5:$B$2004,"PPS",'Estimates'!$D$5:$D$2004,'Status'!$E$6,'Estimates'!$H$5:$H$2004,1,'Estimates'!$E$5:$E$2004,'Status'!$E$7,'Estimates'!$F$5:$F$2004,"&lt;&gt;")=0,"",SUMIFS('Estimates'!$F$5:$F$2004,'Estimates'!$A$5:$A$2004,$A33,'Estimates'!$B$5:$B$2004,"PPS",'Estimates'!$D$5:$D$2004,'Status'!$E$6,'Estimates'!$H$5:$H$2004,1,'Estimates'!$E$5:$E$2004,'Status'!$E$7)))))</x:f>
      </x:c>
      <x:c r="K33" s="13" t="str">
        <x:f>IF(OR(COUNTA($A33)=0,NOT(ISNUMBER('Status'!$F$6))),"",IF(COUNTIFS('Estimates'!$A$5:$A$2004,$A33,'Estimates'!$B$5:$B$2004,"PPS",'Estimates'!$D$5:$D$2004,'Status'!$F$6,'Estimates'!$H$5:$H$2004,1,'Estimates'!$E$5:$E$2004,'Status'!$E$7)=0,"",IF(COUNTIFS('Estimates'!$A$5:$A$2004,$A33,'Estimates'!$B$5:$B$2004,"PPS",'Estimates'!$D$5:$D$2004,'Status'!$F$6,'Estimates'!$H$5:$H$2004,1,'Estimates'!$E$5:$E$2004,'Status'!$E$7)&gt;1,"DUP",IF(COUNTIFS('Estimates'!$A$5:$A$2004,$A33,'Estimates'!$B$5:$B$2004,"PPS",'Estimates'!$D$5:$D$2004,'Status'!$F$6,'Estimates'!$H$5:$H$2004,1,'Estimates'!$E$5:$E$2004,'Status'!$E$7,'Estimates'!$F$5:$F$2004,"&lt;&gt;")=0,"",SUMIFS('Estimates'!$F$5:$F$2004,'Estimates'!$A$5:$A$2004,$A33,'Estimates'!$B$5:$B$2004,"PPS",'Estimates'!$D$5:$D$2004,'Status'!$F$6,'Estimates'!$H$5:$H$2004,1,'Estimates'!$E$5:$E$2004,'Status'!$E$7)))))</x:f>
      </x:c>
      <x:c r="L33" s="13" t="str">
        <x:f>IF(OR(COUNTA($A33)=0,NOT(ISNUMBER('Status'!$G$6))),"",IF(COUNTIFS('Estimates'!$A$5:$A$2004,$A33,'Estimates'!$B$5:$B$2004,"PPS",'Estimates'!$D$5:$D$2004,'Status'!$G$6,'Estimates'!$H$5:$H$2004,1,'Estimates'!$E$5:$E$2004,'Status'!$E$7)=0,"",IF(COUNTIFS('Estimates'!$A$5:$A$2004,$A33,'Estimates'!$B$5:$B$2004,"PPS",'Estimates'!$D$5:$D$2004,'Status'!$G$6,'Estimates'!$H$5:$H$2004,1,'Estimates'!$E$5:$E$2004,'Status'!$E$7)&gt;1,"DUP",IF(COUNTIFS('Estimates'!$A$5:$A$2004,$A33,'Estimates'!$B$5:$B$2004,"PPS",'Estimates'!$D$5:$D$2004,'Status'!$G$6,'Estimates'!$H$5:$H$2004,1,'Estimates'!$E$5:$E$2004,'Status'!$E$7,'Estimates'!$F$5:$F$2004,"&lt;&gt;")=0,"",SUMIFS('Estimates'!$F$5:$F$2004,'Estimates'!$A$5:$A$2004,$A33,'Estimates'!$B$5:$B$2004,"PPS",'Estimates'!$D$5:$D$2004,'Status'!$G$6,'Estimates'!$H$5:$H$2004,1,'Estimates'!$E$5:$E$2004,'Status'!$E$7)))))</x:f>
      </x:c>
      <x:c r="M33" s="13" t="str">
        <x:f>IF(AND(ISNUMBER(J33),ISNUMBER(K33)),K33-J33,"")</x:f>
      </x:c>
      <x:c r="N33" s="13" t="str">
        <x:f>IF(AND(ISNUMBER(K33),ISNUMBER(L33)),L33-K33,"")</x:f>
      </x:c>
      <x:c r="O33" s="13" t="str">
        <x:f>IF(AND(COUNT(J33:L33)=3,COUNT('Status'!$E$6:$G$6)=3,'Status'!$E$6&gt;'Status'!$F$6,'Status'!$F$6&gt;'Status'!$G$6,'Status'!$G$6&gt;0),ABS(L33-(K33+(K33-J33)*('Status'!$G$6-'Status'!$F$6)/('Status'!$F$6-'Status'!$E$6))),"")</x:f>
      </x:c>
      <x:c r="P33" s="13" t="str">
        <x:f>IF(AND(COUNT(J33:L33)=3,COUNT('Status'!$E$6:$G$6)=3,'Status'!$E$6&gt;'Status'!$F$6,'Status'!$F$6&gt;'Status'!$G$6,'Status'!$G$6&gt;0),('Status'!$F$6*L33-'Status'!$G$6*K33)/('Status'!$F$6-'Status'!$G$6),"")</x:f>
      </x:c>
      <x:c r="Q33" s="20"/>
      <x:c r="R33" s="13" t="str">
        <x:f>IF(COUNTA($A33)=0,"",IF('Status'!$B$6="MPS 1",IF(ISNUMBER(C33),C33,""),IF('Status'!$B$6="MPS 2",IF(ISNUMBER(D33),D33,""),IF('Status'!$B$6="MPS 3",IF(ISNUMBER(E33),E33,""),IF('Status'!$B$6="MPS extrap",IF(ISNUMBER(I33),I33,""),IF('Status'!$B$6="PPS 1",IF(ISNUMBER(J33),J33,""),IF('Status'!$B$6="PPS 2",IF(ISNUMBER(K33),K33,""),IF('Status'!$B$6="PPS 3",IF(ISNUMBER(L33),L33,""),IF('Status'!$B$6="PPS extrap",IF(ISNUMBER(P33),P33,""),IF('Status'!$B$6="Calibrated",IF(ISNUMBER(Q33),Q33,""),""))))))))))</x:f>
      </x:c>
      <x:c r="S33" s="2" t="str">
        <x:f>IF(COUNTA(A33)=0,"",IF(COUNTIFS('Estimates'!$A$5:$A$2004,A33,'Estimates'!$B$5:$B$2004,"MPS",'Estimates'!$H$5:$H$2004,1)+COUNTIFS('Estimates'!$A$5:$A$2004,A33,'Estimates'!$B$5:$B$2004,"PPS",'Estimates'!$H$5:$H$2004,1)&gt;0,1,0))</x:f>
      </x:c>
      <x:c r="T33" s="2" t="str">
        <x:f>IF(COUNTA(A33)=0,"",IF(COUNTIFS($A$6:$A$165,A33)&gt;1,"Duplicate target",IF(COUNTIFS(C33:E33,"DUP")+COUNTIFS(J33:L33,"DUP")&gt;0,"Duplicate accepted run",IF(COUNTIFS('Estimates'!$A$5:$A$2004,A33,'Estimates'!$H$5:$H$2004,1)-COUNTIFS('Estimates'!$A$5:$A$2004,A33,'Estimates'!$H$5:$H$2004,1,'Estimates'!$F$5:$F$2004,"&lt;&gt;")&gt;0,"Accepted value missing",""))))</x:f>
      </x:c>
    </x:row>
    <x:row r="34">
      <x:c r="A34" s="21" t="n">
        <x:v>28</x:v>
      </x:c>
      <x:c r="B34" s="19"/>
      <x:c r="C34" s="13" t="str">
        <x:f>IF(OR(COUNTA($A34)=0,NOT(ISNUMBER('Status'!$E$5))),"",IF(COUNTIFS('Estimates'!$A$5:$A$2004,$A34,'Estimates'!$B$5:$B$2004,"MPS",'Estimates'!$C$5:$C$2004,'Status'!$E$5,'Estimates'!$H$5:$H$2004,1)=0,"",IF(COUNTIFS('Estimates'!$A$5:$A$2004,$A34,'Estimates'!$B$5:$B$2004,"MPS",'Estimates'!$C$5:$C$2004,'Status'!$E$5,'Estimates'!$H$5:$H$2004,1)&gt;1,"DUP",IF(COUNTIFS('Estimates'!$A$5:$A$2004,$A34,'Estimates'!$B$5:$B$2004,"MPS",'Estimates'!$C$5:$C$2004,'Status'!$E$5,'Estimates'!$H$5:$H$2004,1,'Estimates'!$F$5:$F$2004,"&lt;&gt;")=0,"",SUMIFS('Estimates'!$F$5:$F$2004,'Estimates'!$A$5:$A$2004,$A34,'Estimates'!$B$5:$B$2004,"MPS",'Estimates'!$C$5:$C$2004,'Status'!$E$5,'Estimates'!$H$5:$H$2004,1)))))</x:f>
      </x:c>
      <x:c r="D34" s="13" t="str">
        <x:f>IF(OR(COUNTA($A34)=0,NOT(ISNUMBER('Status'!$F$5))),"",IF(COUNTIFS('Estimates'!$A$5:$A$2004,$A34,'Estimates'!$B$5:$B$2004,"MPS",'Estimates'!$C$5:$C$2004,'Status'!$F$5,'Estimates'!$H$5:$H$2004,1)=0,"",IF(COUNTIFS('Estimates'!$A$5:$A$2004,$A34,'Estimates'!$B$5:$B$2004,"MPS",'Estimates'!$C$5:$C$2004,'Status'!$F$5,'Estimates'!$H$5:$H$2004,1)&gt;1,"DUP",IF(COUNTIFS('Estimates'!$A$5:$A$2004,$A34,'Estimates'!$B$5:$B$2004,"MPS",'Estimates'!$C$5:$C$2004,'Status'!$F$5,'Estimates'!$H$5:$H$2004,1,'Estimates'!$F$5:$F$2004,"&lt;&gt;")=0,"",SUMIFS('Estimates'!$F$5:$F$2004,'Estimates'!$A$5:$A$2004,$A34,'Estimates'!$B$5:$B$2004,"MPS",'Estimates'!$C$5:$C$2004,'Status'!$F$5,'Estimates'!$H$5:$H$2004,1)))))</x:f>
      </x:c>
      <x:c r="E34" s="13" t="str">
        <x:f>IF(OR(COUNTA($A34)=0,NOT(ISNUMBER('Status'!$G$5))),"",IF(COUNTIFS('Estimates'!$A$5:$A$2004,$A34,'Estimates'!$B$5:$B$2004,"MPS",'Estimates'!$C$5:$C$2004,'Status'!$G$5,'Estimates'!$H$5:$H$2004,1)=0,"",IF(COUNTIFS('Estimates'!$A$5:$A$2004,$A34,'Estimates'!$B$5:$B$2004,"MPS",'Estimates'!$C$5:$C$2004,'Status'!$G$5,'Estimates'!$H$5:$H$2004,1)&gt;1,"DUP",IF(COUNTIFS('Estimates'!$A$5:$A$2004,$A34,'Estimates'!$B$5:$B$2004,"MPS",'Estimates'!$C$5:$C$2004,'Status'!$G$5,'Estimates'!$H$5:$H$2004,1,'Estimates'!$F$5:$F$2004,"&lt;&gt;")=0,"",SUMIFS('Estimates'!$F$5:$F$2004,'Estimates'!$A$5:$A$2004,$A34,'Estimates'!$B$5:$B$2004,"MPS",'Estimates'!$C$5:$C$2004,'Status'!$G$5,'Estimates'!$H$5:$H$2004,1)))))</x:f>
      </x:c>
      <x:c r="F34" s="13" t="str">
        <x:f>IF(AND(ISNUMBER(C34),ISNUMBER(D34)),D34-C34,"")</x:f>
      </x:c>
      <x:c r="G34" s="13" t="str">
        <x:f>IF(AND(ISNUMBER(D34),ISNUMBER(E34)),E34-D34,"")</x:f>
      </x:c>
      <x:c r="H34" s="13" t="str">
        <x:f>IF(AND(COUNT(C34:E34)=3,COUNT('Status'!$E$5:$G$5)=3,'Status'!$E$5&gt;0,'Status'!$E$5&lt;'Status'!$F$5,'Status'!$F$5&lt;'Status'!$G$5),ABS(E34-(D34+(D34-C34)*((1/'Status'!$G$5)-(1/'Status'!$F$5))/((1/'Status'!$F$5)-(1/'Status'!$E$5)))),"")</x:f>
      </x:c>
      <x:c r="I34" s="13" t="str">
        <x:f>IF(AND(COUNT(C34:E34)=3,COUNT('Status'!$E$5:$G$5)=3,'Status'!$E$5&gt;0,'Status'!$E$5&lt;'Status'!$F$5,'Status'!$F$5&lt;'Status'!$G$5),((1/'Status'!$F$5)*E34-(1/'Status'!$G$5)*D34)/((1/'Status'!$F$5)-(1/'Status'!$G$5)),"")</x:f>
      </x:c>
      <x:c r="J34" s="13" t="str">
        <x:f>IF(OR(COUNTA($A34)=0,NOT(ISNUMBER('Status'!$E$6))),"",IF(COUNTIFS('Estimates'!$A$5:$A$2004,$A34,'Estimates'!$B$5:$B$2004,"PPS",'Estimates'!$D$5:$D$2004,'Status'!$E$6,'Estimates'!$H$5:$H$2004,1,'Estimates'!$E$5:$E$2004,'Status'!$E$7)=0,"",IF(COUNTIFS('Estimates'!$A$5:$A$2004,$A34,'Estimates'!$B$5:$B$2004,"PPS",'Estimates'!$D$5:$D$2004,'Status'!$E$6,'Estimates'!$H$5:$H$2004,1,'Estimates'!$E$5:$E$2004,'Status'!$E$7)&gt;1,"DUP",IF(COUNTIFS('Estimates'!$A$5:$A$2004,$A34,'Estimates'!$B$5:$B$2004,"PPS",'Estimates'!$D$5:$D$2004,'Status'!$E$6,'Estimates'!$H$5:$H$2004,1,'Estimates'!$E$5:$E$2004,'Status'!$E$7,'Estimates'!$F$5:$F$2004,"&lt;&gt;")=0,"",SUMIFS('Estimates'!$F$5:$F$2004,'Estimates'!$A$5:$A$2004,$A34,'Estimates'!$B$5:$B$2004,"PPS",'Estimates'!$D$5:$D$2004,'Status'!$E$6,'Estimates'!$H$5:$H$2004,1,'Estimates'!$E$5:$E$2004,'Status'!$E$7)))))</x:f>
      </x:c>
      <x:c r="K34" s="13" t="str">
        <x:f>IF(OR(COUNTA($A34)=0,NOT(ISNUMBER('Status'!$F$6))),"",IF(COUNTIFS('Estimates'!$A$5:$A$2004,$A34,'Estimates'!$B$5:$B$2004,"PPS",'Estimates'!$D$5:$D$2004,'Status'!$F$6,'Estimates'!$H$5:$H$2004,1,'Estimates'!$E$5:$E$2004,'Status'!$E$7)=0,"",IF(COUNTIFS('Estimates'!$A$5:$A$2004,$A34,'Estimates'!$B$5:$B$2004,"PPS",'Estimates'!$D$5:$D$2004,'Status'!$F$6,'Estimates'!$H$5:$H$2004,1,'Estimates'!$E$5:$E$2004,'Status'!$E$7)&gt;1,"DUP",IF(COUNTIFS('Estimates'!$A$5:$A$2004,$A34,'Estimates'!$B$5:$B$2004,"PPS",'Estimates'!$D$5:$D$2004,'Status'!$F$6,'Estimates'!$H$5:$H$2004,1,'Estimates'!$E$5:$E$2004,'Status'!$E$7,'Estimates'!$F$5:$F$2004,"&lt;&gt;")=0,"",SUMIFS('Estimates'!$F$5:$F$2004,'Estimates'!$A$5:$A$2004,$A34,'Estimates'!$B$5:$B$2004,"PPS",'Estimates'!$D$5:$D$2004,'Status'!$F$6,'Estimates'!$H$5:$H$2004,1,'Estimates'!$E$5:$E$2004,'Status'!$E$7)))))</x:f>
      </x:c>
      <x:c r="L34" s="13" t="str">
        <x:f>IF(OR(COUNTA($A34)=0,NOT(ISNUMBER('Status'!$G$6))),"",IF(COUNTIFS('Estimates'!$A$5:$A$2004,$A34,'Estimates'!$B$5:$B$2004,"PPS",'Estimates'!$D$5:$D$2004,'Status'!$G$6,'Estimates'!$H$5:$H$2004,1,'Estimates'!$E$5:$E$2004,'Status'!$E$7)=0,"",IF(COUNTIFS('Estimates'!$A$5:$A$2004,$A34,'Estimates'!$B$5:$B$2004,"PPS",'Estimates'!$D$5:$D$2004,'Status'!$G$6,'Estimates'!$H$5:$H$2004,1,'Estimates'!$E$5:$E$2004,'Status'!$E$7)&gt;1,"DUP",IF(COUNTIFS('Estimates'!$A$5:$A$2004,$A34,'Estimates'!$B$5:$B$2004,"PPS",'Estimates'!$D$5:$D$2004,'Status'!$G$6,'Estimates'!$H$5:$H$2004,1,'Estimates'!$E$5:$E$2004,'Status'!$E$7,'Estimates'!$F$5:$F$2004,"&lt;&gt;")=0,"",SUMIFS('Estimates'!$F$5:$F$2004,'Estimates'!$A$5:$A$2004,$A34,'Estimates'!$B$5:$B$2004,"PPS",'Estimates'!$D$5:$D$2004,'Status'!$G$6,'Estimates'!$H$5:$H$2004,1,'Estimates'!$E$5:$E$2004,'Status'!$E$7)))))</x:f>
      </x:c>
      <x:c r="M34" s="13" t="str">
        <x:f>IF(AND(ISNUMBER(J34),ISNUMBER(K34)),K34-J34,"")</x:f>
      </x:c>
      <x:c r="N34" s="13" t="str">
        <x:f>IF(AND(ISNUMBER(K34),ISNUMBER(L34)),L34-K34,"")</x:f>
      </x:c>
      <x:c r="O34" s="13" t="str">
        <x:f>IF(AND(COUNT(J34:L34)=3,COUNT('Status'!$E$6:$G$6)=3,'Status'!$E$6&gt;'Status'!$F$6,'Status'!$F$6&gt;'Status'!$G$6,'Status'!$G$6&gt;0),ABS(L34-(K34+(K34-J34)*('Status'!$G$6-'Status'!$F$6)/('Status'!$F$6-'Status'!$E$6))),"")</x:f>
      </x:c>
      <x:c r="P34" s="13" t="str">
        <x:f>IF(AND(COUNT(J34:L34)=3,COUNT('Status'!$E$6:$G$6)=3,'Status'!$E$6&gt;'Status'!$F$6,'Status'!$F$6&gt;'Status'!$G$6,'Status'!$G$6&gt;0),('Status'!$F$6*L34-'Status'!$G$6*K34)/('Status'!$F$6-'Status'!$G$6),"")</x:f>
      </x:c>
      <x:c r="Q34" s="20"/>
      <x:c r="R34" s="13" t="str">
        <x:f>IF(COUNTA($A34)=0,"",IF('Status'!$B$6="MPS 1",IF(ISNUMBER(C34),C34,""),IF('Status'!$B$6="MPS 2",IF(ISNUMBER(D34),D34,""),IF('Status'!$B$6="MPS 3",IF(ISNUMBER(E34),E34,""),IF('Status'!$B$6="MPS extrap",IF(ISNUMBER(I34),I34,""),IF('Status'!$B$6="PPS 1",IF(ISNUMBER(J34),J34,""),IF('Status'!$B$6="PPS 2",IF(ISNUMBER(K34),K34,""),IF('Status'!$B$6="PPS 3",IF(ISNUMBER(L34),L34,""),IF('Status'!$B$6="PPS extrap",IF(ISNUMBER(P34),P34,""),IF('Status'!$B$6="Calibrated",IF(ISNUMBER(Q34),Q34,""),""))))))))))</x:f>
      </x:c>
      <x:c r="S34" s="2" t="str">
        <x:f>IF(COUNTA(A34)=0,"",IF(COUNTIFS('Estimates'!$A$5:$A$2004,A34,'Estimates'!$B$5:$B$2004,"MPS",'Estimates'!$H$5:$H$2004,1)+COUNTIFS('Estimates'!$A$5:$A$2004,A34,'Estimates'!$B$5:$B$2004,"PPS",'Estimates'!$H$5:$H$2004,1)&gt;0,1,0))</x:f>
      </x:c>
      <x:c r="T34" s="2" t="str">
        <x:f>IF(COUNTA(A34)=0,"",IF(COUNTIFS($A$6:$A$165,A34)&gt;1,"Duplicate target",IF(COUNTIFS(C34:E34,"DUP")+COUNTIFS(J34:L34,"DUP")&gt;0,"Duplicate accepted run",IF(COUNTIFS('Estimates'!$A$5:$A$2004,A34,'Estimates'!$H$5:$H$2004,1)-COUNTIFS('Estimates'!$A$5:$A$2004,A34,'Estimates'!$H$5:$H$2004,1,'Estimates'!$F$5:$F$2004,"&lt;&gt;")&gt;0,"Accepted value missing",""))))</x:f>
      </x:c>
    </x:row>
    <x:row r="35">
      <x:c r="A35" s="21" t="n">
        <x:v>29</x:v>
      </x:c>
      <x:c r="B35" s="19"/>
      <x:c r="C35" s="13" t="str">
        <x:f>IF(OR(COUNTA($A35)=0,NOT(ISNUMBER('Status'!$E$5))),"",IF(COUNTIFS('Estimates'!$A$5:$A$2004,$A35,'Estimates'!$B$5:$B$2004,"MPS",'Estimates'!$C$5:$C$2004,'Status'!$E$5,'Estimates'!$H$5:$H$2004,1)=0,"",IF(COUNTIFS('Estimates'!$A$5:$A$2004,$A35,'Estimates'!$B$5:$B$2004,"MPS",'Estimates'!$C$5:$C$2004,'Status'!$E$5,'Estimates'!$H$5:$H$2004,1)&gt;1,"DUP",IF(COUNTIFS('Estimates'!$A$5:$A$2004,$A35,'Estimates'!$B$5:$B$2004,"MPS",'Estimates'!$C$5:$C$2004,'Status'!$E$5,'Estimates'!$H$5:$H$2004,1,'Estimates'!$F$5:$F$2004,"&lt;&gt;")=0,"",SUMIFS('Estimates'!$F$5:$F$2004,'Estimates'!$A$5:$A$2004,$A35,'Estimates'!$B$5:$B$2004,"MPS",'Estimates'!$C$5:$C$2004,'Status'!$E$5,'Estimates'!$H$5:$H$2004,1)))))</x:f>
      </x:c>
      <x:c r="D35" s="13" t="str">
        <x:f>IF(OR(COUNTA($A35)=0,NOT(ISNUMBER('Status'!$F$5))),"",IF(COUNTIFS('Estimates'!$A$5:$A$2004,$A35,'Estimates'!$B$5:$B$2004,"MPS",'Estimates'!$C$5:$C$2004,'Status'!$F$5,'Estimates'!$H$5:$H$2004,1)=0,"",IF(COUNTIFS('Estimates'!$A$5:$A$2004,$A35,'Estimates'!$B$5:$B$2004,"MPS",'Estimates'!$C$5:$C$2004,'Status'!$F$5,'Estimates'!$H$5:$H$2004,1)&gt;1,"DUP",IF(COUNTIFS('Estimates'!$A$5:$A$2004,$A35,'Estimates'!$B$5:$B$2004,"MPS",'Estimates'!$C$5:$C$2004,'Status'!$F$5,'Estimates'!$H$5:$H$2004,1,'Estimates'!$F$5:$F$2004,"&lt;&gt;")=0,"",SUMIFS('Estimates'!$F$5:$F$2004,'Estimates'!$A$5:$A$2004,$A35,'Estimates'!$B$5:$B$2004,"MPS",'Estimates'!$C$5:$C$2004,'Status'!$F$5,'Estimates'!$H$5:$H$2004,1)))))</x:f>
      </x:c>
      <x:c r="E35" s="13" t="str">
        <x:f>IF(OR(COUNTA($A35)=0,NOT(ISNUMBER('Status'!$G$5))),"",IF(COUNTIFS('Estimates'!$A$5:$A$2004,$A35,'Estimates'!$B$5:$B$2004,"MPS",'Estimates'!$C$5:$C$2004,'Status'!$G$5,'Estimates'!$H$5:$H$2004,1)=0,"",IF(COUNTIFS('Estimates'!$A$5:$A$2004,$A35,'Estimates'!$B$5:$B$2004,"MPS",'Estimates'!$C$5:$C$2004,'Status'!$G$5,'Estimates'!$H$5:$H$2004,1)&gt;1,"DUP",IF(COUNTIFS('Estimates'!$A$5:$A$2004,$A35,'Estimates'!$B$5:$B$2004,"MPS",'Estimates'!$C$5:$C$2004,'Status'!$G$5,'Estimates'!$H$5:$H$2004,1,'Estimates'!$F$5:$F$2004,"&lt;&gt;")=0,"",SUMIFS('Estimates'!$F$5:$F$2004,'Estimates'!$A$5:$A$2004,$A35,'Estimates'!$B$5:$B$2004,"MPS",'Estimates'!$C$5:$C$2004,'Status'!$G$5,'Estimates'!$H$5:$H$2004,1)))))</x:f>
      </x:c>
      <x:c r="F35" s="13" t="str">
        <x:f>IF(AND(ISNUMBER(C35),ISNUMBER(D35)),D35-C35,"")</x:f>
      </x:c>
      <x:c r="G35" s="13" t="str">
        <x:f>IF(AND(ISNUMBER(D35),ISNUMBER(E35)),E35-D35,"")</x:f>
      </x:c>
      <x:c r="H35" s="13" t="str">
        <x:f>IF(AND(COUNT(C35:E35)=3,COUNT('Status'!$E$5:$G$5)=3,'Status'!$E$5&gt;0,'Status'!$E$5&lt;'Status'!$F$5,'Status'!$F$5&lt;'Status'!$G$5),ABS(E35-(D35+(D35-C35)*((1/'Status'!$G$5)-(1/'Status'!$F$5))/((1/'Status'!$F$5)-(1/'Status'!$E$5)))),"")</x:f>
      </x:c>
      <x:c r="I35" s="13" t="str">
        <x:f>IF(AND(COUNT(C35:E35)=3,COUNT('Status'!$E$5:$G$5)=3,'Status'!$E$5&gt;0,'Status'!$E$5&lt;'Status'!$F$5,'Status'!$F$5&lt;'Status'!$G$5),((1/'Status'!$F$5)*E35-(1/'Status'!$G$5)*D35)/((1/'Status'!$F$5)-(1/'Status'!$G$5)),"")</x:f>
      </x:c>
      <x:c r="J35" s="13" t="str">
        <x:f>IF(OR(COUNTA($A35)=0,NOT(ISNUMBER('Status'!$E$6))),"",IF(COUNTIFS('Estimates'!$A$5:$A$2004,$A35,'Estimates'!$B$5:$B$2004,"PPS",'Estimates'!$D$5:$D$2004,'Status'!$E$6,'Estimates'!$H$5:$H$2004,1,'Estimates'!$E$5:$E$2004,'Status'!$E$7)=0,"",IF(COUNTIFS('Estimates'!$A$5:$A$2004,$A35,'Estimates'!$B$5:$B$2004,"PPS",'Estimates'!$D$5:$D$2004,'Status'!$E$6,'Estimates'!$H$5:$H$2004,1,'Estimates'!$E$5:$E$2004,'Status'!$E$7)&gt;1,"DUP",IF(COUNTIFS('Estimates'!$A$5:$A$2004,$A35,'Estimates'!$B$5:$B$2004,"PPS",'Estimates'!$D$5:$D$2004,'Status'!$E$6,'Estimates'!$H$5:$H$2004,1,'Estimates'!$E$5:$E$2004,'Status'!$E$7,'Estimates'!$F$5:$F$2004,"&lt;&gt;")=0,"",SUMIFS('Estimates'!$F$5:$F$2004,'Estimates'!$A$5:$A$2004,$A35,'Estimates'!$B$5:$B$2004,"PPS",'Estimates'!$D$5:$D$2004,'Status'!$E$6,'Estimates'!$H$5:$H$2004,1,'Estimates'!$E$5:$E$2004,'Status'!$E$7)))))</x:f>
      </x:c>
      <x:c r="K35" s="13" t="str">
        <x:f>IF(OR(COUNTA($A35)=0,NOT(ISNUMBER('Status'!$F$6))),"",IF(COUNTIFS('Estimates'!$A$5:$A$2004,$A35,'Estimates'!$B$5:$B$2004,"PPS",'Estimates'!$D$5:$D$2004,'Status'!$F$6,'Estimates'!$H$5:$H$2004,1,'Estimates'!$E$5:$E$2004,'Status'!$E$7)=0,"",IF(COUNTIFS('Estimates'!$A$5:$A$2004,$A35,'Estimates'!$B$5:$B$2004,"PPS",'Estimates'!$D$5:$D$2004,'Status'!$F$6,'Estimates'!$H$5:$H$2004,1,'Estimates'!$E$5:$E$2004,'Status'!$E$7)&gt;1,"DUP",IF(COUNTIFS('Estimates'!$A$5:$A$2004,$A35,'Estimates'!$B$5:$B$2004,"PPS",'Estimates'!$D$5:$D$2004,'Status'!$F$6,'Estimates'!$H$5:$H$2004,1,'Estimates'!$E$5:$E$2004,'Status'!$E$7,'Estimates'!$F$5:$F$2004,"&lt;&gt;")=0,"",SUMIFS('Estimates'!$F$5:$F$2004,'Estimates'!$A$5:$A$2004,$A35,'Estimates'!$B$5:$B$2004,"PPS",'Estimates'!$D$5:$D$2004,'Status'!$F$6,'Estimates'!$H$5:$H$2004,1,'Estimates'!$E$5:$E$2004,'Status'!$E$7)))))</x:f>
      </x:c>
      <x:c r="L35" s="13" t="str">
        <x:f>IF(OR(COUNTA($A35)=0,NOT(ISNUMBER('Status'!$G$6))),"",IF(COUNTIFS('Estimates'!$A$5:$A$2004,$A35,'Estimates'!$B$5:$B$2004,"PPS",'Estimates'!$D$5:$D$2004,'Status'!$G$6,'Estimates'!$H$5:$H$2004,1,'Estimates'!$E$5:$E$2004,'Status'!$E$7)=0,"",IF(COUNTIFS('Estimates'!$A$5:$A$2004,$A35,'Estimates'!$B$5:$B$2004,"PPS",'Estimates'!$D$5:$D$2004,'Status'!$G$6,'Estimates'!$H$5:$H$2004,1,'Estimates'!$E$5:$E$2004,'Status'!$E$7)&gt;1,"DUP",IF(COUNTIFS('Estimates'!$A$5:$A$2004,$A35,'Estimates'!$B$5:$B$2004,"PPS",'Estimates'!$D$5:$D$2004,'Status'!$G$6,'Estimates'!$H$5:$H$2004,1,'Estimates'!$E$5:$E$2004,'Status'!$E$7,'Estimates'!$F$5:$F$2004,"&lt;&gt;")=0,"",SUMIFS('Estimates'!$F$5:$F$2004,'Estimates'!$A$5:$A$2004,$A35,'Estimates'!$B$5:$B$2004,"PPS",'Estimates'!$D$5:$D$2004,'Status'!$G$6,'Estimates'!$H$5:$H$2004,1,'Estimates'!$E$5:$E$2004,'Status'!$E$7)))))</x:f>
      </x:c>
      <x:c r="M35" s="13" t="str">
        <x:f>IF(AND(ISNUMBER(J35),ISNUMBER(K35)),K35-J35,"")</x:f>
      </x:c>
      <x:c r="N35" s="13" t="str">
        <x:f>IF(AND(ISNUMBER(K35),ISNUMBER(L35)),L35-K35,"")</x:f>
      </x:c>
      <x:c r="O35" s="13" t="str">
        <x:f>IF(AND(COUNT(J35:L35)=3,COUNT('Status'!$E$6:$G$6)=3,'Status'!$E$6&gt;'Status'!$F$6,'Status'!$F$6&gt;'Status'!$G$6,'Status'!$G$6&gt;0),ABS(L35-(K35+(K35-J35)*('Status'!$G$6-'Status'!$F$6)/('Status'!$F$6-'Status'!$E$6))),"")</x:f>
      </x:c>
      <x:c r="P35" s="13" t="str">
        <x:f>IF(AND(COUNT(J35:L35)=3,COUNT('Status'!$E$6:$G$6)=3,'Status'!$E$6&gt;'Status'!$F$6,'Status'!$F$6&gt;'Status'!$G$6,'Status'!$G$6&gt;0),('Status'!$F$6*L35-'Status'!$G$6*K35)/('Status'!$F$6-'Status'!$G$6),"")</x:f>
      </x:c>
      <x:c r="Q35" s="20"/>
      <x:c r="R35" s="13" t="str">
        <x:f>IF(COUNTA($A35)=0,"",IF('Status'!$B$6="MPS 1",IF(ISNUMBER(C35),C35,""),IF('Status'!$B$6="MPS 2",IF(ISNUMBER(D35),D35,""),IF('Status'!$B$6="MPS 3",IF(ISNUMBER(E35),E35,""),IF('Status'!$B$6="MPS extrap",IF(ISNUMBER(I35),I35,""),IF('Status'!$B$6="PPS 1",IF(ISNUMBER(J35),J35,""),IF('Status'!$B$6="PPS 2",IF(ISNUMBER(K35),K35,""),IF('Status'!$B$6="PPS 3",IF(ISNUMBER(L35),L35,""),IF('Status'!$B$6="PPS extrap",IF(ISNUMBER(P35),P35,""),IF('Status'!$B$6="Calibrated",IF(ISNUMBER(Q35),Q35,""),""))))))))))</x:f>
      </x:c>
      <x:c r="S35" s="2" t="str">
        <x:f>IF(COUNTA(A35)=0,"",IF(COUNTIFS('Estimates'!$A$5:$A$2004,A35,'Estimates'!$B$5:$B$2004,"MPS",'Estimates'!$H$5:$H$2004,1)+COUNTIFS('Estimates'!$A$5:$A$2004,A35,'Estimates'!$B$5:$B$2004,"PPS",'Estimates'!$H$5:$H$2004,1)&gt;0,1,0))</x:f>
      </x:c>
      <x:c r="T35" s="2" t="str">
        <x:f>IF(COUNTA(A35)=0,"",IF(COUNTIFS($A$6:$A$165,A35)&gt;1,"Duplicate target",IF(COUNTIFS(C35:E35,"DUP")+COUNTIFS(J35:L35,"DUP")&gt;0,"Duplicate accepted run",IF(COUNTIFS('Estimates'!$A$5:$A$2004,A35,'Estimates'!$H$5:$H$2004,1)-COUNTIFS('Estimates'!$A$5:$A$2004,A35,'Estimates'!$H$5:$H$2004,1,'Estimates'!$F$5:$F$2004,"&lt;&gt;")&gt;0,"Accepted value missing",""))))</x:f>
      </x:c>
    </x:row>
    <x:row r="36">
      <x:c r="A36" s="21" t="n">
        <x:v>30</x:v>
      </x:c>
      <x:c r="B36" s="19"/>
      <x:c r="C36" s="13" t="str">
        <x:f>IF(OR(COUNTA($A36)=0,NOT(ISNUMBER('Status'!$E$5))),"",IF(COUNTIFS('Estimates'!$A$5:$A$2004,$A36,'Estimates'!$B$5:$B$2004,"MPS",'Estimates'!$C$5:$C$2004,'Status'!$E$5,'Estimates'!$H$5:$H$2004,1)=0,"",IF(COUNTIFS('Estimates'!$A$5:$A$2004,$A36,'Estimates'!$B$5:$B$2004,"MPS",'Estimates'!$C$5:$C$2004,'Status'!$E$5,'Estimates'!$H$5:$H$2004,1)&gt;1,"DUP",IF(COUNTIFS('Estimates'!$A$5:$A$2004,$A36,'Estimates'!$B$5:$B$2004,"MPS",'Estimates'!$C$5:$C$2004,'Status'!$E$5,'Estimates'!$H$5:$H$2004,1,'Estimates'!$F$5:$F$2004,"&lt;&gt;")=0,"",SUMIFS('Estimates'!$F$5:$F$2004,'Estimates'!$A$5:$A$2004,$A36,'Estimates'!$B$5:$B$2004,"MPS",'Estimates'!$C$5:$C$2004,'Status'!$E$5,'Estimates'!$H$5:$H$2004,1)))))</x:f>
      </x:c>
      <x:c r="D36" s="13" t="str">
        <x:f>IF(OR(COUNTA($A36)=0,NOT(ISNUMBER('Status'!$F$5))),"",IF(COUNTIFS('Estimates'!$A$5:$A$2004,$A36,'Estimates'!$B$5:$B$2004,"MPS",'Estimates'!$C$5:$C$2004,'Status'!$F$5,'Estimates'!$H$5:$H$2004,1)=0,"",IF(COUNTIFS('Estimates'!$A$5:$A$2004,$A36,'Estimates'!$B$5:$B$2004,"MPS",'Estimates'!$C$5:$C$2004,'Status'!$F$5,'Estimates'!$H$5:$H$2004,1)&gt;1,"DUP",IF(COUNTIFS('Estimates'!$A$5:$A$2004,$A36,'Estimates'!$B$5:$B$2004,"MPS",'Estimates'!$C$5:$C$2004,'Status'!$F$5,'Estimates'!$H$5:$H$2004,1,'Estimates'!$F$5:$F$2004,"&lt;&gt;")=0,"",SUMIFS('Estimates'!$F$5:$F$2004,'Estimates'!$A$5:$A$2004,$A36,'Estimates'!$B$5:$B$2004,"MPS",'Estimates'!$C$5:$C$2004,'Status'!$F$5,'Estimates'!$H$5:$H$2004,1)))))</x:f>
      </x:c>
      <x:c r="E36" s="13" t="str">
        <x:f>IF(OR(COUNTA($A36)=0,NOT(ISNUMBER('Status'!$G$5))),"",IF(COUNTIFS('Estimates'!$A$5:$A$2004,$A36,'Estimates'!$B$5:$B$2004,"MPS",'Estimates'!$C$5:$C$2004,'Status'!$G$5,'Estimates'!$H$5:$H$2004,1)=0,"",IF(COUNTIFS('Estimates'!$A$5:$A$2004,$A36,'Estimates'!$B$5:$B$2004,"MPS",'Estimates'!$C$5:$C$2004,'Status'!$G$5,'Estimates'!$H$5:$H$2004,1)&gt;1,"DUP",IF(COUNTIFS('Estimates'!$A$5:$A$2004,$A36,'Estimates'!$B$5:$B$2004,"MPS",'Estimates'!$C$5:$C$2004,'Status'!$G$5,'Estimates'!$H$5:$H$2004,1,'Estimates'!$F$5:$F$2004,"&lt;&gt;")=0,"",SUMIFS('Estimates'!$F$5:$F$2004,'Estimates'!$A$5:$A$2004,$A36,'Estimates'!$B$5:$B$2004,"MPS",'Estimates'!$C$5:$C$2004,'Status'!$G$5,'Estimates'!$H$5:$H$2004,1)))))</x:f>
      </x:c>
      <x:c r="F36" s="13" t="str">
        <x:f>IF(AND(ISNUMBER(C36),ISNUMBER(D36)),D36-C36,"")</x:f>
      </x:c>
      <x:c r="G36" s="13" t="str">
        <x:f>IF(AND(ISNUMBER(D36),ISNUMBER(E36)),E36-D36,"")</x:f>
      </x:c>
      <x:c r="H36" s="13" t="str">
        <x:f>IF(AND(COUNT(C36:E36)=3,COUNT('Status'!$E$5:$G$5)=3,'Status'!$E$5&gt;0,'Status'!$E$5&lt;'Status'!$F$5,'Status'!$F$5&lt;'Status'!$G$5),ABS(E36-(D36+(D36-C36)*((1/'Status'!$G$5)-(1/'Status'!$F$5))/((1/'Status'!$F$5)-(1/'Status'!$E$5)))),"")</x:f>
      </x:c>
      <x:c r="I36" s="13" t="str">
        <x:f>IF(AND(COUNT(C36:E36)=3,COUNT('Status'!$E$5:$G$5)=3,'Status'!$E$5&gt;0,'Status'!$E$5&lt;'Status'!$F$5,'Status'!$F$5&lt;'Status'!$G$5),((1/'Status'!$F$5)*E36-(1/'Status'!$G$5)*D36)/((1/'Status'!$F$5)-(1/'Status'!$G$5)),"")</x:f>
      </x:c>
      <x:c r="J36" s="13" t="str">
        <x:f>IF(OR(COUNTA($A36)=0,NOT(ISNUMBER('Status'!$E$6))),"",IF(COUNTIFS('Estimates'!$A$5:$A$2004,$A36,'Estimates'!$B$5:$B$2004,"PPS",'Estimates'!$D$5:$D$2004,'Status'!$E$6,'Estimates'!$H$5:$H$2004,1,'Estimates'!$E$5:$E$2004,'Status'!$E$7)=0,"",IF(COUNTIFS('Estimates'!$A$5:$A$2004,$A36,'Estimates'!$B$5:$B$2004,"PPS",'Estimates'!$D$5:$D$2004,'Status'!$E$6,'Estimates'!$H$5:$H$2004,1,'Estimates'!$E$5:$E$2004,'Status'!$E$7)&gt;1,"DUP",IF(COUNTIFS('Estimates'!$A$5:$A$2004,$A36,'Estimates'!$B$5:$B$2004,"PPS",'Estimates'!$D$5:$D$2004,'Status'!$E$6,'Estimates'!$H$5:$H$2004,1,'Estimates'!$E$5:$E$2004,'Status'!$E$7,'Estimates'!$F$5:$F$2004,"&lt;&gt;")=0,"",SUMIFS('Estimates'!$F$5:$F$2004,'Estimates'!$A$5:$A$2004,$A36,'Estimates'!$B$5:$B$2004,"PPS",'Estimates'!$D$5:$D$2004,'Status'!$E$6,'Estimates'!$H$5:$H$2004,1,'Estimates'!$E$5:$E$2004,'Status'!$E$7)))))</x:f>
      </x:c>
      <x:c r="K36" s="13" t="str">
        <x:f>IF(OR(COUNTA($A36)=0,NOT(ISNUMBER('Status'!$F$6))),"",IF(COUNTIFS('Estimates'!$A$5:$A$2004,$A36,'Estimates'!$B$5:$B$2004,"PPS",'Estimates'!$D$5:$D$2004,'Status'!$F$6,'Estimates'!$H$5:$H$2004,1,'Estimates'!$E$5:$E$2004,'Status'!$E$7)=0,"",IF(COUNTIFS('Estimates'!$A$5:$A$2004,$A36,'Estimates'!$B$5:$B$2004,"PPS",'Estimates'!$D$5:$D$2004,'Status'!$F$6,'Estimates'!$H$5:$H$2004,1,'Estimates'!$E$5:$E$2004,'Status'!$E$7)&gt;1,"DUP",IF(COUNTIFS('Estimates'!$A$5:$A$2004,$A36,'Estimates'!$B$5:$B$2004,"PPS",'Estimates'!$D$5:$D$2004,'Status'!$F$6,'Estimates'!$H$5:$H$2004,1,'Estimates'!$E$5:$E$2004,'Status'!$E$7,'Estimates'!$F$5:$F$2004,"&lt;&gt;")=0,"",SUMIFS('Estimates'!$F$5:$F$2004,'Estimates'!$A$5:$A$2004,$A36,'Estimates'!$B$5:$B$2004,"PPS",'Estimates'!$D$5:$D$2004,'Status'!$F$6,'Estimates'!$H$5:$H$2004,1,'Estimates'!$E$5:$E$2004,'Status'!$E$7)))))</x:f>
      </x:c>
      <x:c r="L36" s="13" t="str">
        <x:f>IF(OR(COUNTA($A36)=0,NOT(ISNUMBER('Status'!$G$6))),"",IF(COUNTIFS('Estimates'!$A$5:$A$2004,$A36,'Estimates'!$B$5:$B$2004,"PPS",'Estimates'!$D$5:$D$2004,'Status'!$G$6,'Estimates'!$H$5:$H$2004,1,'Estimates'!$E$5:$E$2004,'Status'!$E$7)=0,"",IF(COUNTIFS('Estimates'!$A$5:$A$2004,$A36,'Estimates'!$B$5:$B$2004,"PPS",'Estimates'!$D$5:$D$2004,'Status'!$G$6,'Estimates'!$H$5:$H$2004,1,'Estimates'!$E$5:$E$2004,'Status'!$E$7)&gt;1,"DUP",IF(COUNTIFS('Estimates'!$A$5:$A$2004,$A36,'Estimates'!$B$5:$B$2004,"PPS",'Estimates'!$D$5:$D$2004,'Status'!$G$6,'Estimates'!$H$5:$H$2004,1,'Estimates'!$E$5:$E$2004,'Status'!$E$7,'Estimates'!$F$5:$F$2004,"&lt;&gt;")=0,"",SUMIFS('Estimates'!$F$5:$F$2004,'Estimates'!$A$5:$A$2004,$A36,'Estimates'!$B$5:$B$2004,"PPS",'Estimates'!$D$5:$D$2004,'Status'!$G$6,'Estimates'!$H$5:$H$2004,1,'Estimates'!$E$5:$E$2004,'Status'!$E$7)))))</x:f>
      </x:c>
      <x:c r="M36" s="13" t="str">
        <x:f>IF(AND(ISNUMBER(J36),ISNUMBER(K36)),K36-J36,"")</x:f>
      </x:c>
      <x:c r="N36" s="13" t="str">
        <x:f>IF(AND(ISNUMBER(K36),ISNUMBER(L36)),L36-K36,"")</x:f>
      </x:c>
      <x:c r="O36" s="13" t="str">
        <x:f>IF(AND(COUNT(J36:L36)=3,COUNT('Status'!$E$6:$G$6)=3,'Status'!$E$6&gt;'Status'!$F$6,'Status'!$F$6&gt;'Status'!$G$6,'Status'!$G$6&gt;0),ABS(L36-(K36+(K36-J36)*('Status'!$G$6-'Status'!$F$6)/('Status'!$F$6-'Status'!$E$6))),"")</x:f>
      </x:c>
      <x:c r="P36" s="13" t="str">
        <x:f>IF(AND(COUNT(J36:L36)=3,COUNT('Status'!$E$6:$G$6)=3,'Status'!$E$6&gt;'Status'!$F$6,'Status'!$F$6&gt;'Status'!$G$6,'Status'!$G$6&gt;0),('Status'!$F$6*L36-'Status'!$G$6*K36)/('Status'!$F$6-'Status'!$G$6),"")</x:f>
      </x:c>
      <x:c r="Q36" s="20"/>
      <x:c r="R36" s="13" t="str">
        <x:f>IF(COUNTA($A36)=0,"",IF('Status'!$B$6="MPS 1",IF(ISNUMBER(C36),C36,""),IF('Status'!$B$6="MPS 2",IF(ISNUMBER(D36),D36,""),IF('Status'!$B$6="MPS 3",IF(ISNUMBER(E36),E36,""),IF('Status'!$B$6="MPS extrap",IF(ISNUMBER(I36),I36,""),IF('Status'!$B$6="PPS 1",IF(ISNUMBER(J36),J36,""),IF('Status'!$B$6="PPS 2",IF(ISNUMBER(K36),K36,""),IF('Status'!$B$6="PPS 3",IF(ISNUMBER(L36),L36,""),IF('Status'!$B$6="PPS extrap",IF(ISNUMBER(P36),P36,""),IF('Status'!$B$6="Calibrated",IF(ISNUMBER(Q36),Q36,""),""))))))))))</x:f>
      </x:c>
      <x:c r="S36" s="2" t="str">
        <x:f>IF(COUNTA(A36)=0,"",IF(COUNTIFS('Estimates'!$A$5:$A$2004,A36,'Estimates'!$B$5:$B$2004,"MPS",'Estimates'!$H$5:$H$2004,1)+COUNTIFS('Estimates'!$A$5:$A$2004,A36,'Estimates'!$B$5:$B$2004,"PPS",'Estimates'!$H$5:$H$2004,1)&gt;0,1,0))</x:f>
      </x:c>
      <x:c r="T36" s="2" t="str">
        <x:f>IF(COUNTA(A36)=0,"",IF(COUNTIFS($A$6:$A$165,A36)&gt;1,"Duplicate target",IF(COUNTIFS(C36:E36,"DUP")+COUNTIFS(J36:L36,"DUP")&gt;0,"Duplicate accepted run",IF(COUNTIFS('Estimates'!$A$5:$A$2004,A36,'Estimates'!$H$5:$H$2004,1)-COUNTIFS('Estimates'!$A$5:$A$2004,A36,'Estimates'!$H$5:$H$2004,1,'Estimates'!$F$5:$F$2004,"&lt;&gt;")&gt;0,"Accepted value missing",""))))</x:f>
      </x:c>
    </x:row>
    <x:row r="37">
      <x:c r="A37" s="21" t="n">
        <x:v>31</x:v>
      </x:c>
      <x:c r="B37" s="19"/>
      <x:c r="C37" s="13" t="str">
        <x:f>IF(OR(COUNTA($A37)=0,NOT(ISNUMBER('Status'!$E$5))),"",IF(COUNTIFS('Estimates'!$A$5:$A$2004,$A37,'Estimates'!$B$5:$B$2004,"MPS",'Estimates'!$C$5:$C$2004,'Status'!$E$5,'Estimates'!$H$5:$H$2004,1)=0,"",IF(COUNTIFS('Estimates'!$A$5:$A$2004,$A37,'Estimates'!$B$5:$B$2004,"MPS",'Estimates'!$C$5:$C$2004,'Status'!$E$5,'Estimates'!$H$5:$H$2004,1)&gt;1,"DUP",IF(COUNTIFS('Estimates'!$A$5:$A$2004,$A37,'Estimates'!$B$5:$B$2004,"MPS",'Estimates'!$C$5:$C$2004,'Status'!$E$5,'Estimates'!$H$5:$H$2004,1,'Estimates'!$F$5:$F$2004,"&lt;&gt;")=0,"",SUMIFS('Estimates'!$F$5:$F$2004,'Estimates'!$A$5:$A$2004,$A37,'Estimates'!$B$5:$B$2004,"MPS",'Estimates'!$C$5:$C$2004,'Status'!$E$5,'Estimates'!$H$5:$H$2004,1)))))</x:f>
      </x:c>
      <x:c r="D37" s="13" t="str">
        <x:f>IF(OR(COUNTA($A37)=0,NOT(ISNUMBER('Status'!$F$5))),"",IF(COUNTIFS('Estimates'!$A$5:$A$2004,$A37,'Estimates'!$B$5:$B$2004,"MPS",'Estimates'!$C$5:$C$2004,'Status'!$F$5,'Estimates'!$H$5:$H$2004,1)=0,"",IF(COUNTIFS('Estimates'!$A$5:$A$2004,$A37,'Estimates'!$B$5:$B$2004,"MPS",'Estimates'!$C$5:$C$2004,'Status'!$F$5,'Estimates'!$H$5:$H$2004,1)&gt;1,"DUP",IF(COUNTIFS('Estimates'!$A$5:$A$2004,$A37,'Estimates'!$B$5:$B$2004,"MPS",'Estimates'!$C$5:$C$2004,'Status'!$F$5,'Estimates'!$H$5:$H$2004,1,'Estimates'!$F$5:$F$2004,"&lt;&gt;")=0,"",SUMIFS('Estimates'!$F$5:$F$2004,'Estimates'!$A$5:$A$2004,$A37,'Estimates'!$B$5:$B$2004,"MPS",'Estimates'!$C$5:$C$2004,'Status'!$F$5,'Estimates'!$H$5:$H$2004,1)))))</x:f>
      </x:c>
      <x:c r="E37" s="13" t="str">
        <x:f>IF(OR(COUNTA($A37)=0,NOT(ISNUMBER('Status'!$G$5))),"",IF(COUNTIFS('Estimates'!$A$5:$A$2004,$A37,'Estimates'!$B$5:$B$2004,"MPS",'Estimates'!$C$5:$C$2004,'Status'!$G$5,'Estimates'!$H$5:$H$2004,1)=0,"",IF(COUNTIFS('Estimates'!$A$5:$A$2004,$A37,'Estimates'!$B$5:$B$2004,"MPS",'Estimates'!$C$5:$C$2004,'Status'!$G$5,'Estimates'!$H$5:$H$2004,1)&gt;1,"DUP",IF(COUNTIFS('Estimates'!$A$5:$A$2004,$A37,'Estimates'!$B$5:$B$2004,"MPS",'Estimates'!$C$5:$C$2004,'Status'!$G$5,'Estimates'!$H$5:$H$2004,1,'Estimates'!$F$5:$F$2004,"&lt;&gt;")=0,"",SUMIFS('Estimates'!$F$5:$F$2004,'Estimates'!$A$5:$A$2004,$A37,'Estimates'!$B$5:$B$2004,"MPS",'Estimates'!$C$5:$C$2004,'Status'!$G$5,'Estimates'!$H$5:$H$2004,1)))))</x:f>
      </x:c>
      <x:c r="F37" s="13" t="str">
        <x:f>IF(AND(ISNUMBER(C37),ISNUMBER(D37)),D37-C37,"")</x:f>
      </x:c>
      <x:c r="G37" s="13" t="str">
        <x:f>IF(AND(ISNUMBER(D37),ISNUMBER(E37)),E37-D37,"")</x:f>
      </x:c>
      <x:c r="H37" s="13" t="str">
        <x:f>IF(AND(COUNT(C37:E37)=3,COUNT('Status'!$E$5:$G$5)=3,'Status'!$E$5&gt;0,'Status'!$E$5&lt;'Status'!$F$5,'Status'!$F$5&lt;'Status'!$G$5),ABS(E37-(D37+(D37-C37)*((1/'Status'!$G$5)-(1/'Status'!$F$5))/((1/'Status'!$F$5)-(1/'Status'!$E$5)))),"")</x:f>
      </x:c>
      <x:c r="I37" s="13" t="str">
        <x:f>IF(AND(COUNT(C37:E37)=3,COUNT('Status'!$E$5:$G$5)=3,'Status'!$E$5&gt;0,'Status'!$E$5&lt;'Status'!$F$5,'Status'!$F$5&lt;'Status'!$G$5),((1/'Status'!$F$5)*E37-(1/'Status'!$G$5)*D37)/((1/'Status'!$F$5)-(1/'Status'!$G$5)),"")</x:f>
      </x:c>
      <x:c r="J37" s="13" t="str">
        <x:f>IF(OR(COUNTA($A37)=0,NOT(ISNUMBER('Status'!$E$6))),"",IF(COUNTIFS('Estimates'!$A$5:$A$2004,$A37,'Estimates'!$B$5:$B$2004,"PPS",'Estimates'!$D$5:$D$2004,'Status'!$E$6,'Estimates'!$H$5:$H$2004,1,'Estimates'!$E$5:$E$2004,'Status'!$E$7)=0,"",IF(COUNTIFS('Estimates'!$A$5:$A$2004,$A37,'Estimates'!$B$5:$B$2004,"PPS",'Estimates'!$D$5:$D$2004,'Status'!$E$6,'Estimates'!$H$5:$H$2004,1,'Estimates'!$E$5:$E$2004,'Status'!$E$7)&gt;1,"DUP",IF(COUNTIFS('Estimates'!$A$5:$A$2004,$A37,'Estimates'!$B$5:$B$2004,"PPS",'Estimates'!$D$5:$D$2004,'Status'!$E$6,'Estimates'!$H$5:$H$2004,1,'Estimates'!$E$5:$E$2004,'Status'!$E$7,'Estimates'!$F$5:$F$2004,"&lt;&gt;")=0,"",SUMIFS('Estimates'!$F$5:$F$2004,'Estimates'!$A$5:$A$2004,$A37,'Estimates'!$B$5:$B$2004,"PPS",'Estimates'!$D$5:$D$2004,'Status'!$E$6,'Estimates'!$H$5:$H$2004,1,'Estimates'!$E$5:$E$2004,'Status'!$E$7)))))</x:f>
      </x:c>
      <x:c r="K37" s="13" t="str">
        <x:f>IF(OR(COUNTA($A37)=0,NOT(ISNUMBER('Status'!$F$6))),"",IF(COUNTIFS('Estimates'!$A$5:$A$2004,$A37,'Estimates'!$B$5:$B$2004,"PPS",'Estimates'!$D$5:$D$2004,'Status'!$F$6,'Estimates'!$H$5:$H$2004,1,'Estimates'!$E$5:$E$2004,'Status'!$E$7)=0,"",IF(COUNTIFS('Estimates'!$A$5:$A$2004,$A37,'Estimates'!$B$5:$B$2004,"PPS",'Estimates'!$D$5:$D$2004,'Status'!$F$6,'Estimates'!$H$5:$H$2004,1,'Estimates'!$E$5:$E$2004,'Status'!$E$7)&gt;1,"DUP",IF(COUNTIFS('Estimates'!$A$5:$A$2004,$A37,'Estimates'!$B$5:$B$2004,"PPS",'Estimates'!$D$5:$D$2004,'Status'!$F$6,'Estimates'!$H$5:$H$2004,1,'Estimates'!$E$5:$E$2004,'Status'!$E$7,'Estimates'!$F$5:$F$2004,"&lt;&gt;")=0,"",SUMIFS('Estimates'!$F$5:$F$2004,'Estimates'!$A$5:$A$2004,$A37,'Estimates'!$B$5:$B$2004,"PPS",'Estimates'!$D$5:$D$2004,'Status'!$F$6,'Estimates'!$H$5:$H$2004,1,'Estimates'!$E$5:$E$2004,'Status'!$E$7)))))</x:f>
      </x:c>
      <x:c r="L37" s="13" t="str">
        <x:f>IF(OR(COUNTA($A37)=0,NOT(ISNUMBER('Status'!$G$6))),"",IF(COUNTIFS('Estimates'!$A$5:$A$2004,$A37,'Estimates'!$B$5:$B$2004,"PPS",'Estimates'!$D$5:$D$2004,'Status'!$G$6,'Estimates'!$H$5:$H$2004,1,'Estimates'!$E$5:$E$2004,'Status'!$E$7)=0,"",IF(COUNTIFS('Estimates'!$A$5:$A$2004,$A37,'Estimates'!$B$5:$B$2004,"PPS",'Estimates'!$D$5:$D$2004,'Status'!$G$6,'Estimates'!$H$5:$H$2004,1,'Estimates'!$E$5:$E$2004,'Status'!$E$7)&gt;1,"DUP",IF(COUNTIFS('Estimates'!$A$5:$A$2004,$A37,'Estimates'!$B$5:$B$2004,"PPS",'Estimates'!$D$5:$D$2004,'Status'!$G$6,'Estimates'!$H$5:$H$2004,1,'Estimates'!$E$5:$E$2004,'Status'!$E$7,'Estimates'!$F$5:$F$2004,"&lt;&gt;")=0,"",SUMIFS('Estimates'!$F$5:$F$2004,'Estimates'!$A$5:$A$2004,$A37,'Estimates'!$B$5:$B$2004,"PPS",'Estimates'!$D$5:$D$2004,'Status'!$G$6,'Estimates'!$H$5:$H$2004,1,'Estimates'!$E$5:$E$2004,'Status'!$E$7)))))</x:f>
      </x:c>
      <x:c r="M37" s="13" t="str">
        <x:f>IF(AND(ISNUMBER(J37),ISNUMBER(K37)),K37-J37,"")</x:f>
      </x:c>
      <x:c r="N37" s="13" t="str">
        <x:f>IF(AND(ISNUMBER(K37),ISNUMBER(L37)),L37-K37,"")</x:f>
      </x:c>
      <x:c r="O37" s="13" t="str">
        <x:f>IF(AND(COUNT(J37:L37)=3,COUNT('Status'!$E$6:$G$6)=3,'Status'!$E$6&gt;'Status'!$F$6,'Status'!$F$6&gt;'Status'!$G$6,'Status'!$G$6&gt;0),ABS(L37-(K37+(K37-J37)*('Status'!$G$6-'Status'!$F$6)/('Status'!$F$6-'Status'!$E$6))),"")</x:f>
      </x:c>
      <x:c r="P37" s="13" t="str">
        <x:f>IF(AND(COUNT(J37:L37)=3,COUNT('Status'!$E$6:$G$6)=3,'Status'!$E$6&gt;'Status'!$F$6,'Status'!$F$6&gt;'Status'!$G$6,'Status'!$G$6&gt;0),('Status'!$F$6*L37-'Status'!$G$6*K37)/('Status'!$F$6-'Status'!$G$6),"")</x:f>
      </x:c>
      <x:c r="Q37" s="20"/>
      <x:c r="R37" s="13" t="str">
        <x:f>IF(COUNTA($A37)=0,"",IF('Status'!$B$6="MPS 1",IF(ISNUMBER(C37),C37,""),IF('Status'!$B$6="MPS 2",IF(ISNUMBER(D37),D37,""),IF('Status'!$B$6="MPS 3",IF(ISNUMBER(E37),E37,""),IF('Status'!$B$6="MPS extrap",IF(ISNUMBER(I37),I37,""),IF('Status'!$B$6="PPS 1",IF(ISNUMBER(J37),J37,""),IF('Status'!$B$6="PPS 2",IF(ISNUMBER(K37),K37,""),IF('Status'!$B$6="PPS 3",IF(ISNUMBER(L37),L37,""),IF('Status'!$B$6="PPS extrap",IF(ISNUMBER(P37),P37,""),IF('Status'!$B$6="Calibrated",IF(ISNUMBER(Q37),Q37,""),""))))))))))</x:f>
      </x:c>
      <x:c r="S37" s="2" t="str">
        <x:f>IF(COUNTA(A37)=0,"",IF(COUNTIFS('Estimates'!$A$5:$A$2004,A37,'Estimates'!$B$5:$B$2004,"MPS",'Estimates'!$H$5:$H$2004,1)+COUNTIFS('Estimates'!$A$5:$A$2004,A37,'Estimates'!$B$5:$B$2004,"PPS",'Estimates'!$H$5:$H$2004,1)&gt;0,1,0))</x:f>
      </x:c>
      <x:c r="T37" s="2" t="str">
        <x:f>IF(COUNTA(A37)=0,"",IF(COUNTIFS($A$6:$A$165,A37)&gt;1,"Duplicate target",IF(COUNTIFS(C37:E37,"DUP")+COUNTIFS(J37:L37,"DUP")&gt;0,"Duplicate accepted run",IF(COUNTIFS('Estimates'!$A$5:$A$2004,A37,'Estimates'!$H$5:$H$2004,1)-COUNTIFS('Estimates'!$A$5:$A$2004,A37,'Estimates'!$H$5:$H$2004,1,'Estimates'!$F$5:$F$2004,"&lt;&gt;")&gt;0,"Accepted value missing",""))))</x:f>
      </x:c>
    </x:row>
    <x:row r="38">
      <x:c r="A38" s="21" t="n">
        <x:v>32</x:v>
      </x:c>
      <x:c r="B38" s="19"/>
      <x:c r="C38" s="13" t="str">
        <x:f>IF(OR(COUNTA($A38)=0,NOT(ISNUMBER('Status'!$E$5))),"",IF(COUNTIFS('Estimates'!$A$5:$A$2004,$A38,'Estimates'!$B$5:$B$2004,"MPS",'Estimates'!$C$5:$C$2004,'Status'!$E$5,'Estimates'!$H$5:$H$2004,1)=0,"",IF(COUNTIFS('Estimates'!$A$5:$A$2004,$A38,'Estimates'!$B$5:$B$2004,"MPS",'Estimates'!$C$5:$C$2004,'Status'!$E$5,'Estimates'!$H$5:$H$2004,1)&gt;1,"DUP",IF(COUNTIFS('Estimates'!$A$5:$A$2004,$A38,'Estimates'!$B$5:$B$2004,"MPS",'Estimates'!$C$5:$C$2004,'Status'!$E$5,'Estimates'!$H$5:$H$2004,1,'Estimates'!$F$5:$F$2004,"&lt;&gt;")=0,"",SUMIFS('Estimates'!$F$5:$F$2004,'Estimates'!$A$5:$A$2004,$A38,'Estimates'!$B$5:$B$2004,"MPS",'Estimates'!$C$5:$C$2004,'Status'!$E$5,'Estimates'!$H$5:$H$2004,1)))))</x:f>
      </x:c>
      <x:c r="D38" s="13" t="str">
        <x:f>IF(OR(COUNTA($A38)=0,NOT(ISNUMBER('Status'!$F$5))),"",IF(COUNTIFS('Estimates'!$A$5:$A$2004,$A38,'Estimates'!$B$5:$B$2004,"MPS",'Estimates'!$C$5:$C$2004,'Status'!$F$5,'Estimates'!$H$5:$H$2004,1)=0,"",IF(COUNTIFS('Estimates'!$A$5:$A$2004,$A38,'Estimates'!$B$5:$B$2004,"MPS",'Estimates'!$C$5:$C$2004,'Status'!$F$5,'Estimates'!$H$5:$H$2004,1)&gt;1,"DUP",IF(COUNTIFS('Estimates'!$A$5:$A$2004,$A38,'Estimates'!$B$5:$B$2004,"MPS",'Estimates'!$C$5:$C$2004,'Status'!$F$5,'Estimates'!$H$5:$H$2004,1,'Estimates'!$F$5:$F$2004,"&lt;&gt;")=0,"",SUMIFS('Estimates'!$F$5:$F$2004,'Estimates'!$A$5:$A$2004,$A38,'Estimates'!$B$5:$B$2004,"MPS",'Estimates'!$C$5:$C$2004,'Status'!$F$5,'Estimates'!$H$5:$H$2004,1)))))</x:f>
      </x:c>
      <x:c r="E38" s="13" t="str">
        <x:f>IF(OR(COUNTA($A38)=0,NOT(ISNUMBER('Status'!$G$5))),"",IF(COUNTIFS('Estimates'!$A$5:$A$2004,$A38,'Estimates'!$B$5:$B$2004,"MPS",'Estimates'!$C$5:$C$2004,'Status'!$G$5,'Estimates'!$H$5:$H$2004,1)=0,"",IF(COUNTIFS('Estimates'!$A$5:$A$2004,$A38,'Estimates'!$B$5:$B$2004,"MPS",'Estimates'!$C$5:$C$2004,'Status'!$G$5,'Estimates'!$H$5:$H$2004,1)&gt;1,"DUP",IF(COUNTIFS('Estimates'!$A$5:$A$2004,$A38,'Estimates'!$B$5:$B$2004,"MPS",'Estimates'!$C$5:$C$2004,'Status'!$G$5,'Estimates'!$H$5:$H$2004,1,'Estimates'!$F$5:$F$2004,"&lt;&gt;")=0,"",SUMIFS('Estimates'!$F$5:$F$2004,'Estimates'!$A$5:$A$2004,$A38,'Estimates'!$B$5:$B$2004,"MPS",'Estimates'!$C$5:$C$2004,'Status'!$G$5,'Estimates'!$H$5:$H$2004,1)))))</x:f>
      </x:c>
      <x:c r="F38" s="13" t="str">
        <x:f>IF(AND(ISNUMBER(C38),ISNUMBER(D38)),D38-C38,"")</x:f>
      </x:c>
      <x:c r="G38" s="13" t="str">
        <x:f>IF(AND(ISNUMBER(D38),ISNUMBER(E38)),E38-D38,"")</x:f>
      </x:c>
      <x:c r="H38" s="13" t="str">
        <x:f>IF(AND(COUNT(C38:E38)=3,COUNT('Status'!$E$5:$G$5)=3,'Status'!$E$5&gt;0,'Status'!$E$5&lt;'Status'!$F$5,'Status'!$F$5&lt;'Status'!$G$5),ABS(E38-(D38+(D38-C38)*((1/'Status'!$G$5)-(1/'Status'!$F$5))/((1/'Status'!$F$5)-(1/'Status'!$E$5)))),"")</x:f>
      </x:c>
      <x:c r="I38" s="13" t="str">
        <x:f>IF(AND(COUNT(C38:E38)=3,COUNT('Status'!$E$5:$G$5)=3,'Status'!$E$5&gt;0,'Status'!$E$5&lt;'Status'!$F$5,'Status'!$F$5&lt;'Status'!$G$5),((1/'Status'!$F$5)*E38-(1/'Status'!$G$5)*D38)/((1/'Status'!$F$5)-(1/'Status'!$G$5)),"")</x:f>
      </x:c>
      <x:c r="J38" s="13" t="str">
        <x:f>IF(OR(COUNTA($A38)=0,NOT(ISNUMBER('Status'!$E$6))),"",IF(COUNTIFS('Estimates'!$A$5:$A$2004,$A38,'Estimates'!$B$5:$B$2004,"PPS",'Estimates'!$D$5:$D$2004,'Status'!$E$6,'Estimates'!$H$5:$H$2004,1,'Estimates'!$E$5:$E$2004,'Status'!$E$7)=0,"",IF(COUNTIFS('Estimates'!$A$5:$A$2004,$A38,'Estimates'!$B$5:$B$2004,"PPS",'Estimates'!$D$5:$D$2004,'Status'!$E$6,'Estimates'!$H$5:$H$2004,1,'Estimates'!$E$5:$E$2004,'Status'!$E$7)&gt;1,"DUP",IF(COUNTIFS('Estimates'!$A$5:$A$2004,$A38,'Estimates'!$B$5:$B$2004,"PPS",'Estimates'!$D$5:$D$2004,'Status'!$E$6,'Estimates'!$H$5:$H$2004,1,'Estimates'!$E$5:$E$2004,'Status'!$E$7,'Estimates'!$F$5:$F$2004,"&lt;&gt;")=0,"",SUMIFS('Estimates'!$F$5:$F$2004,'Estimates'!$A$5:$A$2004,$A38,'Estimates'!$B$5:$B$2004,"PPS",'Estimates'!$D$5:$D$2004,'Status'!$E$6,'Estimates'!$H$5:$H$2004,1,'Estimates'!$E$5:$E$2004,'Status'!$E$7)))))</x:f>
      </x:c>
      <x:c r="K38" s="13" t="str">
        <x:f>IF(OR(COUNTA($A38)=0,NOT(ISNUMBER('Status'!$F$6))),"",IF(COUNTIFS('Estimates'!$A$5:$A$2004,$A38,'Estimates'!$B$5:$B$2004,"PPS",'Estimates'!$D$5:$D$2004,'Status'!$F$6,'Estimates'!$H$5:$H$2004,1,'Estimates'!$E$5:$E$2004,'Status'!$E$7)=0,"",IF(COUNTIFS('Estimates'!$A$5:$A$2004,$A38,'Estimates'!$B$5:$B$2004,"PPS",'Estimates'!$D$5:$D$2004,'Status'!$F$6,'Estimates'!$H$5:$H$2004,1,'Estimates'!$E$5:$E$2004,'Status'!$E$7)&gt;1,"DUP",IF(COUNTIFS('Estimates'!$A$5:$A$2004,$A38,'Estimates'!$B$5:$B$2004,"PPS",'Estimates'!$D$5:$D$2004,'Status'!$F$6,'Estimates'!$H$5:$H$2004,1,'Estimates'!$E$5:$E$2004,'Status'!$E$7,'Estimates'!$F$5:$F$2004,"&lt;&gt;")=0,"",SUMIFS('Estimates'!$F$5:$F$2004,'Estimates'!$A$5:$A$2004,$A38,'Estimates'!$B$5:$B$2004,"PPS",'Estimates'!$D$5:$D$2004,'Status'!$F$6,'Estimates'!$H$5:$H$2004,1,'Estimates'!$E$5:$E$2004,'Status'!$E$7)))))</x:f>
      </x:c>
      <x:c r="L38" s="13" t="str">
        <x:f>IF(OR(COUNTA($A38)=0,NOT(ISNUMBER('Status'!$G$6))),"",IF(COUNTIFS('Estimates'!$A$5:$A$2004,$A38,'Estimates'!$B$5:$B$2004,"PPS",'Estimates'!$D$5:$D$2004,'Status'!$G$6,'Estimates'!$H$5:$H$2004,1,'Estimates'!$E$5:$E$2004,'Status'!$E$7)=0,"",IF(COUNTIFS('Estimates'!$A$5:$A$2004,$A38,'Estimates'!$B$5:$B$2004,"PPS",'Estimates'!$D$5:$D$2004,'Status'!$G$6,'Estimates'!$H$5:$H$2004,1,'Estimates'!$E$5:$E$2004,'Status'!$E$7)&gt;1,"DUP",IF(COUNTIFS('Estimates'!$A$5:$A$2004,$A38,'Estimates'!$B$5:$B$2004,"PPS",'Estimates'!$D$5:$D$2004,'Status'!$G$6,'Estimates'!$H$5:$H$2004,1,'Estimates'!$E$5:$E$2004,'Status'!$E$7,'Estimates'!$F$5:$F$2004,"&lt;&gt;")=0,"",SUMIFS('Estimates'!$F$5:$F$2004,'Estimates'!$A$5:$A$2004,$A38,'Estimates'!$B$5:$B$2004,"PPS",'Estimates'!$D$5:$D$2004,'Status'!$G$6,'Estimates'!$H$5:$H$2004,1,'Estimates'!$E$5:$E$2004,'Status'!$E$7)))))</x:f>
      </x:c>
      <x:c r="M38" s="13" t="str">
        <x:f>IF(AND(ISNUMBER(J38),ISNUMBER(K38)),K38-J38,"")</x:f>
      </x:c>
      <x:c r="N38" s="13" t="str">
        <x:f>IF(AND(ISNUMBER(K38),ISNUMBER(L38)),L38-K38,"")</x:f>
      </x:c>
      <x:c r="O38" s="13" t="str">
        <x:f>IF(AND(COUNT(J38:L38)=3,COUNT('Status'!$E$6:$G$6)=3,'Status'!$E$6&gt;'Status'!$F$6,'Status'!$F$6&gt;'Status'!$G$6,'Status'!$G$6&gt;0),ABS(L38-(K38+(K38-J38)*('Status'!$G$6-'Status'!$F$6)/('Status'!$F$6-'Status'!$E$6))),"")</x:f>
      </x:c>
      <x:c r="P38" s="13" t="str">
        <x:f>IF(AND(COUNT(J38:L38)=3,COUNT('Status'!$E$6:$G$6)=3,'Status'!$E$6&gt;'Status'!$F$6,'Status'!$F$6&gt;'Status'!$G$6,'Status'!$G$6&gt;0),('Status'!$F$6*L38-'Status'!$G$6*K38)/('Status'!$F$6-'Status'!$G$6),"")</x:f>
      </x:c>
      <x:c r="Q38" s="20"/>
      <x:c r="R38" s="13" t="str">
        <x:f>IF(COUNTA($A38)=0,"",IF('Status'!$B$6="MPS 1",IF(ISNUMBER(C38),C38,""),IF('Status'!$B$6="MPS 2",IF(ISNUMBER(D38),D38,""),IF('Status'!$B$6="MPS 3",IF(ISNUMBER(E38),E38,""),IF('Status'!$B$6="MPS extrap",IF(ISNUMBER(I38),I38,""),IF('Status'!$B$6="PPS 1",IF(ISNUMBER(J38),J38,""),IF('Status'!$B$6="PPS 2",IF(ISNUMBER(K38),K38,""),IF('Status'!$B$6="PPS 3",IF(ISNUMBER(L38),L38,""),IF('Status'!$B$6="PPS extrap",IF(ISNUMBER(P38),P38,""),IF('Status'!$B$6="Calibrated",IF(ISNUMBER(Q38),Q38,""),""))))))))))</x:f>
      </x:c>
      <x:c r="S38" s="2" t="str">
        <x:f>IF(COUNTA(A38)=0,"",IF(COUNTIFS('Estimates'!$A$5:$A$2004,A38,'Estimates'!$B$5:$B$2004,"MPS",'Estimates'!$H$5:$H$2004,1)+COUNTIFS('Estimates'!$A$5:$A$2004,A38,'Estimates'!$B$5:$B$2004,"PPS",'Estimates'!$H$5:$H$2004,1)&gt;0,1,0))</x:f>
      </x:c>
      <x:c r="T38" s="2" t="str">
        <x:f>IF(COUNTA(A38)=0,"",IF(COUNTIFS($A$6:$A$165,A38)&gt;1,"Duplicate target",IF(COUNTIFS(C38:E38,"DUP")+COUNTIFS(J38:L38,"DUP")&gt;0,"Duplicate accepted run",IF(COUNTIFS('Estimates'!$A$5:$A$2004,A38,'Estimates'!$H$5:$H$2004,1)-COUNTIFS('Estimates'!$A$5:$A$2004,A38,'Estimates'!$H$5:$H$2004,1,'Estimates'!$F$5:$F$2004,"&lt;&gt;")&gt;0,"Accepted value missing",""))))</x:f>
      </x:c>
    </x:row>
    <x:row r="39">
      <x:c r="A39" s="21" t="n">
        <x:v>33</x:v>
      </x:c>
      <x:c r="B39" s="19"/>
      <x:c r="C39" s="13" t="str">
        <x:f>IF(OR(COUNTA($A39)=0,NOT(ISNUMBER('Status'!$E$5))),"",IF(COUNTIFS('Estimates'!$A$5:$A$2004,$A39,'Estimates'!$B$5:$B$2004,"MPS",'Estimates'!$C$5:$C$2004,'Status'!$E$5,'Estimates'!$H$5:$H$2004,1)=0,"",IF(COUNTIFS('Estimates'!$A$5:$A$2004,$A39,'Estimates'!$B$5:$B$2004,"MPS",'Estimates'!$C$5:$C$2004,'Status'!$E$5,'Estimates'!$H$5:$H$2004,1)&gt;1,"DUP",IF(COUNTIFS('Estimates'!$A$5:$A$2004,$A39,'Estimates'!$B$5:$B$2004,"MPS",'Estimates'!$C$5:$C$2004,'Status'!$E$5,'Estimates'!$H$5:$H$2004,1,'Estimates'!$F$5:$F$2004,"&lt;&gt;")=0,"",SUMIFS('Estimates'!$F$5:$F$2004,'Estimates'!$A$5:$A$2004,$A39,'Estimates'!$B$5:$B$2004,"MPS",'Estimates'!$C$5:$C$2004,'Status'!$E$5,'Estimates'!$H$5:$H$2004,1)))))</x:f>
      </x:c>
      <x:c r="D39" s="13" t="str">
        <x:f>IF(OR(COUNTA($A39)=0,NOT(ISNUMBER('Status'!$F$5))),"",IF(COUNTIFS('Estimates'!$A$5:$A$2004,$A39,'Estimates'!$B$5:$B$2004,"MPS",'Estimates'!$C$5:$C$2004,'Status'!$F$5,'Estimates'!$H$5:$H$2004,1)=0,"",IF(COUNTIFS('Estimates'!$A$5:$A$2004,$A39,'Estimates'!$B$5:$B$2004,"MPS",'Estimates'!$C$5:$C$2004,'Status'!$F$5,'Estimates'!$H$5:$H$2004,1)&gt;1,"DUP",IF(COUNTIFS('Estimates'!$A$5:$A$2004,$A39,'Estimates'!$B$5:$B$2004,"MPS",'Estimates'!$C$5:$C$2004,'Status'!$F$5,'Estimates'!$H$5:$H$2004,1,'Estimates'!$F$5:$F$2004,"&lt;&gt;")=0,"",SUMIFS('Estimates'!$F$5:$F$2004,'Estimates'!$A$5:$A$2004,$A39,'Estimates'!$B$5:$B$2004,"MPS",'Estimates'!$C$5:$C$2004,'Status'!$F$5,'Estimates'!$H$5:$H$2004,1)))))</x:f>
      </x:c>
      <x:c r="E39" s="13" t="str">
        <x:f>IF(OR(COUNTA($A39)=0,NOT(ISNUMBER('Status'!$G$5))),"",IF(COUNTIFS('Estimates'!$A$5:$A$2004,$A39,'Estimates'!$B$5:$B$2004,"MPS",'Estimates'!$C$5:$C$2004,'Status'!$G$5,'Estimates'!$H$5:$H$2004,1)=0,"",IF(COUNTIFS('Estimates'!$A$5:$A$2004,$A39,'Estimates'!$B$5:$B$2004,"MPS",'Estimates'!$C$5:$C$2004,'Status'!$G$5,'Estimates'!$H$5:$H$2004,1)&gt;1,"DUP",IF(COUNTIFS('Estimates'!$A$5:$A$2004,$A39,'Estimates'!$B$5:$B$2004,"MPS",'Estimates'!$C$5:$C$2004,'Status'!$G$5,'Estimates'!$H$5:$H$2004,1,'Estimates'!$F$5:$F$2004,"&lt;&gt;")=0,"",SUMIFS('Estimates'!$F$5:$F$2004,'Estimates'!$A$5:$A$2004,$A39,'Estimates'!$B$5:$B$2004,"MPS",'Estimates'!$C$5:$C$2004,'Status'!$G$5,'Estimates'!$H$5:$H$2004,1)))))</x:f>
      </x:c>
      <x:c r="F39" s="13" t="str">
        <x:f>IF(AND(ISNUMBER(C39),ISNUMBER(D39)),D39-C39,"")</x:f>
      </x:c>
      <x:c r="G39" s="13" t="str">
        <x:f>IF(AND(ISNUMBER(D39),ISNUMBER(E39)),E39-D39,"")</x:f>
      </x:c>
      <x:c r="H39" s="13" t="str">
        <x:f>IF(AND(COUNT(C39:E39)=3,COUNT('Status'!$E$5:$G$5)=3,'Status'!$E$5&gt;0,'Status'!$E$5&lt;'Status'!$F$5,'Status'!$F$5&lt;'Status'!$G$5),ABS(E39-(D39+(D39-C39)*((1/'Status'!$G$5)-(1/'Status'!$F$5))/((1/'Status'!$F$5)-(1/'Status'!$E$5)))),"")</x:f>
      </x:c>
      <x:c r="I39" s="13" t="str">
        <x:f>IF(AND(COUNT(C39:E39)=3,COUNT('Status'!$E$5:$G$5)=3,'Status'!$E$5&gt;0,'Status'!$E$5&lt;'Status'!$F$5,'Status'!$F$5&lt;'Status'!$G$5),((1/'Status'!$F$5)*E39-(1/'Status'!$G$5)*D39)/((1/'Status'!$F$5)-(1/'Status'!$G$5)),"")</x:f>
      </x:c>
      <x:c r="J39" s="13" t="str">
        <x:f>IF(OR(COUNTA($A39)=0,NOT(ISNUMBER('Status'!$E$6))),"",IF(COUNTIFS('Estimates'!$A$5:$A$2004,$A39,'Estimates'!$B$5:$B$2004,"PPS",'Estimates'!$D$5:$D$2004,'Status'!$E$6,'Estimates'!$H$5:$H$2004,1,'Estimates'!$E$5:$E$2004,'Status'!$E$7)=0,"",IF(COUNTIFS('Estimates'!$A$5:$A$2004,$A39,'Estimates'!$B$5:$B$2004,"PPS",'Estimates'!$D$5:$D$2004,'Status'!$E$6,'Estimates'!$H$5:$H$2004,1,'Estimates'!$E$5:$E$2004,'Status'!$E$7)&gt;1,"DUP",IF(COUNTIFS('Estimates'!$A$5:$A$2004,$A39,'Estimates'!$B$5:$B$2004,"PPS",'Estimates'!$D$5:$D$2004,'Status'!$E$6,'Estimates'!$H$5:$H$2004,1,'Estimates'!$E$5:$E$2004,'Status'!$E$7,'Estimates'!$F$5:$F$2004,"&lt;&gt;")=0,"",SUMIFS('Estimates'!$F$5:$F$2004,'Estimates'!$A$5:$A$2004,$A39,'Estimates'!$B$5:$B$2004,"PPS",'Estimates'!$D$5:$D$2004,'Status'!$E$6,'Estimates'!$H$5:$H$2004,1,'Estimates'!$E$5:$E$2004,'Status'!$E$7)))))</x:f>
      </x:c>
      <x:c r="K39" s="13" t="str">
        <x:f>IF(OR(COUNTA($A39)=0,NOT(ISNUMBER('Status'!$F$6))),"",IF(COUNTIFS('Estimates'!$A$5:$A$2004,$A39,'Estimates'!$B$5:$B$2004,"PPS",'Estimates'!$D$5:$D$2004,'Status'!$F$6,'Estimates'!$H$5:$H$2004,1,'Estimates'!$E$5:$E$2004,'Status'!$E$7)=0,"",IF(COUNTIFS('Estimates'!$A$5:$A$2004,$A39,'Estimates'!$B$5:$B$2004,"PPS",'Estimates'!$D$5:$D$2004,'Status'!$F$6,'Estimates'!$H$5:$H$2004,1,'Estimates'!$E$5:$E$2004,'Status'!$E$7)&gt;1,"DUP",IF(COUNTIFS('Estimates'!$A$5:$A$2004,$A39,'Estimates'!$B$5:$B$2004,"PPS",'Estimates'!$D$5:$D$2004,'Status'!$F$6,'Estimates'!$H$5:$H$2004,1,'Estimates'!$E$5:$E$2004,'Status'!$E$7,'Estimates'!$F$5:$F$2004,"&lt;&gt;")=0,"",SUMIFS('Estimates'!$F$5:$F$2004,'Estimates'!$A$5:$A$2004,$A39,'Estimates'!$B$5:$B$2004,"PPS",'Estimates'!$D$5:$D$2004,'Status'!$F$6,'Estimates'!$H$5:$H$2004,1,'Estimates'!$E$5:$E$2004,'Status'!$E$7)))))</x:f>
      </x:c>
      <x:c r="L39" s="13" t="str">
        <x:f>IF(OR(COUNTA($A39)=0,NOT(ISNUMBER('Status'!$G$6))),"",IF(COUNTIFS('Estimates'!$A$5:$A$2004,$A39,'Estimates'!$B$5:$B$2004,"PPS",'Estimates'!$D$5:$D$2004,'Status'!$G$6,'Estimates'!$H$5:$H$2004,1,'Estimates'!$E$5:$E$2004,'Status'!$E$7)=0,"",IF(COUNTIFS('Estimates'!$A$5:$A$2004,$A39,'Estimates'!$B$5:$B$2004,"PPS",'Estimates'!$D$5:$D$2004,'Status'!$G$6,'Estimates'!$H$5:$H$2004,1,'Estimates'!$E$5:$E$2004,'Status'!$E$7)&gt;1,"DUP",IF(COUNTIFS('Estimates'!$A$5:$A$2004,$A39,'Estimates'!$B$5:$B$2004,"PPS",'Estimates'!$D$5:$D$2004,'Status'!$G$6,'Estimates'!$H$5:$H$2004,1,'Estimates'!$E$5:$E$2004,'Status'!$E$7,'Estimates'!$F$5:$F$2004,"&lt;&gt;")=0,"",SUMIFS('Estimates'!$F$5:$F$2004,'Estimates'!$A$5:$A$2004,$A39,'Estimates'!$B$5:$B$2004,"PPS",'Estimates'!$D$5:$D$2004,'Status'!$G$6,'Estimates'!$H$5:$H$2004,1,'Estimates'!$E$5:$E$2004,'Status'!$E$7)))))</x:f>
      </x:c>
      <x:c r="M39" s="13" t="str">
        <x:f>IF(AND(ISNUMBER(J39),ISNUMBER(K39)),K39-J39,"")</x:f>
      </x:c>
      <x:c r="N39" s="13" t="str">
        <x:f>IF(AND(ISNUMBER(K39),ISNUMBER(L39)),L39-K39,"")</x:f>
      </x:c>
      <x:c r="O39" s="13" t="str">
        <x:f>IF(AND(COUNT(J39:L39)=3,COUNT('Status'!$E$6:$G$6)=3,'Status'!$E$6&gt;'Status'!$F$6,'Status'!$F$6&gt;'Status'!$G$6,'Status'!$G$6&gt;0),ABS(L39-(K39+(K39-J39)*('Status'!$G$6-'Status'!$F$6)/('Status'!$F$6-'Status'!$E$6))),"")</x:f>
      </x:c>
      <x:c r="P39" s="13" t="str">
        <x:f>IF(AND(COUNT(J39:L39)=3,COUNT('Status'!$E$6:$G$6)=3,'Status'!$E$6&gt;'Status'!$F$6,'Status'!$F$6&gt;'Status'!$G$6,'Status'!$G$6&gt;0),('Status'!$F$6*L39-'Status'!$G$6*K39)/('Status'!$F$6-'Status'!$G$6),"")</x:f>
      </x:c>
      <x:c r="Q39" s="20"/>
      <x:c r="R39" s="13" t="str">
        <x:f>IF(COUNTA($A39)=0,"",IF('Status'!$B$6="MPS 1",IF(ISNUMBER(C39),C39,""),IF('Status'!$B$6="MPS 2",IF(ISNUMBER(D39),D39,""),IF('Status'!$B$6="MPS 3",IF(ISNUMBER(E39),E39,""),IF('Status'!$B$6="MPS extrap",IF(ISNUMBER(I39),I39,""),IF('Status'!$B$6="PPS 1",IF(ISNUMBER(J39),J39,""),IF('Status'!$B$6="PPS 2",IF(ISNUMBER(K39),K39,""),IF('Status'!$B$6="PPS 3",IF(ISNUMBER(L39),L39,""),IF('Status'!$B$6="PPS extrap",IF(ISNUMBER(P39),P39,""),IF('Status'!$B$6="Calibrated",IF(ISNUMBER(Q39),Q39,""),""))))))))))</x:f>
      </x:c>
      <x:c r="S39" s="2" t="str">
        <x:f>IF(COUNTA(A39)=0,"",IF(COUNTIFS('Estimates'!$A$5:$A$2004,A39,'Estimates'!$B$5:$B$2004,"MPS",'Estimates'!$H$5:$H$2004,1)+COUNTIFS('Estimates'!$A$5:$A$2004,A39,'Estimates'!$B$5:$B$2004,"PPS",'Estimates'!$H$5:$H$2004,1)&gt;0,1,0))</x:f>
      </x:c>
      <x:c r="T39" s="2" t="str">
        <x:f>IF(COUNTA(A39)=0,"",IF(COUNTIFS($A$6:$A$165,A39)&gt;1,"Duplicate target",IF(COUNTIFS(C39:E39,"DUP")+COUNTIFS(J39:L39,"DUP")&gt;0,"Duplicate accepted run",IF(COUNTIFS('Estimates'!$A$5:$A$2004,A39,'Estimates'!$H$5:$H$2004,1)-COUNTIFS('Estimates'!$A$5:$A$2004,A39,'Estimates'!$H$5:$H$2004,1,'Estimates'!$F$5:$F$2004,"&lt;&gt;")&gt;0,"Accepted value missing",""))))</x:f>
      </x:c>
    </x:row>
    <x:row r="40">
      <x:c r="A40" s="21" t="n">
        <x:v>34</x:v>
      </x:c>
      <x:c r="B40" s="19"/>
      <x:c r="C40" s="13" t="str">
        <x:f>IF(OR(COUNTA($A40)=0,NOT(ISNUMBER('Status'!$E$5))),"",IF(COUNTIFS('Estimates'!$A$5:$A$2004,$A40,'Estimates'!$B$5:$B$2004,"MPS",'Estimates'!$C$5:$C$2004,'Status'!$E$5,'Estimates'!$H$5:$H$2004,1)=0,"",IF(COUNTIFS('Estimates'!$A$5:$A$2004,$A40,'Estimates'!$B$5:$B$2004,"MPS",'Estimates'!$C$5:$C$2004,'Status'!$E$5,'Estimates'!$H$5:$H$2004,1)&gt;1,"DUP",IF(COUNTIFS('Estimates'!$A$5:$A$2004,$A40,'Estimates'!$B$5:$B$2004,"MPS",'Estimates'!$C$5:$C$2004,'Status'!$E$5,'Estimates'!$H$5:$H$2004,1,'Estimates'!$F$5:$F$2004,"&lt;&gt;")=0,"",SUMIFS('Estimates'!$F$5:$F$2004,'Estimates'!$A$5:$A$2004,$A40,'Estimates'!$B$5:$B$2004,"MPS",'Estimates'!$C$5:$C$2004,'Status'!$E$5,'Estimates'!$H$5:$H$2004,1)))))</x:f>
      </x:c>
      <x:c r="D40" s="13" t="str">
        <x:f>IF(OR(COUNTA($A40)=0,NOT(ISNUMBER('Status'!$F$5))),"",IF(COUNTIFS('Estimates'!$A$5:$A$2004,$A40,'Estimates'!$B$5:$B$2004,"MPS",'Estimates'!$C$5:$C$2004,'Status'!$F$5,'Estimates'!$H$5:$H$2004,1)=0,"",IF(COUNTIFS('Estimates'!$A$5:$A$2004,$A40,'Estimates'!$B$5:$B$2004,"MPS",'Estimates'!$C$5:$C$2004,'Status'!$F$5,'Estimates'!$H$5:$H$2004,1)&gt;1,"DUP",IF(COUNTIFS('Estimates'!$A$5:$A$2004,$A40,'Estimates'!$B$5:$B$2004,"MPS",'Estimates'!$C$5:$C$2004,'Status'!$F$5,'Estimates'!$H$5:$H$2004,1,'Estimates'!$F$5:$F$2004,"&lt;&gt;")=0,"",SUMIFS('Estimates'!$F$5:$F$2004,'Estimates'!$A$5:$A$2004,$A40,'Estimates'!$B$5:$B$2004,"MPS",'Estimates'!$C$5:$C$2004,'Status'!$F$5,'Estimates'!$H$5:$H$2004,1)))))</x:f>
      </x:c>
      <x:c r="E40" s="13" t="str">
        <x:f>IF(OR(COUNTA($A40)=0,NOT(ISNUMBER('Status'!$G$5))),"",IF(COUNTIFS('Estimates'!$A$5:$A$2004,$A40,'Estimates'!$B$5:$B$2004,"MPS",'Estimates'!$C$5:$C$2004,'Status'!$G$5,'Estimates'!$H$5:$H$2004,1)=0,"",IF(COUNTIFS('Estimates'!$A$5:$A$2004,$A40,'Estimates'!$B$5:$B$2004,"MPS",'Estimates'!$C$5:$C$2004,'Status'!$G$5,'Estimates'!$H$5:$H$2004,1)&gt;1,"DUP",IF(COUNTIFS('Estimates'!$A$5:$A$2004,$A40,'Estimates'!$B$5:$B$2004,"MPS",'Estimates'!$C$5:$C$2004,'Status'!$G$5,'Estimates'!$H$5:$H$2004,1,'Estimates'!$F$5:$F$2004,"&lt;&gt;")=0,"",SUMIFS('Estimates'!$F$5:$F$2004,'Estimates'!$A$5:$A$2004,$A40,'Estimates'!$B$5:$B$2004,"MPS",'Estimates'!$C$5:$C$2004,'Status'!$G$5,'Estimates'!$H$5:$H$2004,1)))))</x:f>
      </x:c>
      <x:c r="F40" s="13" t="str">
        <x:f>IF(AND(ISNUMBER(C40),ISNUMBER(D40)),D40-C40,"")</x:f>
      </x:c>
      <x:c r="G40" s="13" t="str">
        <x:f>IF(AND(ISNUMBER(D40),ISNUMBER(E40)),E40-D40,"")</x:f>
      </x:c>
      <x:c r="H40" s="13" t="str">
        <x:f>IF(AND(COUNT(C40:E40)=3,COUNT('Status'!$E$5:$G$5)=3,'Status'!$E$5&gt;0,'Status'!$E$5&lt;'Status'!$F$5,'Status'!$F$5&lt;'Status'!$G$5),ABS(E40-(D40+(D40-C40)*((1/'Status'!$G$5)-(1/'Status'!$F$5))/((1/'Status'!$F$5)-(1/'Status'!$E$5)))),"")</x:f>
      </x:c>
      <x:c r="I40" s="13" t="str">
        <x:f>IF(AND(COUNT(C40:E40)=3,COUNT('Status'!$E$5:$G$5)=3,'Status'!$E$5&gt;0,'Status'!$E$5&lt;'Status'!$F$5,'Status'!$F$5&lt;'Status'!$G$5),((1/'Status'!$F$5)*E40-(1/'Status'!$G$5)*D40)/((1/'Status'!$F$5)-(1/'Status'!$G$5)),"")</x:f>
      </x:c>
      <x:c r="J40" s="13" t="str">
        <x:f>IF(OR(COUNTA($A40)=0,NOT(ISNUMBER('Status'!$E$6))),"",IF(COUNTIFS('Estimates'!$A$5:$A$2004,$A40,'Estimates'!$B$5:$B$2004,"PPS",'Estimates'!$D$5:$D$2004,'Status'!$E$6,'Estimates'!$H$5:$H$2004,1,'Estimates'!$E$5:$E$2004,'Status'!$E$7)=0,"",IF(COUNTIFS('Estimates'!$A$5:$A$2004,$A40,'Estimates'!$B$5:$B$2004,"PPS",'Estimates'!$D$5:$D$2004,'Status'!$E$6,'Estimates'!$H$5:$H$2004,1,'Estimates'!$E$5:$E$2004,'Status'!$E$7)&gt;1,"DUP",IF(COUNTIFS('Estimates'!$A$5:$A$2004,$A40,'Estimates'!$B$5:$B$2004,"PPS",'Estimates'!$D$5:$D$2004,'Status'!$E$6,'Estimates'!$H$5:$H$2004,1,'Estimates'!$E$5:$E$2004,'Status'!$E$7,'Estimates'!$F$5:$F$2004,"&lt;&gt;")=0,"",SUMIFS('Estimates'!$F$5:$F$2004,'Estimates'!$A$5:$A$2004,$A40,'Estimates'!$B$5:$B$2004,"PPS",'Estimates'!$D$5:$D$2004,'Status'!$E$6,'Estimates'!$H$5:$H$2004,1,'Estimates'!$E$5:$E$2004,'Status'!$E$7)))))</x:f>
      </x:c>
      <x:c r="K40" s="13" t="str">
        <x:f>IF(OR(COUNTA($A40)=0,NOT(ISNUMBER('Status'!$F$6))),"",IF(COUNTIFS('Estimates'!$A$5:$A$2004,$A40,'Estimates'!$B$5:$B$2004,"PPS",'Estimates'!$D$5:$D$2004,'Status'!$F$6,'Estimates'!$H$5:$H$2004,1,'Estimates'!$E$5:$E$2004,'Status'!$E$7)=0,"",IF(COUNTIFS('Estimates'!$A$5:$A$2004,$A40,'Estimates'!$B$5:$B$2004,"PPS",'Estimates'!$D$5:$D$2004,'Status'!$F$6,'Estimates'!$H$5:$H$2004,1,'Estimates'!$E$5:$E$2004,'Status'!$E$7)&gt;1,"DUP",IF(COUNTIFS('Estimates'!$A$5:$A$2004,$A40,'Estimates'!$B$5:$B$2004,"PPS",'Estimates'!$D$5:$D$2004,'Status'!$F$6,'Estimates'!$H$5:$H$2004,1,'Estimates'!$E$5:$E$2004,'Status'!$E$7,'Estimates'!$F$5:$F$2004,"&lt;&gt;")=0,"",SUMIFS('Estimates'!$F$5:$F$2004,'Estimates'!$A$5:$A$2004,$A40,'Estimates'!$B$5:$B$2004,"PPS",'Estimates'!$D$5:$D$2004,'Status'!$F$6,'Estimates'!$H$5:$H$2004,1,'Estimates'!$E$5:$E$2004,'Status'!$E$7)))))</x:f>
      </x:c>
      <x:c r="L40" s="13" t="str">
        <x:f>IF(OR(COUNTA($A40)=0,NOT(ISNUMBER('Status'!$G$6))),"",IF(COUNTIFS('Estimates'!$A$5:$A$2004,$A40,'Estimates'!$B$5:$B$2004,"PPS",'Estimates'!$D$5:$D$2004,'Status'!$G$6,'Estimates'!$H$5:$H$2004,1,'Estimates'!$E$5:$E$2004,'Status'!$E$7)=0,"",IF(COUNTIFS('Estimates'!$A$5:$A$2004,$A40,'Estimates'!$B$5:$B$2004,"PPS",'Estimates'!$D$5:$D$2004,'Status'!$G$6,'Estimates'!$H$5:$H$2004,1,'Estimates'!$E$5:$E$2004,'Status'!$E$7)&gt;1,"DUP",IF(COUNTIFS('Estimates'!$A$5:$A$2004,$A40,'Estimates'!$B$5:$B$2004,"PPS",'Estimates'!$D$5:$D$2004,'Status'!$G$6,'Estimates'!$H$5:$H$2004,1,'Estimates'!$E$5:$E$2004,'Status'!$E$7,'Estimates'!$F$5:$F$2004,"&lt;&gt;")=0,"",SUMIFS('Estimates'!$F$5:$F$2004,'Estimates'!$A$5:$A$2004,$A40,'Estimates'!$B$5:$B$2004,"PPS",'Estimates'!$D$5:$D$2004,'Status'!$G$6,'Estimates'!$H$5:$H$2004,1,'Estimates'!$E$5:$E$2004,'Status'!$E$7)))))</x:f>
      </x:c>
      <x:c r="M40" s="13" t="str">
        <x:f>IF(AND(ISNUMBER(J40),ISNUMBER(K40)),K40-J40,"")</x:f>
      </x:c>
      <x:c r="N40" s="13" t="str">
        <x:f>IF(AND(ISNUMBER(K40),ISNUMBER(L40)),L40-K40,"")</x:f>
      </x:c>
      <x:c r="O40" s="13" t="str">
        <x:f>IF(AND(COUNT(J40:L40)=3,COUNT('Status'!$E$6:$G$6)=3,'Status'!$E$6&gt;'Status'!$F$6,'Status'!$F$6&gt;'Status'!$G$6,'Status'!$G$6&gt;0),ABS(L40-(K40+(K40-J40)*('Status'!$G$6-'Status'!$F$6)/('Status'!$F$6-'Status'!$E$6))),"")</x:f>
      </x:c>
      <x:c r="P40" s="13" t="str">
        <x:f>IF(AND(COUNT(J40:L40)=3,COUNT('Status'!$E$6:$G$6)=3,'Status'!$E$6&gt;'Status'!$F$6,'Status'!$F$6&gt;'Status'!$G$6,'Status'!$G$6&gt;0),('Status'!$F$6*L40-'Status'!$G$6*K40)/('Status'!$F$6-'Status'!$G$6),"")</x:f>
      </x:c>
      <x:c r="Q40" s="20"/>
      <x:c r="R40" s="13" t="str">
        <x:f>IF(COUNTA($A40)=0,"",IF('Status'!$B$6="MPS 1",IF(ISNUMBER(C40),C40,""),IF('Status'!$B$6="MPS 2",IF(ISNUMBER(D40),D40,""),IF('Status'!$B$6="MPS 3",IF(ISNUMBER(E40),E40,""),IF('Status'!$B$6="MPS extrap",IF(ISNUMBER(I40),I40,""),IF('Status'!$B$6="PPS 1",IF(ISNUMBER(J40),J40,""),IF('Status'!$B$6="PPS 2",IF(ISNUMBER(K40),K40,""),IF('Status'!$B$6="PPS 3",IF(ISNUMBER(L40),L40,""),IF('Status'!$B$6="PPS extrap",IF(ISNUMBER(P40),P40,""),IF('Status'!$B$6="Calibrated",IF(ISNUMBER(Q40),Q40,""),""))))))))))</x:f>
      </x:c>
      <x:c r="S40" s="2" t="str">
        <x:f>IF(COUNTA(A40)=0,"",IF(COUNTIFS('Estimates'!$A$5:$A$2004,A40,'Estimates'!$B$5:$B$2004,"MPS",'Estimates'!$H$5:$H$2004,1)+COUNTIFS('Estimates'!$A$5:$A$2004,A40,'Estimates'!$B$5:$B$2004,"PPS",'Estimates'!$H$5:$H$2004,1)&gt;0,1,0))</x:f>
      </x:c>
      <x:c r="T40" s="2" t="str">
        <x:f>IF(COUNTA(A40)=0,"",IF(COUNTIFS($A$6:$A$165,A40)&gt;1,"Duplicate target",IF(COUNTIFS(C40:E40,"DUP")+COUNTIFS(J40:L40,"DUP")&gt;0,"Duplicate accepted run",IF(COUNTIFS('Estimates'!$A$5:$A$2004,A40,'Estimates'!$H$5:$H$2004,1)-COUNTIFS('Estimates'!$A$5:$A$2004,A40,'Estimates'!$H$5:$H$2004,1,'Estimates'!$F$5:$F$2004,"&lt;&gt;")&gt;0,"Accepted value missing",""))))</x:f>
      </x:c>
    </x:row>
    <x:row r="41">
      <x:c r="A41" s="21" t="n">
        <x:v>35</x:v>
      </x:c>
      <x:c r="B41" s="19"/>
      <x:c r="C41" s="13" t="str">
        <x:f>IF(OR(COUNTA($A41)=0,NOT(ISNUMBER('Status'!$E$5))),"",IF(COUNTIFS('Estimates'!$A$5:$A$2004,$A41,'Estimates'!$B$5:$B$2004,"MPS",'Estimates'!$C$5:$C$2004,'Status'!$E$5,'Estimates'!$H$5:$H$2004,1)=0,"",IF(COUNTIFS('Estimates'!$A$5:$A$2004,$A41,'Estimates'!$B$5:$B$2004,"MPS",'Estimates'!$C$5:$C$2004,'Status'!$E$5,'Estimates'!$H$5:$H$2004,1)&gt;1,"DUP",IF(COUNTIFS('Estimates'!$A$5:$A$2004,$A41,'Estimates'!$B$5:$B$2004,"MPS",'Estimates'!$C$5:$C$2004,'Status'!$E$5,'Estimates'!$H$5:$H$2004,1,'Estimates'!$F$5:$F$2004,"&lt;&gt;")=0,"",SUMIFS('Estimates'!$F$5:$F$2004,'Estimates'!$A$5:$A$2004,$A41,'Estimates'!$B$5:$B$2004,"MPS",'Estimates'!$C$5:$C$2004,'Status'!$E$5,'Estimates'!$H$5:$H$2004,1)))))</x:f>
      </x:c>
      <x:c r="D41" s="13" t="str">
        <x:f>IF(OR(COUNTA($A41)=0,NOT(ISNUMBER('Status'!$F$5))),"",IF(COUNTIFS('Estimates'!$A$5:$A$2004,$A41,'Estimates'!$B$5:$B$2004,"MPS",'Estimates'!$C$5:$C$2004,'Status'!$F$5,'Estimates'!$H$5:$H$2004,1)=0,"",IF(COUNTIFS('Estimates'!$A$5:$A$2004,$A41,'Estimates'!$B$5:$B$2004,"MPS",'Estimates'!$C$5:$C$2004,'Status'!$F$5,'Estimates'!$H$5:$H$2004,1)&gt;1,"DUP",IF(COUNTIFS('Estimates'!$A$5:$A$2004,$A41,'Estimates'!$B$5:$B$2004,"MPS",'Estimates'!$C$5:$C$2004,'Status'!$F$5,'Estimates'!$H$5:$H$2004,1,'Estimates'!$F$5:$F$2004,"&lt;&gt;")=0,"",SUMIFS('Estimates'!$F$5:$F$2004,'Estimates'!$A$5:$A$2004,$A41,'Estimates'!$B$5:$B$2004,"MPS",'Estimates'!$C$5:$C$2004,'Status'!$F$5,'Estimates'!$H$5:$H$2004,1)))))</x:f>
      </x:c>
      <x:c r="E41" s="13" t="str">
        <x:f>IF(OR(COUNTA($A41)=0,NOT(ISNUMBER('Status'!$G$5))),"",IF(COUNTIFS('Estimates'!$A$5:$A$2004,$A41,'Estimates'!$B$5:$B$2004,"MPS",'Estimates'!$C$5:$C$2004,'Status'!$G$5,'Estimates'!$H$5:$H$2004,1)=0,"",IF(COUNTIFS('Estimates'!$A$5:$A$2004,$A41,'Estimates'!$B$5:$B$2004,"MPS",'Estimates'!$C$5:$C$2004,'Status'!$G$5,'Estimates'!$H$5:$H$2004,1)&gt;1,"DUP",IF(COUNTIFS('Estimates'!$A$5:$A$2004,$A41,'Estimates'!$B$5:$B$2004,"MPS",'Estimates'!$C$5:$C$2004,'Status'!$G$5,'Estimates'!$H$5:$H$2004,1,'Estimates'!$F$5:$F$2004,"&lt;&gt;")=0,"",SUMIFS('Estimates'!$F$5:$F$2004,'Estimates'!$A$5:$A$2004,$A41,'Estimates'!$B$5:$B$2004,"MPS",'Estimates'!$C$5:$C$2004,'Status'!$G$5,'Estimates'!$H$5:$H$2004,1)))))</x:f>
      </x:c>
      <x:c r="F41" s="13" t="str">
        <x:f>IF(AND(ISNUMBER(C41),ISNUMBER(D41)),D41-C41,"")</x:f>
      </x:c>
      <x:c r="G41" s="13" t="str">
        <x:f>IF(AND(ISNUMBER(D41),ISNUMBER(E41)),E41-D41,"")</x:f>
      </x:c>
      <x:c r="H41" s="13" t="str">
        <x:f>IF(AND(COUNT(C41:E41)=3,COUNT('Status'!$E$5:$G$5)=3,'Status'!$E$5&gt;0,'Status'!$E$5&lt;'Status'!$F$5,'Status'!$F$5&lt;'Status'!$G$5),ABS(E41-(D41+(D41-C41)*((1/'Status'!$G$5)-(1/'Status'!$F$5))/((1/'Status'!$F$5)-(1/'Status'!$E$5)))),"")</x:f>
      </x:c>
      <x:c r="I41" s="13" t="str">
        <x:f>IF(AND(COUNT(C41:E41)=3,COUNT('Status'!$E$5:$G$5)=3,'Status'!$E$5&gt;0,'Status'!$E$5&lt;'Status'!$F$5,'Status'!$F$5&lt;'Status'!$G$5),((1/'Status'!$F$5)*E41-(1/'Status'!$G$5)*D41)/((1/'Status'!$F$5)-(1/'Status'!$G$5)),"")</x:f>
      </x:c>
      <x:c r="J41" s="13" t="str">
        <x:f>IF(OR(COUNTA($A41)=0,NOT(ISNUMBER('Status'!$E$6))),"",IF(COUNTIFS('Estimates'!$A$5:$A$2004,$A41,'Estimates'!$B$5:$B$2004,"PPS",'Estimates'!$D$5:$D$2004,'Status'!$E$6,'Estimates'!$H$5:$H$2004,1,'Estimates'!$E$5:$E$2004,'Status'!$E$7)=0,"",IF(COUNTIFS('Estimates'!$A$5:$A$2004,$A41,'Estimates'!$B$5:$B$2004,"PPS",'Estimates'!$D$5:$D$2004,'Status'!$E$6,'Estimates'!$H$5:$H$2004,1,'Estimates'!$E$5:$E$2004,'Status'!$E$7)&gt;1,"DUP",IF(COUNTIFS('Estimates'!$A$5:$A$2004,$A41,'Estimates'!$B$5:$B$2004,"PPS",'Estimates'!$D$5:$D$2004,'Status'!$E$6,'Estimates'!$H$5:$H$2004,1,'Estimates'!$E$5:$E$2004,'Status'!$E$7,'Estimates'!$F$5:$F$2004,"&lt;&gt;")=0,"",SUMIFS('Estimates'!$F$5:$F$2004,'Estimates'!$A$5:$A$2004,$A41,'Estimates'!$B$5:$B$2004,"PPS",'Estimates'!$D$5:$D$2004,'Status'!$E$6,'Estimates'!$H$5:$H$2004,1,'Estimates'!$E$5:$E$2004,'Status'!$E$7)))))</x:f>
      </x:c>
      <x:c r="K41" s="13" t="str">
        <x:f>IF(OR(COUNTA($A41)=0,NOT(ISNUMBER('Status'!$F$6))),"",IF(COUNTIFS('Estimates'!$A$5:$A$2004,$A41,'Estimates'!$B$5:$B$2004,"PPS",'Estimates'!$D$5:$D$2004,'Status'!$F$6,'Estimates'!$H$5:$H$2004,1,'Estimates'!$E$5:$E$2004,'Status'!$E$7)=0,"",IF(COUNTIFS('Estimates'!$A$5:$A$2004,$A41,'Estimates'!$B$5:$B$2004,"PPS",'Estimates'!$D$5:$D$2004,'Status'!$F$6,'Estimates'!$H$5:$H$2004,1,'Estimates'!$E$5:$E$2004,'Status'!$E$7)&gt;1,"DUP",IF(COUNTIFS('Estimates'!$A$5:$A$2004,$A41,'Estimates'!$B$5:$B$2004,"PPS",'Estimates'!$D$5:$D$2004,'Status'!$F$6,'Estimates'!$H$5:$H$2004,1,'Estimates'!$E$5:$E$2004,'Status'!$E$7,'Estimates'!$F$5:$F$2004,"&lt;&gt;")=0,"",SUMIFS('Estimates'!$F$5:$F$2004,'Estimates'!$A$5:$A$2004,$A41,'Estimates'!$B$5:$B$2004,"PPS",'Estimates'!$D$5:$D$2004,'Status'!$F$6,'Estimates'!$H$5:$H$2004,1,'Estimates'!$E$5:$E$2004,'Status'!$E$7)))))</x:f>
      </x:c>
      <x:c r="L41" s="13" t="str">
        <x:f>IF(OR(COUNTA($A41)=0,NOT(ISNUMBER('Status'!$G$6))),"",IF(COUNTIFS('Estimates'!$A$5:$A$2004,$A41,'Estimates'!$B$5:$B$2004,"PPS",'Estimates'!$D$5:$D$2004,'Status'!$G$6,'Estimates'!$H$5:$H$2004,1,'Estimates'!$E$5:$E$2004,'Status'!$E$7)=0,"",IF(COUNTIFS('Estimates'!$A$5:$A$2004,$A41,'Estimates'!$B$5:$B$2004,"PPS",'Estimates'!$D$5:$D$2004,'Status'!$G$6,'Estimates'!$H$5:$H$2004,1,'Estimates'!$E$5:$E$2004,'Status'!$E$7)&gt;1,"DUP",IF(COUNTIFS('Estimates'!$A$5:$A$2004,$A41,'Estimates'!$B$5:$B$2004,"PPS",'Estimates'!$D$5:$D$2004,'Status'!$G$6,'Estimates'!$H$5:$H$2004,1,'Estimates'!$E$5:$E$2004,'Status'!$E$7,'Estimates'!$F$5:$F$2004,"&lt;&gt;")=0,"",SUMIFS('Estimates'!$F$5:$F$2004,'Estimates'!$A$5:$A$2004,$A41,'Estimates'!$B$5:$B$2004,"PPS",'Estimates'!$D$5:$D$2004,'Status'!$G$6,'Estimates'!$H$5:$H$2004,1,'Estimates'!$E$5:$E$2004,'Status'!$E$7)))))</x:f>
      </x:c>
      <x:c r="M41" s="13" t="str">
        <x:f>IF(AND(ISNUMBER(J41),ISNUMBER(K41)),K41-J41,"")</x:f>
      </x:c>
      <x:c r="N41" s="13" t="str">
        <x:f>IF(AND(ISNUMBER(K41),ISNUMBER(L41)),L41-K41,"")</x:f>
      </x:c>
      <x:c r="O41" s="13" t="str">
        <x:f>IF(AND(COUNT(J41:L41)=3,COUNT('Status'!$E$6:$G$6)=3,'Status'!$E$6&gt;'Status'!$F$6,'Status'!$F$6&gt;'Status'!$G$6,'Status'!$G$6&gt;0),ABS(L41-(K41+(K41-J41)*('Status'!$G$6-'Status'!$F$6)/('Status'!$F$6-'Status'!$E$6))),"")</x:f>
      </x:c>
      <x:c r="P41" s="13" t="str">
        <x:f>IF(AND(COUNT(J41:L41)=3,COUNT('Status'!$E$6:$G$6)=3,'Status'!$E$6&gt;'Status'!$F$6,'Status'!$F$6&gt;'Status'!$G$6,'Status'!$G$6&gt;0),('Status'!$F$6*L41-'Status'!$G$6*K41)/('Status'!$F$6-'Status'!$G$6),"")</x:f>
      </x:c>
      <x:c r="Q41" s="20"/>
      <x:c r="R41" s="13" t="str">
        <x:f>IF(COUNTA($A41)=0,"",IF('Status'!$B$6="MPS 1",IF(ISNUMBER(C41),C41,""),IF('Status'!$B$6="MPS 2",IF(ISNUMBER(D41),D41,""),IF('Status'!$B$6="MPS 3",IF(ISNUMBER(E41),E41,""),IF('Status'!$B$6="MPS extrap",IF(ISNUMBER(I41),I41,""),IF('Status'!$B$6="PPS 1",IF(ISNUMBER(J41),J41,""),IF('Status'!$B$6="PPS 2",IF(ISNUMBER(K41),K41,""),IF('Status'!$B$6="PPS 3",IF(ISNUMBER(L41),L41,""),IF('Status'!$B$6="PPS extrap",IF(ISNUMBER(P41),P41,""),IF('Status'!$B$6="Calibrated",IF(ISNUMBER(Q41),Q41,""),""))))))))))</x:f>
      </x:c>
      <x:c r="S41" s="2" t="str">
        <x:f>IF(COUNTA(A41)=0,"",IF(COUNTIFS('Estimates'!$A$5:$A$2004,A41,'Estimates'!$B$5:$B$2004,"MPS",'Estimates'!$H$5:$H$2004,1)+COUNTIFS('Estimates'!$A$5:$A$2004,A41,'Estimates'!$B$5:$B$2004,"PPS",'Estimates'!$H$5:$H$2004,1)&gt;0,1,0))</x:f>
      </x:c>
      <x:c r="T41" s="2" t="str">
        <x:f>IF(COUNTA(A41)=0,"",IF(COUNTIFS($A$6:$A$165,A41)&gt;1,"Duplicate target",IF(COUNTIFS(C41:E41,"DUP")+COUNTIFS(J41:L41,"DUP")&gt;0,"Duplicate accepted run",IF(COUNTIFS('Estimates'!$A$5:$A$2004,A41,'Estimates'!$H$5:$H$2004,1)-COUNTIFS('Estimates'!$A$5:$A$2004,A41,'Estimates'!$H$5:$H$2004,1,'Estimates'!$F$5:$F$2004,"&lt;&gt;")&gt;0,"Accepted value missing",""))))</x:f>
      </x:c>
    </x:row>
    <x:row r="42">
      <x:c r="A42" s="21"/>
      <x:c r="B42" s="19"/>
      <x:c r="C42" s="13" t="str">
        <x:f>IF(OR(COUNTA($A42)=0,NOT(ISNUMBER('Status'!$E$5))),"",IF(COUNTIFS('Estimates'!$A$5:$A$2004,$A42,'Estimates'!$B$5:$B$2004,"MPS",'Estimates'!$C$5:$C$2004,'Status'!$E$5,'Estimates'!$H$5:$H$2004,1)=0,"",IF(COUNTIFS('Estimates'!$A$5:$A$2004,$A42,'Estimates'!$B$5:$B$2004,"MPS",'Estimates'!$C$5:$C$2004,'Status'!$E$5,'Estimates'!$H$5:$H$2004,1)&gt;1,"DUP",IF(COUNTIFS('Estimates'!$A$5:$A$2004,$A42,'Estimates'!$B$5:$B$2004,"MPS",'Estimates'!$C$5:$C$2004,'Status'!$E$5,'Estimates'!$H$5:$H$2004,1,'Estimates'!$F$5:$F$2004,"&lt;&gt;")=0,"",SUMIFS('Estimates'!$F$5:$F$2004,'Estimates'!$A$5:$A$2004,$A42,'Estimates'!$B$5:$B$2004,"MPS",'Estimates'!$C$5:$C$2004,'Status'!$E$5,'Estimates'!$H$5:$H$2004,1)))))</x:f>
      </x:c>
      <x:c r="D42" s="13" t="str">
        <x:f>IF(OR(COUNTA($A42)=0,NOT(ISNUMBER('Status'!$F$5))),"",IF(COUNTIFS('Estimates'!$A$5:$A$2004,$A42,'Estimates'!$B$5:$B$2004,"MPS",'Estimates'!$C$5:$C$2004,'Status'!$F$5,'Estimates'!$H$5:$H$2004,1)=0,"",IF(COUNTIFS('Estimates'!$A$5:$A$2004,$A42,'Estimates'!$B$5:$B$2004,"MPS",'Estimates'!$C$5:$C$2004,'Status'!$F$5,'Estimates'!$H$5:$H$2004,1)&gt;1,"DUP",IF(COUNTIFS('Estimates'!$A$5:$A$2004,$A42,'Estimates'!$B$5:$B$2004,"MPS",'Estimates'!$C$5:$C$2004,'Status'!$F$5,'Estimates'!$H$5:$H$2004,1,'Estimates'!$F$5:$F$2004,"&lt;&gt;")=0,"",SUMIFS('Estimates'!$F$5:$F$2004,'Estimates'!$A$5:$A$2004,$A42,'Estimates'!$B$5:$B$2004,"MPS",'Estimates'!$C$5:$C$2004,'Status'!$F$5,'Estimates'!$H$5:$H$2004,1)))))</x:f>
      </x:c>
      <x:c r="E42" s="13" t="str">
        <x:f>IF(OR(COUNTA($A42)=0,NOT(ISNUMBER('Status'!$G$5))),"",IF(COUNTIFS('Estimates'!$A$5:$A$2004,$A42,'Estimates'!$B$5:$B$2004,"MPS",'Estimates'!$C$5:$C$2004,'Status'!$G$5,'Estimates'!$H$5:$H$2004,1)=0,"",IF(COUNTIFS('Estimates'!$A$5:$A$2004,$A42,'Estimates'!$B$5:$B$2004,"MPS",'Estimates'!$C$5:$C$2004,'Status'!$G$5,'Estimates'!$H$5:$H$2004,1)&gt;1,"DUP",IF(COUNTIFS('Estimates'!$A$5:$A$2004,$A42,'Estimates'!$B$5:$B$2004,"MPS",'Estimates'!$C$5:$C$2004,'Status'!$G$5,'Estimates'!$H$5:$H$2004,1,'Estimates'!$F$5:$F$2004,"&lt;&gt;")=0,"",SUMIFS('Estimates'!$F$5:$F$2004,'Estimates'!$A$5:$A$2004,$A42,'Estimates'!$B$5:$B$2004,"MPS",'Estimates'!$C$5:$C$2004,'Status'!$G$5,'Estimates'!$H$5:$H$2004,1)))))</x:f>
      </x:c>
      <x:c r="F42" s="13" t="str">
        <x:f>IF(AND(ISNUMBER(C42),ISNUMBER(D42)),D42-C42,"")</x:f>
      </x:c>
      <x:c r="G42" s="13" t="str">
        <x:f>IF(AND(ISNUMBER(D42),ISNUMBER(E42)),E42-D42,"")</x:f>
      </x:c>
      <x:c r="H42" s="13" t="str">
        <x:f>IF(AND(COUNT(C42:E42)=3,COUNT('Status'!$E$5:$G$5)=3,'Status'!$E$5&gt;0,'Status'!$E$5&lt;'Status'!$F$5,'Status'!$F$5&lt;'Status'!$G$5),ABS(E42-(D42+(D42-C42)*((1/'Status'!$G$5)-(1/'Status'!$F$5))/((1/'Status'!$F$5)-(1/'Status'!$E$5)))),"")</x:f>
      </x:c>
      <x:c r="I42" s="13" t="str">
        <x:f>IF(AND(COUNT(C42:E42)=3,COUNT('Status'!$E$5:$G$5)=3,'Status'!$E$5&gt;0,'Status'!$E$5&lt;'Status'!$F$5,'Status'!$F$5&lt;'Status'!$G$5),((1/'Status'!$F$5)*E42-(1/'Status'!$G$5)*D42)/((1/'Status'!$F$5)-(1/'Status'!$G$5)),"")</x:f>
      </x:c>
      <x:c r="J42" s="13" t="str">
        <x:f>IF(OR(COUNTA($A42)=0,NOT(ISNUMBER('Status'!$E$6))),"",IF(COUNTIFS('Estimates'!$A$5:$A$2004,$A42,'Estimates'!$B$5:$B$2004,"PPS",'Estimates'!$D$5:$D$2004,'Status'!$E$6,'Estimates'!$H$5:$H$2004,1,'Estimates'!$E$5:$E$2004,'Status'!$E$7)=0,"",IF(COUNTIFS('Estimates'!$A$5:$A$2004,$A42,'Estimates'!$B$5:$B$2004,"PPS",'Estimates'!$D$5:$D$2004,'Status'!$E$6,'Estimates'!$H$5:$H$2004,1,'Estimates'!$E$5:$E$2004,'Status'!$E$7)&gt;1,"DUP",IF(COUNTIFS('Estimates'!$A$5:$A$2004,$A42,'Estimates'!$B$5:$B$2004,"PPS",'Estimates'!$D$5:$D$2004,'Status'!$E$6,'Estimates'!$H$5:$H$2004,1,'Estimates'!$E$5:$E$2004,'Status'!$E$7,'Estimates'!$F$5:$F$2004,"&lt;&gt;")=0,"",SUMIFS('Estimates'!$F$5:$F$2004,'Estimates'!$A$5:$A$2004,$A42,'Estimates'!$B$5:$B$2004,"PPS",'Estimates'!$D$5:$D$2004,'Status'!$E$6,'Estimates'!$H$5:$H$2004,1,'Estimates'!$E$5:$E$2004,'Status'!$E$7)))))</x:f>
      </x:c>
      <x:c r="K42" s="13" t="str">
        <x:f>IF(OR(COUNTA($A42)=0,NOT(ISNUMBER('Status'!$F$6))),"",IF(COUNTIFS('Estimates'!$A$5:$A$2004,$A42,'Estimates'!$B$5:$B$2004,"PPS",'Estimates'!$D$5:$D$2004,'Status'!$F$6,'Estimates'!$H$5:$H$2004,1,'Estimates'!$E$5:$E$2004,'Status'!$E$7)=0,"",IF(COUNTIFS('Estimates'!$A$5:$A$2004,$A42,'Estimates'!$B$5:$B$2004,"PPS",'Estimates'!$D$5:$D$2004,'Status'!$F$6,'Estimates'!$H$5:$H$2004,1,'Estimates'!$E$5:$E$2004,'Status'!$E$7)&gt;1,"DUP",IF(COUNTIFS('Estimates'!$A$5:$A$2004,$A42,'Estimates'!$B$5:$B$2004,"PPS",'Estimates'!$D$5:$D$2004,'Status'!$F$6,'Estimates'!$H$5:$H$2004,1,'Estimates'!$E$5:$E$2004,'Status'!$E$7,'Estimates'!$F$5:$F$2004,"&lt;&gt;")=0,"",SUMIFS('Estimates'!$F$5:$F$2004,'Estimates'!$A$5:$A$2004,$A42,'Estimates'!$B$5:$B$2004,"PPS",'Estimates'!$D$5:$D$2004,'Status'!$F$6,'Estimates'!$H$5:$H$2004,1,'Estimates'!$E$5:$E$2004,'Status'!$E$7)))))</x:f>
      </x:c>
      <x:c r="L42" s="13" t="str">
        <x:f>IF(OR(COUNTA($A42)=0,NOT(ISNUMBER('Status'!$G$6))),"",IF(COUNTIFS('Estimates'!$A$5:$A$2004,$A42,'Estimates'!$B$5:$B$2004,"PPS",'Estimates'!$D$5:$D$2004,'Status'!$G$6,'Estimates'!$H$5:$H$2004,1,'Estimates'!$E$5:$E$2004,'Status'!$E$7)=0,"",IF(COUNTIFS('Estimates'!$A$5:$A$2004,$A42,'Estimates'!$B$5:$B$2004,"PPS",'Estimates'!$D$5:$D$2004,'Status'!$G$6,'Estimates'!$H$5:$H$2004,1,'Estimates'!$E$5:$E$2004,'Status'!$E$7)&gt;1,"DUP",IF(COUNTIFS('Estimates'!$A$5:$A$2004,$A42,'Estimates'!$B$5:$B$2004,"PPS",'Estimates'!$D$5:$D$2004,'Status'!$G$6,'Estimates'!$H$5:$H$2004,1,'Estimates'!$E$5:$E$2004,'Status'!$E$7,'Estimates'!$F$5:$F$2004,"&lt;&gt;")=0,"",SUMIFS('Estimates'!$F$5:$F$2004,'Estimates'!$A$5:$A$2004,$A42,'Estimates'!$B$5:$B$2004,"PPS",'Estimates'!$D$5:$D$2004,'Status'!$G$6,'Estimates'!$H$5:$H$2004,1,'Estimates'!$E$5:$E$2004,'Status'!$E$7)))))</x:f>
      </x:c>
      <x:c r="M42" s="13" t="str">
        <x:f>IF(AND(ISNUMBER(J42),ISNUMBER(K42)),K42-J42,"")</x:f>
      </x:c>
      <x:c r="N42" s="13" t="str">
        <x:f>IF(AND(ISNUMBER(K42),ISNUMBER(L42)),L42-K42,"")</x:f>
      </x:c>
      <x:c r="O42" s="13" t="str">
        <x:f>IF(AND(COUNT(J42:L42)=3,COUNT('Status'!$E$6:$G$6)=3,'Status'!$E$6&gt;'Status'!$F$6,'Status'!$F$6&gt;'Status'!$G$6,'Status'!$G$6&gt;0),ABS(L42-(K42+(K42-J42)*('Status'!$G$6-'Status'!$F$6)/('Status'!$F$6-'Status'!$E$6))),"")</x:f>
      </x:c>
      <x:c r="P42" s="13" t="str">
        <x:f>IF(AND(COUNT(J42:L42)=3,COUNT('Status'!$E$6:$G$6)=3,'Status'!$E$6&gt;'Status'!$F$6,'Status'!$F$6&gt;'Status'!$G$6,'Status'!$G$6&gt;0),('Status'!$F$6*L42-'Status'!$G$6*K42)/('Status'!$F$6-'Status'!$G$6),"")</x:f>
      </x:c>
      <x:c r="Q42" s="20"/>
      <x:c r="R42" s="13" t="str">
        <x:f>IF(COUNTA($A42)=0,"",IF('Status'!$B$6="MPS 1",IF(ISNUMBER(C42),C42,""),IF('Status'!$B$6="MPS 2",IF(ISNUMBER(D42),D42,""),IF('Status'!$B$6="MPS 3",IF(ISNUMBER(E42),E42,""),IF('Status'!$B$6="MPS extrap",IF(ISNUMBER(I42),I42,""),IF('Status'!$B$6="PPS 1",IF(ISNUMBER(J42),J42,""),IF('Status'!$B$6="PPS 2",IF(ISNUMBER(K42),K42,""),IF('Status'!$B$6="PPS 3",IF(ISNUMBER(L42),L42,""),IF('Status'!$B$6="PPS extrap",IF(ISNUMBER(P42),P42,""),IF('Status'!$B$6="Calibrated",IF(ISNUMBER(Q42),Q42,""),""))))))))))</x:f>
      </x:c>
      <x:c r="S42" s="2" t="str">
        <x:f>IF(COUNTA(A42)=0,"",IF(COUNTIFS('Estimates'!$A$5:$A$2004,A42,'Estimates'!$B$5:$B$2004,"MPS",'Estimates'!$H$5:$H$2004,1)+COUNTIFS('Estimates'!$A$5:$A$2004,A42,'Estimates'!$B$5:$B$2004,"PPS",'Estimates'!$H$5:$H$2004,1)&gt;0,1,0))</x:f>
      </x:c>
      <x:c r="T42" s="2" t="str">
        <x:f>IF(COUNTA(A42)=0,"",IF(COUNTIFS($A$6:$A$165,A42)&gt;1,"Duplicate target",IF(COUNTIFS(C42:E42,"DUP")+COUNTIFS(J42:L42,"DUP")&gt;0,"Duplicate accepted run",IF(COUNTIFS('Estimates'!$A$5:$A$2004,A42,'Estimates'!$H$5:$H$2004,1)-COUNTIFS('Estimates'!$A$5:$A$2004,A42,'Estimates'!$H$5:$H$2004,1,'Estimates'!$F$5:$F$2004,"&lt;&gt;")&gt;0,"Accepted value missing",""))))</x:f>
      </x:c>
    </x:row>
    <x:row r="43">
      <x:c r="A43" s="21"/>
      <x:c r="B43" s="19"/>
      <x:c r="C43" s="13" t="str">
        <x:f>IF(OR(COUNTA($A43)=0,NOT(ISNUMBER('Status'!$E$5))),"",IF(COUNTIFS('Estimates'!$A$5:$A$2004,$A43,'Estimates'!$B$5:$B$2004,"MPS",'Estimates'!$C$5:$C$2004,'Status'!$E$5,'Estimates'!$H$5:$H$2004,1)=0,"",IF(COUNTIFS('Estimates'!$A$5:$A$2004,$A43,'Estimates'!$B$5:$B$2004,"MPS",'Estimates'!$C$5:$C$2004,'Status'!$E$5,'Estimates'!$H$5:$H$2004,1)&gt;1,"DUP",IF(COUNTIFS('Estimates'!$A$5:$A$2004,$A43,'Estimates'!$B$5:$B$2004,"MPS",'Estimates'!$C$5:$C$2004,'Status'!$E$5,'Estimates'!$H$5:$H$2004,1,'Estimates'!$F$5:$F$2004,"&lt;&gt;")=0,"",SUMIFS('Estimates'!$F$5:$F$2004,'Estimates'!$A$5:$A$2004,$A43,'Estimates'!$B$5:$B$2004,"MPS",'Estimates'!$C$5:$C$2004,'Status'!$E$5,'Estimates'!$H$5:$H$2004,1)))))</x:f>
      </x:c>
      <x:c r="D43" s="13" t="str">
        <x:f>IF(OR(COUNTA($A43)=0,NOT(ISNUMBER('Status'!$F$5))),"",IF(COUNTIFS('Estimates'!$A$5:$A$2004,$A43,'Estimates'!$B$5:$B$2004,"MPS",'Estimates'!$C$5:$C$2004,'Status'!$F$5,'Estimates'!$H$5:$H$2004,1)=0,"",IF(COUNTIFS('Estimates'!$A$5:$A$2004,$A43,'Estimates'!$B$5:$B$2004,"MPS",'Estimates'!$C$5:$C$2004,'Status'!$F$5,'Estimates'!$H$5:$H$2004,1)&gt;1,"DUP",IF(COUNTIFS('Estimates'!$A$5:$A$2004,$A43,'Estimates'!$B$5:$B$2004,"MPS",'Estimates'!$C$5:$C$2004,'Status'!$F$5,'Estimates'!$H$5:$H$2004,1,'Estimates'!$F$5:$F$2004,"&lt;&gt;")=0,"",SUMIFS('Estimates'!$F$5:$F$2004,'Estimates'!$A$5:$A$2004,$A43,'Estimates'!$B$5:$B$2004,"MPS",'Estimates'!$C$5:$C$2004,'Status'!$F$5,'Estimates'!$H$5:$H$2004,1)))))</x:f>
      </x:c>
      <x:c r="E43" s="13" t="str">
        <x:f>IF(OR(COUNTA($A43)=0,NOT(ISNUMBER('Status'!$G$5))),"",IF(COUNTIFS('Estimates'!$A$5:$A$2004,$A43,'Estimates'!$B$5:$B$2004,"MPS",'Estimates'!$C$5:$C$2004,'Status'!$G$5,'Estimates'!$H$5:$H$2004,1)=0,"",IF(COUNTIFS('Estimates'!$A$5:$A$2004,$A43,'Estimates'!$B$5:$B$2004,"MPS",'Estimates'!$C$5:$C$2004,'Status'!$G$5,'Estimates'!$H$5:$H$2004,1)&gt;1,"DUP",IF(COUNTIFS('Estimates'!$A$5:$A$2004,$A43,'Estimates'!$B$5:$B$2004,"MPS",'Estimates'!$C$5:$C$2004,'Status'!$G$5,'Estimates'!$H$5:$H$2004,1,'Estimates'!$F$5:$F$2004,"&lt;&gt;")=0,"",SUMIFS('Estimates'!$F$5:$F$2004,'Estimates'!$A$5:$A$2004,$A43,'Estimates'!$B$5:$B$2004,"MPS",'Estimates'!$C$5:$C$2004,'Status'!$G$5,'Estimates'!$H$5:$H$2004,1)))))</x:f>
      </x:c>
      <x:c r="F43" s="13" t="str">
        <x:f>IF(AND(ISNUMBER(C43),ISNUMBER(D43)),D43-C43,"")</x:f>
      </x:c>
      <x:c r="G43" s="13" t="str">
        <x:f>IF(AND(ISNUMBER(D43),ISNUMBER(E43)),E43-D43,"")</x:f>
      </x:c>
      <x:c r="H43" s="13" t="str">
        <x:f>IF(AND(COUNT(C43:E43)=3,COUNT('Status'!$E$5:$G$5)=3,'Status'!$E$5&gt;0,'Status'!$E$5&lt;'Status'!$F$5,'Status'!$F$5&lt;'Status'!$G$5),ABS(E43-(D43+(D43-C43)*((1/'Status'!$G$5)-(1/'Status'!$F$5))/((1/'Status'!$F$5)-(1/'Status'!$E$5)))),"")</x:f>
      </x:c>
      <x:c r="I43" s="13" t="str">
        <x:f>IF(AND(COUNT(C43:E43)=3,COUNT('Status'!$E$5:$G$5)=3,'Status'!$E$5&gt;0,'Status'!$E$5&lt;'Status'!$F$5,'Status'!$F$5&lt;'Status'!$G$5),((1/'Status'!$F$5)*E43-(1/'Status'!$G$5)*D43)/((1/'Status'!$F$5)-(1/'Status'!$G$5)),"")</x:f>
      </x:c>
      <x:c r="J43" s="13" t="str">
        <x:f>IF(OR(COUNTA($A43)=0,NOT(ISNUMBER('Status'!$E$6))),"",IF(COUNTIFS('Estimates'!$A$5:$A$2004,$A43,'Estimates'!$B$5:$B$2004,"PPS",'Estimates'!$D$5:$D$2004,'Status'!$E$6,'Estimates'!$H$5:$H$2004,1,'Estimates'!$E$5:$E$2004,'Status'!$E$7)=0,"",IF(COUNTIFS('Estimates'!$A$5:$A$2004,$A43,'Estimates'!$B$5:$B$2004,"PPS",'Estimates'!$D$5:$D$2004,'Status'!$E$6,'Estimates'!$H$5:$H$2004,1,'Estimates'!$E$5:$E$2004,'Status'!$E$7)&gt;1,"DUP",IF(COUNTIFS('Estimates'!$A$5:$A$2004,$A43,'Estimates'!$B$5:$B$2004,"PPS",'Estimates'!$D$5:$D$2004,'Status'!$E$6,'Estimates'!$H$5:$H$2004,1,'Estimates'!$E$5:$E$2004,'Status'!$E$7,'Estimates'!$F$5:$F$2004,"&lt;&gt;")=0,"",SUMIFS('Estimates'!$F$5:$F$2004,'Estimates'!$A$5:$A$2004,$A43,'Estimates'!$B$5:$B$2004,"PPS",'Estimates'!$D$5:$D$2004,'Status'!$E$6,'Estimates'!$H$5:$H$2004,1,'Estimates'!$E$5:$E$2004,'Status'!$E$7)))))</x:f>
      </x:c>
      <x:c r="K43" s="13" t="str">
        <x:f>IF(OR(COUNTA($A43)=0,NOT(ISNUMBER('Status'!$F$6))),"",IF(COUNTIFS('Estimates'!$A$5:$A$2004,$A43,'Estimates'!$B$5:$B$2004,"PPS",'Estimates'!$D$5:$D$2004,'Status'!$F$6,'Estimates'!$H$5:$H$2004,1,'Estimates'!$E$5:$E$2004,'Status'!$E$7)=0,"",IF(COUNTIFS('Estimates'!$A$5:$A$2004,$A43,'Estimates'!$B$5:$B$2004,"PPS",'Estimates'!$D$5:$D$2004,'Status'!$F$6,'Estimates'!$H$5:$H$2004,1,'Estimates'!$E$5:$E$2004,'Status'!$E$7)&gt;1,"DUP",IF(COUNTIFS('Estimates'!$A$5:$A$2004,$A43,'Estimates'!$B$5:$B$2004,"PPS",'Estimates'!$D$5:$D$2004,'Status'!$F$6,'Estimates'!$H$5:$H$2004,1,'Estimates'!$E$5:$E$2004,'Status'!$E$7,'Estimates'!$F$5:$F$2004,"&lt;&gt;")=0,"",SUMIFS('Estimates'!$F$5:$F$2004,'Estimates'!$A$5:$A$2004,$A43,'Estimates'!$B$5:$B$2004,"PPS",'Estimates'!$D$5:$D$2004,'Status'!$F$6,'Estimates'!$H$5:$H$2004,1,'Estimates'!$E$5:$E$2004,'Status'!$E$7)))))</x:f>
      </x:c>
      <x:c r="L43" s="13" t="str">
        <x:f>IF(OR(COUNTA($A43)=0,NOT(ISNUMBER('Status'!$G$6))),"",IF(COUNTIFS('Estimates'!$A$5:$A$2004,$A43,'Estimates'!$B$5:$B$2004,"PPS",'Estimates'!$D$5:$D$2004,'Status'!$G$6,'Estimates'!$H$5:$H$2004,1,'Estimates'!$E$5:$E$2004,'Status'!$E$7)=0,"",IF(COUNTIFS('Estimates'!$A$5:$A$2004,$A43,'Estimates'!$B$5:$B$2004,"PPS",'Estimates'!$D$5:$D$2004,'Status'!$G$6,'Estimates'!$H$5:$H$2004,1,'Estimates'!$E$5:$E$2004,'Status'!$E$7)&gt;1,"DUP",IF(COUNTIFS('Estimates'!$A$5:$A$2004,$A43,'Estimates'!$B$5:$B$2004,"PPS",'Estimates'!$D$5:$D$2004,'Status'!$G$6,'Estimates'!$H$5:$H$2004,1,'Estimates'!$E$5:$E$2004,'Status'!$E$7,'Estimates'!$F$5:$F$2004,"&lt;&gt;")=0,"",SUMIFS('Estimates'!$F$5:$F$2004,'Estimates'!$A$5:$A$2004,$A43,'Estimates'!$B$5:$B$2004,"PPS",'Estimates'!$D$5:$D$2004,'Status'!$G$6,'Estimates'!$H$5:$H$2004,1,'Estimates'!$E$5:$E$2004,'Status'!$E$7)))))</x:f>
      </x:c>
      <x:c r="M43" s="13" t="str">
        <x:f>IF(AND(ISNUMBER(J43),ISNUMBER(K43)),K43-J43,"")</x:f>
      </x:c>
      <x:c r="N43" s="13" t="str">
        <x:f>IF(AND(ISNUMBER(K43),ISNUMBER(L43)),L43-K43,"")</x:f>
      </x:c>
      <x:c r="O43" s="13" t="str">
        <x:f>IF(AND(COUNT(J43:L43)=3,COUNT('Status'!$E$6:$G$6)=3,'Status'!$E$6&gt;'Status'!$F$6,'Status'!$F$6&gt;'Status'!$G$6,'Status'!$G$6&gt;0),ABS(L43-(K43+(K43-J43)*('Status'!$G$6-'Status'!$F$6)/('Status'!$F$6-'Status'!$E$6))),"")</x:f>
      </x:c>
      <x:c r="P43" s="13" t="str">
        <x:f>IF(AND(COUNT(J43:L43)=3,COUNT('Status'!$E$6:$G$6)=3,'Status'!$E$6&gt;'Status'!$F$6,'Status'!$F$6&gt;'Status'!$G$6,'Status'!$G$6&gt;0),('Status'!$F$6*L43-'Status'!$G$6*K43)/('Status'!$F$6-'Status'!$G$6),"")</x:f>
      </x:c>
      <x:c r="Q43" s="20"/>
      <x:c r="R43" s="13" t="str">
        <x:f>IF(COUNTA($A43)=0,"",IF('Status'!$B$6="MPS 1",IF(ISNUMBER(C43),C43,""),IF('Status'!$B$6="MPS 2",IF(ISNUMBER(D43),D43,""),IF('Status'!$B$6="MPS 3",IF(ISNUMBER(E43),E43,""),IF('Status'!$B$6="MPS extrap",IF(ISNUMBER(I43),I43,""),IF('Status'!$B$6="PPS 1",IF(ISNUMBER(J43),J43,""),IF('Status'!$B$6="PPS 2",IF(ISNUMBER(K43),K43,""),IF('Status'!$B$6="PPS 3",IF(ISNUMBER(L43),L43,""),IF('Status'!$B$6="PPS extrap",IF(ISNUMBER(P43),P43,""),IF('Status'!$B$6="Calibrated",IF(ISNUMBER(Q43),Q43,""),""))))))))))</x:f>
      </x:c>
      <x:c r="S43" s="2" t="str">
        <x:f>IF(COUNTA(A43)=0,"",IF(COUNTIFS('Estimates'!$A$5:$A$2004,A43,'Estimates'!$B$5:$B$2004,"MPS",'Estimates'!$H$5:$H$2004,1)+COUNTIFS('Estimates'!$A$5:$A$2004,A43,'Estimates'!$B$5:$B$2004,"PPS",'Estimates'!$H$5:$H$2004,1)&gt;0,1,0))</x:f>
      </x:c>
      <x:c r="T43" s="2" t="str">
        <x:f>IF(COUNTA(A43)=0,"",IF(COUNTIFS($A$6:$A$165,A43)&gt;1,"Duplicate target",IF(COUNTIFS(C43:E43,"DUP")+COUNTIFS(J43:L43,"DUP")&gt;0,"Duplicate accepted run",IF(COUNTIFS('Estimates'!$A$5:$A$2004,A43,'Estimates'!$H$5:$H$2004,1)-COUNTIFS('Estimates'!$A$5:$A$2004,A43,'Estimates'!$H$5:$H$2004,1,'Estimates'!$F$5:$F$2004,"&lt;&gt;")&gt;0,"Accepted value missing",""))))</x:f>
      </x:c>
    </x:row>
    <x:row r="44">
      <x:c r="A44" s="21"/>
      <x:c r="B44" s="19"/>
      <x:c r="C44" s="13" t="str">
        <x:f>IF(OR(COUNTA($A44)=0,NOT(ISNUMBER('Status'!$E$5))),"",IF(COUNTIFS('Estimates'!$A$5:$A$2004,$A44,'Estimates'!$B$5:$B$2004,"MPS",'Estimates'!$C$5:$C$2004,'Status'!$E$5,'Estimates'!$H$5:$H$2004,1)=0,"",IF(COUNTIFS('Estimates'!$A$5:$A$2004,$A44,'Estimates'!$B$5:$B$2004,"MPS",'Estimates'!$C$5:$C$2004,'Status'!$E$5,'Estimates'!$H$5:$H$2004,1)&gt;1,"DUP",IF(COUNTIFS('Estimates'!$A$5:$A$2004,$A44,'Estimates'!$B$5:$B$2004,"MPS",'Estimates'!$C$5:$C$2004,'Status'!$E$5,'Estimates'!$H$5:$H$2004,1,'Estimates'!$F$5:$F$2004,"&lt;&gt;")=0,"",SUMIFS('Estimates'!$F$5:$F$2004,'Estimates'!$A$5:$A$2004,$A44,'Estimates'!$B$5:$B$2004,"MPS",'Estimates'!$C$5:$C$2004,'Status'!$E$5,'Estimates'!$H$5:$H$2004,1)))))</x:f>
      </x:c>
      <x:c r="D44" s="13" t="str">
        <x:f>IF(OR(COUNTA($A44)=0,NOT(ISNUMBER('Status'!$F$5))),"",IF(COUNTIFS('Estimates'!$A$5:$A$2004,$A44,'Estimates'!$B$5:$B$2004,"MPS",'Estimates'!$C$5:$C$2004,'Status'!$F$5,'Estimates'!$H$5:$H$2004,1)=0,"",IF(COUNTIFS('Estimates'!$A$5:$A$2004,$A44,'Estimates'!$B$5:$B$2004,"MPS",'Estimates'!$C$5:$C$2004,'Status'!$F$5,'Estimates'!$H$5:$H$2004,1)&gt;1,"DUP",IF(COUNTIFS('Estimates'!$A$5:$A$2004,$A44,'Estimates'!$B$5:$B$2004,"MPS",'Estimates'!$C$5:$C$2004,'Status'!$F$5,'Estimates'!$H$5:$H$2004,1,'Estimates'!$F$5:$F$2004,"&lt;&gt;")=0,"",SUMIFS('Estimates'!$F$5:$F$2004,'Estimates'!$A$5:$A$2004,$A44,'Estimates'!$B$5:$B$2004,"MPS",'Estimates'!$C$5:$C$2004,'Status'!$F$5,'Estimates'!$H$5:$H$2004,1)))))</x:f>
      </x:c>
      <x:c r="E44" s="13" t="str">
        <x:f>IF(OR(COUNTA($A44)=0,NOT(ISNUMBER('Status'!$G$5))),"",IF(COUNTIFS('Estimates'!$A$5:$A$2004,$A44,'Estimates'!$B$5:$B$2004,"MPS",'Estimates'!$C$5:$C$2004,'Status'!$G$5,'Estimates'!$H$5:$H$2004,1)=0,"",IF(COUNTIFS('Estimates'!$A$5:$A$2004,$A44,'Estimates'!$B$5:$B$2004,"MPS",'Estimates'!$C$5:$C$2004,'Status'!$G$5,'Estimates'!$H$5:$H$2004,1)&gt;1,"DUP",IF(COUNTIFS('Estimates'!$A$5:$A$2004,$A44,'Estimates'!$B$5:$B$2004,"MPS",'Estimates'!$C$5:$C$2004,'Status'!$G$5,'Estimates'!$H$5:$H$2004,1,'Estimates'!$F$5:$F$2004,"&lt;&gt;")=0,"",SUMIFS('Estimates'!$F$5:$F$2004,'Estimates'!$A$5:$A$2004,$A44,'Estimates'!$B$5:$B$2004,"MPS",'Estimates'!$C$5:$C$2004,'Status'!$G$5,'Estimates'!$H$5:$H$2004,1)))))</x:f>
      </x:c>
      <x:c r="F44" s="13" t="str">
        <x:f>IF(AND(ISNUMBER(C44),ISNUMBER(D44)),D44-C44,"")</x:f>
      </x:c>
      <x:c r="G44" s="13" t="str">
        <x:f>IF(AND(ISNUMBER(D44),ISNUMBER(E44)),E44-D44,"")</x:f>
      </x:c>
      <x:c r="H44" s="13" t="str">
        <x:f>IF(AND(COUNT(C44:E44)=3,COUNT('Status'!$E$5:$G$5)=3,'Status'!$E$5&gt;0,'Status'!$E$5&lt;'Status'!$F$5,'Status'!$F$5&lt;'Status'!$G$5),ABS(E44-(D44+(D44-C44)*((1/'Status'!$G$5)-(1/'Status'!$F$5))/((1/'Status'!$F$5)-(1/'Status'!$E$5)))),"")</x:f>
      </x:c>
      <x:c r="I44" s="13" t="str">
        <x:f>IF(AND(COUNT(C44:E44)=3,COUNT('Status'!$E$5:$G$5)=3,'Status'!$E$5&gt;0,'Status'!$E$5&lt;'Status'!$F$5,'Status'!$F$5&lt;'Status'!$G$5),((1/'Status'!$F$5)*E44-(1/'Status'!$G$5)*D44)/((1/'Status'!$F$5)-(1/'Status'!$G$5)),"")</x:f>
      </x:c>
      <x:c r="J44" s="13" t="str">
        <x:f>IF(OR(COUNTA($A44)=0,NOT(ISNUMBER('Status'!$E$6))),"",IF(COUNTIFS('Estimates'!$A$5:$A$2004,$A44,'Estimates'!$B$5:$B$2004,"PPS",'Estimates'!$D$5:$D$2004,'Status'!$E$6,'Estimates'!$H$5:$H$2004,1,'Estimates'!$E$5:$E$2004,'Status'!$E$7)=0,"",IF(COUNTIFS('Estimates'!$A$5:$A$2004,$A44,'Estimates'!$B$5:$B$2004,"PPS",'Estimates'!$D$5:$D$2004,'Status'!$E$6,'Estimates'!$H$5:$H$2004,1,'Estimates'!$E$5:$E$2004,'Status'!$E$7)&gt;1,"DUP",IF(COUNTIFS('Estimates'!$A$5:$A$2004,$A44,'Estimates'!$B$5:$B$2004,"PPS",'Estimates'!$D$5:$D$2004,'Status'!$E$6,'Estimates'!$H$5:$H$2004,1,'Estimates'!$E$5:$E$2004,'Status'!$E$7,'Estimates'!$F$5:$F$2004,"&lt;&gt;")=0,"",SUMIFS('Estimates'!$F$5:$F$2004,'Estimates'!$A$5:$A$2004,$A44,'Estimates'!$B$5:$B$2004,"PPS",'Estimates'!$D$5:$D$2004,'Status'!$E$6,'Estimates'!$H$5:$H$2004,1,'Estimates'!$E$5:$E$2004,'Status'!$E$7)))))</x:f>
      </x:c>
      <x:c r="K44" s="13" t="str">
        <x:f>IF(OR(COUNTA($A44)=0,NOT(ISNUMBER('Status'!$F$6))),"",IF(COUNTIFS('Estimates'!$A$5:$A$2004,$A44,'Estimates'!$B$5:$B$2004,"PPS",'Estimates'!$D$5:$D$2004,'Status'!$F$6,'Estimates'!$H$5:$H$2004,1,'Estimates'!$E$5:$E$2004,'Status'!$E$7)=0,"",IF(COUNTIFS('Estimates'!$A$5:$A$2004,$A44,'Estimates'!$B$5:$B$2004,"PPS",'Estimates'!$D$5:$D$2004,'Status'!$F$6,'Estimates'!$H$5:$H$2004,1,'Estimates'!$E$5:$E$2004,'Status'!$E$7)&gt;1,"DUP",IF(COUNTIFS('Estimates'!$A$5:$A$2004,$A44,'Estimates'!$B$5:$B$2004,"PPS",'Estimates'!$D$5:$D$2004,'Status'!$F$6,'Estimates'!$H$5:$H$2004,1,'Estimates'!$E$5:$E$2004,'Status'!$E$7,'Estimates'!$F$5:$F$2004,"&lt;&gt;")=0,"",SUMIFS('Estimates'!$F$5:$F$2004,'Estimates'!$A$5:$A$2004,$A44,'Estimates'!$B$5:$B$2004,"PPS",'Estimates'!$D$5:$D$2004,'Status'!$F$6,'Estimates'!$H$5:$H$2004,1,'Estimates'!$E$5:$E$2004,'Status'!$E$7)))))</x:f>
      </x:c>
      <x:c r="L44" s="13" t="str">
        <x:f>IF(OR(COUNTA($A44)=0,NOT(ISNUMBER('Status'!$G$6))),"",IF(COUNTIFS('Estimates'!$A$5:$A$2004,$A44,'Estimates'!$B$5:$B$2004,"PPS",'Estimates'!$D$5:$D$2004,'Status'!$G$6,'Estimates'!$H$5:$H$2004,1,'Estimates'!$E$5:$E$2004,'Status'!$E$7)=0,"",IF(COUNTIFS('Estimates'!$A$5:$A$2004,$A44,'Estimates'!$B$5:$B$2004,"PPS",'Estimates'!$D$5:$D$2004,'Status'!$G$6,'Estimates'!$H$5:$H$2004,1,'Estimates'!$E$5:$E$2004,'Status'!$E$7)&gt;1,"DUP",IF(COUNTIFS('Estimates'!$A$5:$A$2004,$A44,'Estimates'!$B$5:$B$2004,"PPS",'Estimates'!$D$5:$D$2004,'Status'!$G$6,'Estimates'!$H$5:$H$2004,1,'Estimates'!$E$5:$E$2004,'Status'!$E$7,'Estimates'!$F$5:$F$2004,"&lt;&gt;")=0,"",SUMIFS('Estimates'!$F$5:$F$2004,'Estimates'!$A$5:$A$2004,$A44,'Estimates'!$B$5:$B$2004,"PPS",'Estimates'!$D$5:$D$2004,'Status'!$G$6,'Estimates'!$H$5:$H$2004,1,'Estimates'!$E$5:$E$2004,'Status'!$E$7)))))</x:f>
      </x:c>
      <x:c r="M44" s="13" t="str">
        <x:f>IF(AND(ISNUMBER(J44),ISNUMBER(K44)),K44-J44,"")</x:f>
      </x:c>
      <x:c r="N44" s="13" t="str">
        <x:f>IF(AND(ISNUMBER(K44),ISNUMBER(L44)),L44-K44,"")</x:f>
      </x:c>
      <x:c r="O44" s="13" t="str">
        <x:f>IF(AND(COUNT(J44:L44)=3,COUNT('Status'!$E$6:$G$6)=3,'Status'!$E$6&gt;'Status'!$F$6,'Status'!$F$6&gt;'Status'!$G$6,'Status'!$G$6&gt;0),ABS(L44-(K44+(K44-J44)*('Status'!$G$6-'Status'!$F$6)/('Status'!$F$6-'Status'!$E$6))),"")</x:f>
      </x:c>
      <x:c r="P44" s="13" t="str">
        <x:f>IF(AND(COUNT(J44:L44)=3,COUNT('Status'!$E$6:$G$6)=3,'Status'!$E$6&gt;'Status'!$F$6,'Status'!$F$6&gt;'Status'!$G$6,'Status'!$G$6&gt;0),('Status'!$F$6*L44-'Status'!$G$6*K44)/('Status'!$F$6-'Status'!$G$6),"")</x:f>
      </x:c>
      <x:c r="Q44" s="20"/>
      <x:c r="R44" s="13" t="str">
        <x:f>IF(COUNTA($A44)=0,"",IF('Status'!$B$6="MPS 1",IF(ISNUMBER(C44),C44,""),IF('Status'!$B$6="MPS 2",IF(ISNUMBER(D44),D44,""),IF('Status'!$B$6="MPS 3",IF(ISNUMBER(E44),E44,""),IF('Status'!$B$6="MPS extrap",IF(ISNUMBER(I44),I44,""),IF('Status'!$B$6="PPS 1",IF(ISNUMBER(J44),J44,""),IF('Status'!$B$6="PPS 2",IF(ISNUMBER(K44),K44,""),IF('Status'!$B$6="PPS 3",IF(ISNUMBER(L44),L44,""),IF('Status'!$B$6="PPS extrap",IF(ISNUMBER(P44),P44,""),IF('Status'!$B$6="Calibrated",IF(ISNUMBER(Q44),Q44,""),""))))))))))</x:f>
      </x:c>
      <x:c r="S44" s="2" t="str">
        <x:f>IF(COUNTA(A44)=0,"",IF(COUNTIFS('Estimates'!$A$5:$A$2004,A44,'Estimates'!$B$5:$B$2004,"MPS",'Estimates'!$H$5:$H$2004,1)+COUNTIFS('Estimates'!$A$5:$A$2004,A44,'Estimates'!$B$5:$B$2004,"PPS",'Estimates'!$H$5:$H$2004,1)&gt;0,1,0))</x:f>
      </x:c>
      <x:c r="T44" s="2" t="str">
        <x:f>IF(COUNTA(A44)=0,"",IF(COUNTIFS($A$6:$A$165,A44)&gt;1,"Duplicate target",IF(COUNTIFS(C44:E44,"DUP")+COUNTIFS(J44:L44,"DUP")&gt;0,"Duplicate accepted run",IF(COUNTIFS('Estimates'!$A$5:$A$2004,A44,'Estimates'!$H$5:$H$2004,1)-COUNTIFS('Estimates'!$A$5:$A$2004,A44,'Estimates'!$H$5:$H$2004,1,'Estimates'!$F$5:$F$2004,"&lt;&gt;")&gt;0,"Accepted value missing",""))))</x:f>
      </x:c>
    </x:row>
    <x:row r="45">
      <x:c r="A45" s="21"/>
      <x:c r="B45" s="19"/>
      <x:c r="C45" s="13" t="str">
        <x:f>IF(OR(COUNTA($A45)=0,NOT(ISNUMBER('Status'!$E$5))),"",IF(COUNTIFS('Estimates'!$A$5:$A$2004,$A45,'Estimates'!$B$5:$B$2004,"MPS",'Estimates'!$C$5:$C$2004,'Status'!$E$5,'Estimates'!$H$5:$H$2004,1)=0,"",IF(COUNTIFS('Estimates'!$A$5:$A$2004,$A45,'Estimates'!$B$5:$B$2004,"MPS",'Estimates'!$C$5:$C$2004,'Status'!$E$5,'Estimates'!$H$5:$H$2004,1)&gt;1,"DUP",IF(COUNTIFS('Estimates'!$A$5:$A$2004,$A45,'Estimates'!$B$5:$B$2004,"MPS",'Estimates'!$C$5:$C$2004,'Status'!$E$5,'Estimates'!$H$5:$H$2004,1,'Estimates'!$F$5:$F$2004,"&lt;&gt;")=0,"",SUMIFS('Estimates'!$F$5:$F$2004,'Estimates'!$A$5:$A$2004,$A45,'Estimates'!$B$5:$B$2004,"MPS",'Estimates'!$C$5:$C$2004,'Status'!$E$5,'Estimates'!$H$5:$H$2004,1)))))</x:f>
      </x:c>
      <x:c r="D45" s="13" t="str">
        <x:f>IF(OR(COUNTA($A45)=0,NOT(ISNUMBER('Status'!$F$5))),"",IF(COUNTIFS('Estimates'!$A$5:$A$2004,$A45,'Estimates'!$B$5:$B$2004,"MPS",'Estimates'!$C$5:$C$2004,'Status'!$F$5,'Estimates'!$H$5:$H$2004,1)=0,"",IF(COUNTIFS('Estimates'!$A$5:$A$2004,$A45,'Estimates'!$B$5:$B$2004,"MPS",'Estimates'!$C$5:$C$2004,'Status'!$F$5,'Estimates'!$H$5:$H$2004,1)&gt;1,"DUP",IF(COUNTIFS('Estimates'!$A$5:$A$2004,$A45,'Estimates'!$B$5:$B$2004,"MPS",'Estimates'!$C$5:$C$2004,'Status'!$F$5,'Estimates'!$H$5:$H$2004,1,'Estimates'!$F$5:$F$2004,"&lt;&gt;")=0,"",SUMIFS('Estimates'!$F$5:$F$2004,'Estimates'!$A$5:$A$2004,$A45,'Estimates'!$B$5:$B$2004,"MPS",'Estimates'!$C$5:$C$2004,'Status'!$F$5,'Estimates'!$H$5:$H$2004,1)))))</x:f>
      </x:c>
      <x:c r="E45" s="13" t="str">
        <x:f>IF(OR(COUNTA($A45)=0,NOT(ISNUMBER('Status'!$G$5))),"",IF(COUNTIFS('Estimates'!$A$5:$A$2004,$A45,'Estimates'!$B$5:$B$2004,"MPS",'Estimates'!$C$5:$C$2004,'Status'!$G$5,'Estimates'!$H$5:$H$2004,1)=0,"",IF(COUNTIFS('Estimates'!$A$5:$A$2004,$A45,'Estimates'!$B$5:$B$2004,"MPS",'Estimates'!$C$5:$C$2004,'Status'!$G$5,'Estimates'!$H$5:$H$2004,1)&gt;1,"DUP",IF(COUNTIFS('Estimates'!$A$5:$A$2004,$A45,'Estimates'!$B$5:$B$2004,"MPS",'Estimates'!$C$5:$C$2004,'Status'!$G$5,'Estimates'!$H$5:$H$2004,1,'Estimates'!$F$5:$F$2004,"&lt;&gt;")=0,"",SUMIFS('Estimates'!$F$5:$F$2004,'Estimates'!$A$5:$A$2004,$A45,'Estimates'!$B$5:$B$2004,"MPS",'Estimates'!$C$5:$C$2004,'Status'!$G$5,'Estimates'!$H$5:$H$2004,1)))))</x:f>
      </x:c>
      <x:c r="F45" s="13" t="str">
        <x:f>IF(AND(ISNUMBER(C45),ISNUMBER(D45)),D45-C45,"")</x:f>
      </x:c>
      <x:c r="G45" s="13" t="str">
        <x:f>IF(AND(ISNUMBER(D45),ISNUMBER(E45)),E45-D45,"")</x:f>
      </x:c>
      <x:c r="H45" s="13" t="str">
        <x:f>IF(AND(COUNT(C45:E45)=3,COUNT('Status'!$E$5:$G$5)=3,'Status'!$E$5&gt;0,'Status'!$E$5&lt;'Status'!$F$5,'Status'!$F$5&lt;'Status'!$G$5),ABS(E45-(D45+(D45-C45)*((1/'Status'!$G$5)-(1/'Status'!$F$5))/((1/'Status'!$F$5)-(1/'Status'!$E$5)))),"")</x:f>
      </x:c>
      <x:c r="I45" s="13" t="str">
        <x:f>IF(AND(COUNT(C45:E45)=3,COUNT('Status'!$E$5:$G$5)=3,'Status'!$E$5&gt;0,'Status'!$E$5&lt;'Status'!$F$5,'Status'!$F$5&lt;'Status'!$G$5),((1/'Status'!$F$5)*E45-(1/'Status'!$G$5)*D45)/((1/'Status'!$F$5)-(1/'Status'!$G$5)),"")</x:f>
      </x:c>
      <x:c r="J45" s="13" t="str">
        <x:f>IF(OR(COUNTA($A45)=0,NOT(ISNUMBER('Status'!$E$6))),"",IF(COUNTIFS('Estimates'!$A$5:$A$2004,$A45,'Estimates'!$B$5:$B$2004,"PPS",'Estimates'!$D$5:$D$2004,'Status'!$E$6,'Estimates'!$H$5:$H$2004,1,'Estimates'!$E$5:$E$2004,'Status'!$E$7)=0,"",IF(COUNTIFS('Estimates'!$A$5:$A$2004,$A45,'Estimates'!$B$5:$B$2004,"PPS",'Estimates'!$D$5:$D$2004,'Status'!$E$6,'Estimates'!$H$5:$H$2004,1,'Estimates'!$E$5:$E$2004,'Status'!$E$7)&gt;1,"DUP",IF(COUNTIFS('Estimates'!$A$5:$A$2004,$A45,'Estimates'!$B$5:$B$2004,"PPS",'Estimates'!$D$5:$D$2004,'Status'!$E$6,'Estimates'!$H$5:$H$2004,1,'Estimates'!$E$5:$E$2004,'Status'!$E$7,'Estimates'!$F$5:$F$2004,"&lt;&gt;")=0,"",SUMIFS('Estimates'!$F$5:$F$2004,'Estimates'!$A$5:$A$2004,$A45,'Estimates'!$B$5:$B$2004,"PPS",'Estimates'!$D$5:$D$2004,'Status'!$E$6,'Estimates'!$H$5:$H$2004,1,'Estimates'!$E$5:$E$2004,'Status'!$E$7)))))</x:f>
      </x:c>
      <x:c r="K45" s="13" t="str">
        <x:f>IF(OR(COUNTA($A45)=0,NOT(ISNUMBER('Status'!$F$6))),"",IF(COUNTIFS('Estimates'!$A$5:$A$2004,$A45,'Estimates'!$B$5:$B$2004,"PPS",'Estimates'!$D$5:$D$2004,'Status'!$F$6,'Estimates'!$H$5:$H$2004,1,'Estimates'!$E$5:$E$2004,'Status'!$E$7)=0,"",IF(COUNTIFS('Estimates'!$A$5:$A$2004,$A45,'Estimates'!$B$5:$B$2004,"PPS",'Estimates'!$D$5:$D$2004,'Status'!$F$6,'Estimates'!$H$5:$H$2004,1,'Estimates'!$E$5:$E$2004,'Status'!$E$7)&gt;1,"DUP",IF(COUNTIFS('Estimates'!$A$5:$A$2004,$A45,'Estimates'!$B$5:$B$2004,"PPS",'Estimates'!$D$5:$D$2004,'Status'!$F$6,'Estimates'!$H$5:$H$2004,1,'Estimates'!$E$5:$E$2004,'Status'!$E$7,'Estimates'!$F$5:$F$2004,"&lt;&gt;")=0,"",SUMIFS('Estimates'!$F$5:$F$2004,'Estimates'!$A$5:$A$2004,$A45,'Estimates'!$B$5:$B$2004,"PPS",'Estimates'!$D$5:$D$2004,'Status'!$F$6,'Estimates'!$H$5:$H$2004,1,'Estimates'!$E$5:$E$2004,'Status'!$E$7)))))</x:f>
      </x:c>
      <x:c r="L45" s="13" t="str">
        <x:f>IF(OR(COUNTA($A45)=0,NOT(ISNUMBER('Status'!$G$6))),"",IF(COUNTIFS('Estimates'!$A$5:$A$2004,$A45,'Estimates'!$B$5:$B$2004,"PPS",'Estimates'!$D$5:$D$2004,'Status'!$G$6,'Estimates'!$H$5:$H$2004,1,'Estimates'!$E$5:$E$2004,'Status'!$E$7)=0,"",IF(COUNTIFS('Estimates'!$A$5:$A$2004,$A45,'Estimates'!$B$5:$B$2004,"PPS",'Estimates'!$D$5:$D$2004,'Status'!$G$6,'Estimates'!$H$5:$H$2004,1,'Estimates'!$E$5:$E$2004,'Status'!$E$7)&gt;1,"DUP",IF(COUNTIFS('Estimates'!$A$5:$A$2004,$A45,'Estimates'!$B$5:$B$2004,"PPS",'Estimates'!$D$5:$D$2004,'Status'!$G$6,'Estimates'!$H$5:$H$2004,1,'Estimates'!$E$5:$E$2004,'Status'!$E$7,'Estimates'!$F$5:$F$2004,"&lt;&gt;")=0,"",SUMIFS('Estimates'!$F$5:$F$2004,'Estimates'!$A$5:$A$2004,$A45,'Estimates'!$B$5:$B$2004,"PPS",'Estimates'!$D$5:$D$2004,'Status'!$G$6,'Estimates'!$H$5:$H$2004,1,'Estimates'!$E$5:$E$2004,'Status'!$E$7)))))</x:f>
      </x:c>
      <x:c r="M45" s="13" t="str">
        <x:f>IF(AND(ISNUMBER(J45),ISNUMBER(K45)),K45-J45,"")</x:f>
      </x:c>
      <x:c r="N45" s="13" t="str">
        <x:f>IF(AND(ISNUMBER(K45),ISNUMBER(L45)),L45-K45,"")</x:f>
      </x:c>
      <x:c r="O45" s="13" t="str">
        <x:f>IF(AND(COUNT(J45:L45)=3,COUNT('Status'!$E$6:$G$6)=3,'Status'!$E$6&gt;'Status'!$F$6,'Status'!$F$6&gt;'Status'!$G$6,'Status'!$G$6&gt;0),ABS(L45-(K45+(K45-J45)*('Status'!$G$6-'Status'!$F$6)/('Status'!$F$6-'Status'!$E$6))),"")</x:f>
      </x:c>
      <x:c r="P45" s="13" t="str">
        <x:f>IF(AND(COUNT(J45:L45)=3,COUNT('Status'!$E$6:$G$6)=3,'Status'!$E$6&gt;'Status'!$F$6,'Status'!$F$6&gt;'Status'!$G$6,'Status'!$G$6&gt;0),('Status'!$F$6*L45-'Status'!$G$6*K45)/('Status'!$F$6-'Status'!$G$6),"")</x:f>
      </x:c>
      <x:c r="Q45" s="20"/>
      <x:c r="R45" s="13" t="str">
        <x:f>IF(COUNTA($A45)=0,"",IF('Status'!$B$6="MPS 1",IF(ISNUMBER(C45),C45,""),IF('Status'!$B$6="MPS 2",IF(ISNUMBER(D45),D45,""),IF('Status'!$B$6="MPS 3",IF(ISNUMBER(E45),E45,""),IF('Status'!$B$6="MPS extrap",IF(ISNUMBER(I45),I45,""),IF('Status'!$B$6="PPS 1",IF(ISNUMBER(J45),J45,""),IF('Status'!$B$6="PPS 2",IF(ISNUMBER(K45),K45,""),IF('Status'!$B$6="PPS 3",IF(ISNUMBER(L45),L45,""),IF('Status'!$B$6="PPS extrap",IF(ISNUMBER(P45),P45,""),IF('Status'!$B$6="Calibrated",IF(ISNUMBER(Q45),Q45,""),""))))))))))</x:f>
      </x:c>
      <x:c r="S45" s="2" t="str">
        <x:f>IF(COUNTA(A45)=0,"",IF(COUNTIFS('Estimates'!$A$5:$A$2004,A45,'Estimates'!$B$5:$B$2004,"MPS",'Estimates'!$H$5:$H$2004,1)+COUNTIFS('Estimates'!$A$5:$A$2004,A45,'Estimates'!$B$5:$B$2004,"PPS",'Estimates'!$H$5:$H$2004,1)&gt;0,1,0))</x:f>
      </x:c>
      <x:c r="T45" s="2" t="str">
        <x:f>IF(COUNTA(A45)=0,"",IF(COUNTIFS($A$6:$A$165,A45)&gt;1,"Duplicate target",IF(COUNTIFS(C45:E45,"DUP")+COUNTIFS(J45:L45,"DUP")&gt;0,"Duplicate accepted run",IF(COUNTIFS('Estimates'!$A$5:$A$2004,A45,'Estimates'!$H$5:$H$2004,1)-COUNTIFS('Estimates'!$A$5:$A$2004,A45,'Estimates'!$H$5:$H$2004,1,'Estimates'!$F$5:$F$2004,"&lt;&gt;")&gt;0,"Accepted value missing",""))))</x:f>
      </x:c>
    </x:row>
    <x:row r="46">
      <x:c r="A46" s="21"/>
      <x:c r="B46" s="19"/>
      <x:c r="C46" s="13" t="str">
        <x:f>IF(OR(COUNTA($A46)=0,NOT(ISNUMBER('Status'!$E$5))),"",IF(COUNTIFS('Estimates'!$A$5:$A$2004,$A46,'Estimates'!$B$5:$B$2004,"MPS",'Estimates'!$C$5:$C$2004,'Status'!$E$5,'Estimates'!$H$5:$H$2004,1)=0,"",IF(COUNTIFS('Estimates'!$A$5:$A$2004,$A46,'Estimates'!$B$5:$B$2004,"MPS",'Estimates'!$C$5:$C$2004,'Status'!$E$5,'Estimates'!$H$5:$H$2004,1)&gt;1,"DUP",IF(COUNTIFS('Estimates'!$A$5:$A$2004,$A46,'Estimates'!$B$5:$B$2004,"MPS",'Estimates'!$C$5:$C$2004,'Status'!$E$5,'Estimates'!$H$5:$H$2004,1,'Estimates'!$F$5:$F$2004,"&lt;&gt;")=0,"",SUMIFS('Estimates'!$F$5:$F$2004,'Estimates'!$A$5:$A$2004,$A46,'Estimates'!$B$5:$B$2004,"MPS",'Estimates'!$C$5:$C$2004,'Status'!$E$5,'Estimates'!$H$5:$H$2004,1)))))</x:f>
      </x:c>
      <x:c r="D46" s="13" t="str">
        <x:f>IF(OR(COUNTA($A46)=0,NOT(ISNUMBER('Status'!$F$5))),"",IF(COUNTIFS('Estimates'!$A$5:$A$2004,$A46,'Estimates'!$B$5:$B$2004,"MPS",'Estimates'!$C$5:$C$2004,'Status'!$F$5,'Estimates'!$H$5:$H$2004,1)=0,"",IF(COUNTIFS('Estimates'!$A$5:$A$2004,$A46,'Estimates'!$B$5:$B$2004,"MPS",'Estimates'!$C$5:$C$2004,'Status'!$F$5,'Estimates'!$H$5:$H$2004,1)&gt;1,"DUP",IF(COUNTIFS('Estimates'!$A$5:$A$2004,$A46,'Estimates'!$B$5:$B$2004,"MPS",'Estimates'!$C$5:$C$2004,'Status'!$F$5,'Estimates'!$H$5:$H$2004,1,'Estimates'!$F$5:$F$2004,"&lt;&gt;")=0,"",SUMIFS('Estimates'!$F$5:$F$2004,'Estimates'!$A$5:$A$2004,$A46,'Estimates'!$B$5:$B$2004,"MPS",'Estimates'!$C$5:$C$2004,'Status'!$F$5,'Estimates'!$H$5:$H$2004,1)))))</x:f>
      </x:c>
      <x:c r="E46" s="13" t="str">
        <x:f>IF(OR(COUNTA($A46)=0,NOT(ISNUMBER('Status'!$G$5))),"",IF(COUNTIFS('Estimates'!$A$5:$A$2004,$A46,'Estimates'!$B$5:$B$2004,"MPS",'Estimates'!$C$5:$C$2004,'Status'!$G$5,'Estimates'!$H$5:$H$2004,1)=0,"",IF(COUNTIFS('Estimates'!$A$5:$A$2004,$A46,'Estimates'!$B$5:$B$2004,"MPS",'Estimates'!$C$5:$C$2004,'Status'!$G$5,'Estimates'!$H$5:$H$2004,1)&gt;1,"DUP",IF(COUNTIFS('Estimates'!$A$5:$A$2004,$A46,'Estimates'!$B$5:$B$2004,"MPS",'Estimates'!$C$5:$C$2004,'Status'!$G$5,'Estimates'!$H$5:$H$2004,1,'Estimates'!$F$5:$F$2004,"&lt;&gt;")=0,"",SUMIFS('Estimates'!$F$5:$F$2004,'Estimates'!$A$5:$A$2004,$A46,'Estimates'!$B$5:$B$2004,"MPS",'Estimates'!$C$5:$C$2004,'Status'!$G$5,'Estimates'!$H$5:$H$2004,1)))))</x:f>
      </x:c>
      <x:c r="F46" s="13" t="str">
        <x:f>IF(AND(ISNUMBER(C46),ISNUMBER(D46)),D46-C46,"")</x:f>
      </x:c>
      <x:c r="G46" s="13" t="str">
        <x:f>IF(AND(ISNUMBER(D46),ISNUMBER(E46)),E46-D46,"")</x:f>
      </x:c>
      <x:c r="H46" s="13" t="str">
        <x:f>IF(AND(COUNT(C46:E46)=3,COUNT('Status'!$E$5:$G$5)=3,'Status'!$E$5&gt;0,'Status'!$E$5&lt;'Status'!$F$5,'Status'!$F$5&lt;'Status'!$G$5),ABS(E46-(D46+(D46-C46)*((1/'Status'!$G$5)-(1/'Status'!$F$5))/((1/'Status'!$F$5)-(1/'Status'!$E$5)))),"")</x:f>
      </x:c>
      <x:c r="I46" s="13" t="str">
        <x:f>IF(AND(COUNT(C46:E46)=3,COUNT('Status'!$E$5:$G$5)=3,'Status'!$E$5&gt;0,'Status'!$E$5&lt;'Status'!$F$5,'Status'!$F$5&lt;'Status'!$G$5),((1/'Status'!$F$5)*E46-(1/'Status'!$G$5)*D46)/((1/'Status'!$F$5)-(1/'Status'!$G$5)),"")</x:f>
      </x:c>
      <x:c r="J46" s="13" t="str">
        <x:f>IF(OR(COUNTA($A46)=0,NOT(ISNUMBER('Status'!$E$6))),"",IF(COUNTIFS('Estimates'!$A$5:$A$2004,$A46,'Estimates'!$B$5:$B$2004,"PPS",'Estimates'!$D$5:$D$2004,'Status'!$E$6,'Estimates'!$H$5:$H$2004,1,'Estimates'!$E$5:$E$2004,'Status'!$E$7)=0,"",IF(COUNTIFS('Estimates'!$A$5:$A$2004,$A46,'Estimates'!$B$5:$B$2004,"PPS",'Estimates'!$D$5:$D$2004,'Status'!$E$6,'Estimates'!$H$5:$H$2004,1,'Estimates'!$E$5:$E$2004,'Status'!$E$7)&gt;1,"DUP",IF(COUNTIFS('Estimates'!$A$5:$A$2004,$A46,'Estimates'!$B$5:$B$2004,"PPS",'Estimates'!$D$5:$D$2004,'Status'!$E$6,'Estimates'!$H$5:$H$2004,1,'Estimates'!$E$5:$E$2004,'Status'!$E$7,'Estimates'!$F$5:$F$2004,"&lt;&gt;")=0,"",SUMIFS('Estimates'!$F$5:$F$2004,'Estimates'!$A$5:$A$2004,$A46,'Estimates'!$B$5:$B$2004,"PPS",'Estimates'!$D$5:$D$2004,'Status'!$E$6,'Estimates'!$H$5:$H$2004,1,'Estimates'!$E$5:$E$2004,'Status'!$E$7)))))</x:f>
      </x:c>
      <x:c r="K46" s="13" t="str">
        <x:f>IF(OR(COUNTA($A46)=0,NOT(ISNUMBER('Status'!$F$6))),"",IF(COUNTIFS('Estimates'!$A$5:$A$2004,$A46,'Estimates'!$B$5:$B$2004,"PPS",'Estimates'!$D$5:$D$2004,'Status'!$F$6,'Estimates'!$H$5:$H$2004,1,'Estimates'!$E$5:$E$2004,'Status'!$E$7)=0,"",IF(COUNTIFS('Estimates'!$A$5:$A$2004,$A46,'Estimates'!$B$5:$B$2004,"PPS",'Estimates'!$D$5:$D$2004,'Status'!$F$6,'Estimates'!$H$5:$H$2004,1,'Estimates'!$E$5:$E$2004,'Status'!$E$7)&gt;1,"DUP",IF(COUNTIFS('Estimates'!$A$5:$A$2004,$A46,'Estimates'!$B$5:$B$2004,"PPS",'Estimates'!$D$5:$D$2004,'Status'!$F$6,'Estimates'!$H$5:$H$2004,1,'Estimates'!$E$5:$E$2004,'Status'!$E$7,'Estimates'!$F$5:$F$2004,"&lt;&gt;")=0,"",SUMIFS('Estimates'!$F$5:$F$2004,'Estimates'!$A$5:$A$2004,$A46,'Estimates'!$B$5:$B$2004,"PPS",'Estimates'!$D$5:$D$2004,'Status'!$F$6,'Estimates'!$H$5:$H$2004,1,'Estimates'!$E$5:$E$2004,'Status'!$E$7)))))</x:f>
      </x:c>
      <x:c r="L46" s="13" t="str">
        <x:f>IF(OR(COUNTA($A46)=0,NOT(ISNUMBER('Status'!$G$6))),"",IF(COUNTIFS('Estimates'!$A$5:$A$2004,$A46,'Estimates'!$B$5:$B$2004,"PPS",'Estimates'!$D$5:$D$2004,'Status'!$G$6,'Estimates'!$H$5:$H$2004,1,'Estimates'!$E$5:$E$2004,'Status'!$E$7)=0,"",IF(COUNTIFS('Estimates'!$A$5:$A$2004,$A46,'Estimates'!$B$5:$B$2004,"PPS",'Estimates'!$D$5:$D$2004,'Status'!$G$6,'Estimates'!$H$5:$H$2004,1,'Estimates'!$E$5:$E$2004,'Status'!$E$7)&gt;1,"DUP",IF(COUNTIFS('Estimates'!$A$5:$A$2004,$A46,'Estimates'!$B$5:$B$2004,"PPS",'Estimates'!$D$5:$D$2004,'Status'!$G$6,'Estimates'!$H$5:$H$2004,1,'Estimates'!$E$5:$E$2004,'Status'!$E$7,'Estimates'!$F$5:$F$2004,"&lt;&gt;")=0,"",SUMIFS('Estimates'!$F$5:$F$2004,'Estimates'!$A$5:$A$2004,$A46,'Estimates'!$B$5:$B$2004,"PPS",'Estimates'!$D$5:$D$2004,'Status'!$G$6,'Estimates'!$H$5:$H$2004,1,'Estimates'!$E$5:$E$2004,'Status'!$E$7)))))</x:f>
      </x:c>
      <x:c r="M46" s="13" t="str">
        <x:f>IF(AND(ISNUMBER(J46),ISNUMBER(K46)),K46-J46,"")</x:f>
      </x:c>
      <x:c r="N46" s="13" t="str">
        <x:f>IF(AND(ISNUMBER(K46),ISNUMBER(L46)),L46-K46,"")</x:f>
      </x:c>
      <x:c r="O46" s="13" t="str">
        <x:f>IF(AND(COUNT(J46:L46)=3,COUNT('Status'!$E$6:$G$6)=3,'Status'!$E$6&gt;'Status'!$F$6,'Status'!$F$6&gt;'Status'!$G$6,'Status'!$G$6&gt;0),ABS(L46-(K46+(K46-J46)*('Status'!$G$6-'Status'!$F$6)/('Status'!$F$6-'Status'!$E$6))),"")</x:f>
      </x:c>
      <x:c r="P46" s="13" t="str">
        <x:f>IF(AND(COUNT(J46:L46)=3,COUNT('Status'!$E$6:$G$6)=3,'Status'!$E$6&gt;'Status'!$F$6,'Status'!$F$6&gt;'Status'!$G$6,'Status'!$G$6&gt;0),('Status'!$F$6*L46-'Status'!$G$6*K46)/('Status'!$F$6-'Status'!$G$6),"")</x:f>
      </x:c>
      <x:c r="Q46" s="20"/>
      <x:c r="R46" s="13" t="str">
        <x:f>IF(COUNTA($A46)=0,"",IF('Status'!$B$6="MPS 1",IF(ISNUMBER(C46),C46,""),IF('Status'!$B$6="MPS 2",IF(ISNUMBER(D46),D46,""),IF('Status'!$B$6="MPS 3",IF(ISNUMBER(E46),E46,""),IF('Status'!$B$6="MPS extrap",IF(ISNUMBER(I46),I46,""),IF('Status'!$B$6="PPS 1",IF(ISNUMBER(J46),J46,""),IF('Status'!$B$6="PPS 2",IF(ISNUMBER(K46),K46,""),IF('Status'!$B$6="PPS 3",IF(ISNUMBER(L46),L46,""),IF('Status'!$B$6="PPS extrap",IF(ISNUMBER(P46),P46,""),IF('Status'!$B$6="Calibrated",IF(ISNUMBER(Q46),Q46,""),""))))))))))</x:f>
      </x:c>
      <x:c r="S46" s="2" t="str">
        <x:f>IF(COUNTA(A46)=0,"",IF(COUNTIFS('Estimates'!$A$5:$A$2004,A46,'Estimates'!$B$5:$B$2004,"MPS",'Estimates'!$H$5:$H$2004,1)+COUNTIFS('Estimates'!$A$5:$A$2004,A46,'Estimates'!$B$5:$B$2004,"PPS",'Estimates'!$H$5:$H$2004,1)&gt;0,1,0))</x:f>
      </x:c>
      <x:c r="T46" s="2" t="str">
        <x:f>IF(COUNTA(A46)=0,"",IF(COUNTIFS($A$6:$A$165,A46)&gt;1,"Duplicate target",IF(COUNTIFS(C46:E46,"DUP")+COUNTIFS(J46:L46,"DUP")&gt;0,"Duplicate accepted run",IF(COUNTIFS('Estimates'!$A$5:$A$2004,A46,'Estimates'!$H$5:$H$2004,1)-COUNTIFS('Estimates'!$A$5:$A$2004,A46,'Estimates'!$H$5:$H$2004,1,'Estimates'!$F$5:$F$2004,"&lt;&gt;")&gt;0,"Accepted value missing",""))))</x:f>
      </x:c>
    </x:row>
    <x:row r="47">
      <x:c r="A47" s="21"/>
      <x:c r="B47" s="19"/>
      <x:c r="C47" s="13" t="str">
        <x:f>IF(OR(COUNTA($A47)=0,NOT(ISNUMBER('Status'!$E$5))),"",IF(COUNTIFS('Estimates'!$A$5:$A$2004,$A47,'Estimates'!$B$5:$B$2004,"MPS",'Estimates'!$C$5:$C$2004,'Status'!$E$5,'Estimates'!$H$5:$H$2004,1)=0,"",IF(COUNTIFS('Estimates'!$A$5:$A$2004,$A47,'Estimates'!$B$5:$B$2004,"MPS",'Estimates'!$C$5:$C$2004,'Status'!$E$5,'Estimates'!$H$5:$H$2004,1)&gt;1,"DUP",IF(COUNTIFS('Estimates'!$A$5:$A$2004,$A47,'Estimates'!$B$5:$B$2004,"MPS",'Estimates'!$C$5:$C$2004,'Status'!$E$5,'Estimates'!$H$5:$H$2004,1,'Estimates'!$F$5:$F$2004,"&lt;&gt;")=0,"",SUMIFS('Estimates'!$F$5:$F$2004,'Estimates'!$A$5:$A$2004,$A47,'Estimates'!$B$5:$B$2004,"MPS",'Estimates'!$C$5:$C$2004,'Status'!$E$5,'Estimates'!$H$5:$H$2004,1)))))</x:f>
      </x:c>
      <x:c r="D47" s="13" t="str">
        <x:f>IF(OR(COUNTA($A47)=0,NOT(ISNUMBER('Status'!$F$5))),"",IF(COUNTIFS('Estimates'!$A$5:$A$2004,$A47,'Estimates'!$B$5:$B$2004,"MPS",'Estimates'!$C$5:$C$2004,'Status'!$F$5,'Estimates'!$H$5:$H$2004,1)=0,"",IF(COUNTIFS('Estimates'!$A$5:$A$2004,$A47,'Estimates'!$B$5:$B$2004,"MPS",'Estimates'!$C$5:$C$2004,'Status'!$F$5,'Estimates'!$H$5:$H$2004,1)&gt;1,"DUP",IF(COUNTIFS('Estimates'!$A$5:$A$2004,$A47,'Estimates'!$B$5:$B$2004,"MPS",'Estimates'!$C$5:$C$2004,'Status'!$F$5,'Estimates'!$H$5:$H$2004,1,'Estimates'!$F$5:$F$2004,"&lt;&gt;")=0,"",SUMIFS('Estimates'!$F$5:$F$2004,'Estimates'!$A$5:$A$2004,$A47,'Estimates'!$B$5:$B$2004,"MPS",'Estimates'!$C$5:$C$2004,'Status'!$F$5,'Estimates'!$H$5:$H$2004,1)))))</x:f>
      </x:c>
      <x:c r="E47" s="13" t="str">
        <x:f>IF(OR(COUNTA($A47)=0,NOT(ISNUMBER('Status'!$G$5))),"",IF(COUNTIFS('Estimates'!$A$5:$A$2004,$A47,'Estimates'!$B$5:$B$2004,"MPS",'Estimates'!$C$5:$C$2004,'Status'!$G$5,'Estimates'!$H$5:$H$2004,1)=0,"",IF(COUNTIFS('Estimates'!$A$5:$A$2004,$A47,'Estimates'!$B$5:$B$2004,"MPS",'Estimates'!$C$5:$C$2004,'Status'!$G$5,'Estimates'!$H$5:$H$2004,1)&gt;1,"DUP",IF(COUNTIFS('Estimates'!$A$5:$A$2004,$A47,'Estimates'!$B$5:$B$2004,"MPS",'Estimates'!$C$5:$C$2004,'Status'!$G$5,'Estimates'!$H$5:$H$2004,1,'Estimates'!$F$5:$F$2004,"&lt;&gt;")=0,"",SUMIFS('Estimates'!$F$5:$F$2004,'Estimates'!$A$5:$A$2004,$A47,'Estimates'!$B$5:$B$2004,"MPS",'Estimates'!$C$5:$C$2004,'Status'!$G$5,'Estimates'!$H$5:$H$2004,1)))))</x:f>
      </x:c>
      <x:c r="F47" s="13" t="str">
        <x:f>IF(AND(ISNUMBER(C47),ISNUMBER(D47)),D47-C47,"")</x:f>
      </x:c>
      <x:c r="G47" s="13" t="str">
        <x:f>IF(AND(ISNUMBER(D47),ISNUMBER(E47)),E47-D47,"")</x:f>
      </x:c>
      <x:c r="H47" s="13" t="str">
        <x:f>IF(AND(COUNT(C47:E47)=3,COUNT('Status'!$E$5:$G$5)=3,'Status'!$E$5&gt;0,'Status'!$E$5&lt;'Status'!$F$5,'Status'!$F$5&lt;'Status'!$G$5),ABS(E47-(D47+(D47-C47)*((1/'Status'!$G$5)-(1/'Status'!$F$5))/((1/'Status'!$F$5)-(1/'Status'!$E$5)))),"")</x:f>
      </x:c>
      <x:c r="I47" s="13" t="str">
        <x:f>IF(AND(COUNT(C47:E47)=3,COUNT('Status'!$E$5:$G$5)=3,'Status'!$E$5&gt;0,'Status'!$E$5&lt;'Status'!$F$5,'Status'!$F$5&lt;'Status'!$G$5),((1/'Status'!$F$5)*E47-(1/'Status'!$G$5)*D47)/((1/'Status'!$F$5)-(1/'Status'!$G$5)),"")</x:f>
      </x:c>
      <x:c r="J47" s="13" t="str">
        <x:f>IF(OR(COUNTA($A47)=0,NOT(ISNUMBER('Status'!$E$6))),"",IF(COUNTIFS('Estimates'!$A$5:$A$2004,$A47,'Estimates'!$B$5:$B$2004,"PPS",'Estimates'!$D$5:$D$2004,'Status'!$E$6,'Estimates'!$H$5:$H$2004,1,'Estimates'!$E$5:$E$2004,'Status'!$E$7)=0,"",IF(COUNTIFS('Estimates'!$A$5:$A$2004,$A47,'Estimates'!$B$5:$B$2004,"PPS",'Estimates'!$D$5:$D$2004,'Status'!$E$6,'Estimates'!$H$5:$H$2004,1,'Estimates'!$E$5:$E$2004,'Status'!$E$7)&gt;1,"DUP",IF(COUNTIFS('Estimates'!$A$5:$A$2004,$A47,'Estimates'!$B$5:$B$2004,"PPS",'Estimates'!$D$5:$D$2004,'Status'!$E$6,'Estimates'!$H$5:$H$2004,1,'Estimates'!$E$5:$E$2004,'Status'!$E$7,'Estimates'!$F$5:$F$2004,"&lt;&gt;")=0,"",SUMIFS('Estimates'!$F$5:$F$2004,'Estimates'!$A$5:$A$2004,$A47,'Estimates'!$B$5:$B$2004,"PPS",'Estimates'!$D$5:$D$2004,'Status'!$E$6,'Estimates'!$H$5:$H$2004,1,'Estimates'!$E$5:$E$2004,'Status'!$E$7)))))</x:f>
      </x:c>
      <x:c r="K47" s="13" t="str">
        <x:f>IF(OR(COUNTA($A47)=0,NOT(ISNUMBER('Status'!$F$6))),"",IF(COUNTIFS('Estimates'!$A$5:$A$2004,$A47,'Estimates'!$B$5:$B$2004,"PPS",'Estimates'!$D$5:$D$2004,'Status'!$F$6,'Estimates'!$H$5:$H$2004,1,'Estimates'!$E$5:$E$2004,'Status'!$E$7)=0,"",IF(COUNTIFS('Estimates'!$A$5:$A$2004,$A47,'Estimates'!$B$5:$B$2004,"PPS",'Estimates'!$D$5:$D$2004,'Status'!$F$6,'Estimates'!$H$5:$H$2004,1,'Estimates'!$E$5:$E$2004,'Status'!$E$7)&gt;1,"DUP",IF(COUNTIFS('Estimates'!$A$5:$A$2004,$A47,'Estimates'!$B$5:$B$2004,"PPS",'Estimates'!$D$5:$D$2004,'Status'!$F$6,'Estimates'!$H$5:$H$2004,1,'Estimates'!$E$5:$E$2004,'Status'!$E$7,'Estimates'!$F$5:$F$2004,"&lt;&gt;")=0,"",SUMIFS('Estimates'!$F$5:$F$2004,'Estimates'!$A$5:$A$2004,$A47,'Estimates'!$B$5:$B$2004,"PPS",'Estimates'!$D$5:$D$2004,'Status'!$F$6,'Estimates'!$H$5:$H$2004,1,'Estimates'!$E$5:$E$2004,'Status'!$E$7)))))</x:f>
      </x:c>
      <x:c r="L47" s="13" t="str">
        <x:f>IF(OR(COUNTA($A47)=0,NOT(ISNUMBER('Status'!$G$6))),"",IF(COUNTIFS('Estimates'!$A$5:$A$2004,$A47,'Estimates'!$B$5:$B$2004,"PPS",'Estimates'!$D$5:$D$2004,'Status'!$G$6,'Estimates'!$H$5:$H$2004,1,'Estimates'!$E$5:$E$2004,'Status'!$E$7)=0,"",IF(COUNTIFS('Estimates'!$A$5:$A$2004,$A47,'Estimates'!$B$5:$B$2004,"PPS",'Estimates'!$D$5:$D$2004,'Status'!$G$6,'Estimates'!$H$5:$H$2004,1,'Estimates'!$E$5:$E$2004,'Status'!$E$7)&gt;1,"DUP",IF(COUNTIFS('Estimates'!$A$5:$A$2004,$A47,'Estimates'!$B$5:$B$2004,"PPS",'Estimates'!$D$5:$D$2004,'Status'!$G$6,'Estimates'!$H$5:$H$2004,1,'Estimates'!$E$5:$E$2004,'Status'!$E$7,'Estimates'!$F$5:$F$2004,"&lt;&gt;")=0,"",SUMIFS('Estimates'!$F$5:$F$2004,'Estimates'!$A$5:$A$2004,$A47,'Estimates'!$B$5:$B$2004,"PPS",'Estimates'!$D$5:$D$2004,'Status'!$G$6,'Estimates'!$H$5:$H$2004,1,'Estimates'!$E$5:$E$2004,'Status'!$E$7)))))</x:f>
      </x:c>
      <x:c r="M47" s="13" t="str">
        <x:f>IF(AND(ISNUMBER(J47),ISNUMBER(K47)),K47-J47,"")</x:f>
      </x:c>
      <x:c r="N47" s="13" t="str">
        <x:f>IF(AND(ISNUMBER(K47),ISNUMBER(L47)),L47-K47,"")</x:f>
      </x:c>
      <x:c r="O47" s="13" t="str">
        <x:f>IF(AND(COUNT(J47:L47)=3,COUNT('Status'!$E$6:$G$6)=3,'Status'!$E$6&gt;'Status'!$F$6,'Status'!$F$6&gt;'Status'!$G$6,'Status'!$G$6&gt;0),ABS(L47-(K47+(K47-J47)*('Status'!$G$6-'Status'!$F$6)/('Status'!$F$6-'Status'!$E$6))),"")</x:f>
      </x:c>
      <x:c r="P47" s="13" t="str">
        <x:f>IF(AND(COUNT(J47:L47)=3,COUNT('Status'!$E$6:$G$6)=3,'Status'!$E$6&gt;'Status'!$F$6,'Status'!$F$6&gt;'Status'!$G$6,'Status'!$G$6&gt;0),('Status'!$F$6*L47-'Status'!$G$6*K47)/('Status'!$F$6-'Status'!$G$6),"")</x:f>
      </x:c>
      <x:c r="Q47" s="20"/>
      <x:c r="R47" s="13" t="str">
        <x:f>IF(COUNTA($A47)=0,"",IF('Status'!$B$6="MPS 1",IF(ISNUMBER(C47),C47,""),IF('Status'!$B$6="MPS 2",IF(ISNUMBER(D47),D47,""),IF('Status'!$B$6="MPS 3",IF(ISNUMBER(E47),E47,""),IF('Status'!$B$6="MPS extrap",IF(ISNUMBER(I47),I47,""),IF('Status'!$B$6="PPS 1",IF(ISNUMBER(J47),J47,""),IF('Status'!$B$6="PPS 2",IF(ISNUMBER(K47),K47,""),IF('Status'!$B$6="PPS 3",IF(ISNUMBER(L47),L47,""),IF('Status'!$B$6="PPS extrap",IF(ISNUMBER(P47),P47,""),IF('Status'!$B$6="Calibrated",IF(ISNUMBER(Q47),Q47,""),""))))))))))</x:f>
      </x:c>
      <x:c r="S47" s="2" t="str">
        <x:f>IF(COUNTA(A47)=0,"",IF(COUNTIFS('Estimates'!$A$5:$A$2004,A47,'Estimates'!$B$5:$B$2004,"MPS",'Estimates'!$H$5:$H$2004,1)+COUNTIFS('Estimates'!$A$5:$A$2004,A47,'Estimates'!$B$5:$B$2004,"PPS",'Estimates'!$H$5:$H$2004,1)&gt;0,1,0))</x:f>
      </x:c>
      <x:c r="T47" s="2" t="str">
        <x:f>IF(COUNTA(A47)=0,"",IF(COUNTIFS($A$6:$A$165,A47)&gt;1,"Duplicate target",IF(COUNTIFS(C47:E47,"DUP")+COUNTIFS(J47:L47,"DUP")&gt;0,"Duplicate accepted run",IF(COUNTIFS('Estimates'!$A$5:$A$2004,A47,'Estimates'!$H$5:$H$2004,1)-COUNTIFS('Estimates'!$A$5:$A$2004,A47,'Estimates'!$H$5:$H$2004,1,'Estimates'!$F$5:$F$2004,"&lt;&gt;")&gt;0,"Accepted value missing",""))))</x:f>
      </x:c>
    </x:row>
    <x:row r="48">
      <x:c r="A48" s="21"/>
      <x:c r="B48" s="19"/>
      <x:c r="C48" s="13" t="str">
        <x:f>IF(OR(COUNTA($A48)=0,NOT(ISNUMBER('Status'!$E$5))),"",IF(COUNTIFS('Estimates'!$A$5:$A$2004,$A48,'Estimates'!$B$5:$B$2004,"MPS",'Estimates'!$C$5:$C$2004,'Status'!$E$5,'Estimates'!$H$5:$H$2004,1)=0,"",IF(COUNTIFS('Estimates'!$A$5:$A$2004,$A48,'Estimates'!$B$5:$B$2004,"MPS",'Estimates'!$C$5:$C$2004,'Status'!$E$5,'Estimates'!$H$5:$H$2004,1)&gt;1,"DUP",IF(COUNTIFS('Estimates'!$A$5:$A$2004,$A48,'Estimates'!$B$5:$B$2004,"MPS",'Estimates'!$C$5:$C$2004,'Status'!$E$5,'Estimates'!$H$5:$H$2004,1,'Estimates'!$F$5:$F$2004,"&lt;&gt;")=0,"",SUMIFS('Estimates'!$F$5:$F$2004,'Estimates'!$A$5:$A$2004,$A48,'Estimates'!$B$5:$B$2004,"MPS",'Estimates'!$C$5:$C$2004,'Status'!$E$5,'Estimates'!$H$5:$H$2004,1)))))</x:f>
      </x:c>
      <x:c r="D48" s="13" t="str">
        <x:f>IF(OR(COUNTA($A48)=0,NOT(ISNUMBER('Status'!$F$5))),"",IF(COUNTIFS('Estimates'!$A$5:$A$2004,$A48,'Estimates'!$B$5:$B$2004,"MPS",'Estimates'!$C$5:$C$2004,'Status'!$F$5,'Estimates'!$H$5:$H$2004,1)=0,"",IF(COUNTIFS('Estimates'!$A$5:$A$2004,$A48,'Estimates'!$B$5:$B$2004,"MPS",'Estimates'!$C$5:$C$2004,'Status'!$F$5,'Estimates'!$H$5:$H$2004,1)&gt;1,"DUP",IF(COUNTIFS('Estimates'!$A$5:$A$2004,$A48,'Estimates'!$B$5:$B$2004,"MPS",'Estimates'!$C$5:$C$2004,'Status'!$F$5,'Estimates'!$H$5:$H$2004,1,'Estimates'!$F$5:$F$2004,"&lt;&gt;")=0,"",SUMIFS('Estimates'!$F$5:$F$2004,'Estimates'!$A$5:$A$2004,$A48,'Estimates'!$B$5:$B$2004,"MPS",'Estimates'!$C$5:$C$2004,'Status'!$F$5,'Estimates'!$H$5:$H$2004,1)))))</x:f>
      </x:c>
      <x:c r="E48" s="13" t="str">
        <x:f>IF(OR(COUNTA($A48)=0,NOT(ISNUMBER('Status'!$G$5))),"",IF(COUNTIFS('Estimates'!$A$5:$A$2004,$A48,'Estimates'!$B$5:$B$2004,"MPS",'Estimates'!$C$5:$C$2004,'Status'!$G$5,'Estimates'!$H$5:$H$2004,1)=0,"",IF(COUNTIFS('Estimates'!$A$5:$A$2004,$A48,'Estimates'!$B$5:$B$2004,"MPS",'Estimates'!$C$5:$C$2004,'Status'!$G$5,'Estimates'!$H$5:$H$2004,1)&gt;1,"DUP",IF(COUNTIFS('Estimates'!$A$5:$A$2004,$A48,'Estimates'!$B$5:$B$2004,"MPS",'Estimates'!$C$5:$C$2004,'Status'!$G$5,'Estimates'!$H$5:$H$2004,1,'Estimates'!$F$5:$F$2004,"&lt;&gt;")=0,"",SUMIFS('Estimates'!$F$5:$F$2004,'Estimates'!$A$5:$A$2004,$A48,'Estimates'!$B$5:$B$2004,"MPS",'Estimates'!$C$5:$C$2004,'Status'!$G$5,'Estimates'!$H$5:$H$2004,1)))))</x:f>
      </x:c>
      <x:c r="F48" s="13" t="str">
        <x:f>IF(AND(ISNUMBER(C48),ISNUMBER(D48)),D48-C48,"")</x:f>
      </x:c>
      <x:c r="G48" s="13" t="str">
        <x:f>IF(AND(ISNUMBER(D48),ISNUMBER(E48)),E48-D48,"")</x:f>
      </x:c>
      <x:c r="H48" s="13" t="str">
        <x:f>IF(AND(COUNT(C48:E48)=3,COUNT('Status'!$E$5:$G$5)=3,'Status'!$E$5&gt;0,'Status'!$E$5&lt;'Status'!$F$5,'Status'!$F$5&lt;'Status'!$G$5),ABS(E48-(D48+(D48-C48)*((1/'Status'!$G$5)-(1/'Status'!$F$5))/((1/'Status'!$F$5)-(1/'Status'!$E$5)))),"")</x:f>
      </x:c>
      <x:c r="I48" s="13" t="str">
        <x:f>IF(AND(COUNT(C48:E48)=3,COUNT('Status'!$E$5:$G$5)=3,'Status'!$E$5&gt;0,'Status'!$E$5&lt;'Status'!$F$5,'Status'!$F$5&lt;'Status'!$G$5),((1/'Status'!$F$5)*E48-(1/'Status'!$G$5)*D48)/((1/'Status'!$F$5)-(1/'Status'!$G$5)),"")</x:f>
      </x:c>
      <x:c r="J48" s="13" t="str">
        <x:f>IF(OR(COUNTA($A48)=0,NOT(ISNUMBER('Status'!$E$6))),"",IF(COUNTIFS('Estimates'!$A$5:$A$2004,$A48,'Estimates'!$B$5:$B$2004,"PPS",'Estimates'!$D$5:$D$2004,'Status'!$E$6,'Estimates'!$H$5:$H$2004,1,'Estimates'!$E$5:$E$2004,'Status'!$E$7)=0,"",IF(COUNTIFS('Estimates'!$A$5:$A$2004,$A48,'Estimates'!$B$5:$B$2004,"PPS",'Estimates'!$D$5:$D$2004,'Status'!$E$6,'Estimates'!$H$5:$H$2004,1,'Estimates'!$E$5:$E$2004,'Status'!$E$7)&gt;1,"DUP",IF(COUNTIFS('Estimates'!$A$5:$A$2004,$A48,'Estimates'!$B$5:$B$2004,"PPS",'Estimates'!$D$5:$D$2004,'Status'!$E$6,'Estimates'!$H$5:$H$2004,1,'Estimates'!$E$5:$E$2004,'Status'!$E$7,'Estimates'!$F$5:$F$2004,"&lt;&gt;")=0,"",SUMIFS('Estimates'!$F$5:$F$2004,'Estimates'!$A$5:$A$2004,$A48,'Estimates'!$B$5:$B$2004,"PPS",'Estimates'!$D$5:$D$2004,'Status'!$E$6,'Estimates'!$H$5:$H$2004,1,'Estimates'!$E$5:$E$2004,'Status'!$E$7)))))</x:f>
      </x:c>
      <x:c r="K48" s="13" t="str">
        <x:f>IF(OR(COUNTA($A48)=0,NOT(ISNUMBER('Status'!$F$6))),"",IF(COUNTIFS('Estimates'!$A$5:$A$2004,$A48,'Estimates'!$B$5:$B$2004,"PPS",'Estimates'!$D$5:$D$2004,'Status'!$F$6,'Estimates'!$H$5:$H$2004,1,'Estimates'!$E$5:$E$2004,'Status'!$E$7)=0,"",IF(COUNTIFS('Estimates'!$A$5:$A$2004,$A48,'Estimates'!$B$5:$B$2004,"PPS",'Estimates'!$D$5:$D$2004,'Status'!$F$6,'Estimates'!$H$5:$H$2004,1,'Estimates'!$E$5:$E$2004,'Status'!$E$7)&gt;1,"DUP",IF(COUNTIFS('Estimates'!$A$5:$A$2004,$A48,'Estimates'!$B$5:$B$2004,"PPS",'Estimates'!$D$5:$D$2004,'Status'!$F$6,'Estimates'!$H$5:$H$2004,1,'Estimates'!$E$5:$E$2004,'Status'!$E$7,'Estimates'!$F$5:$F$2004,"&lt;&gt;")=0,"",SUMIFS('Estimates'!$F$5:$F$2004,'Estimates'!$A$5:$A$2004,$A48,'Estimates'!$B$5:$B$2004,"PPS",'Estimates'!$D$5:$D$2004,'Status'!$F$6,'Estimates'!$H$5:$H$2004,1,'Estimates'!$E$5:$E$2004,'Status'!$E$7)))))</x:f>
      </x:c>
      <x:c r="L48" s="13" t="str">
        <x:f>IF(OR(COUNTA($A48)=0,NOT(ISNUMBER('Status'!$G$6))),"",IF(COUNTIFS('Estimates'!$A$5:$A$2004,$A48,'Estimates'!$B$5:$B$2004,"PPS",'Estimates'!$D$5:$D$2004,'Status'!$G$6,'Estimates'!$H$5:$H$2004,1,'Estimates'!$E$5:$E$2004,'Status'!$E$7)=0,"",IF(COUNTIFS('Estimates'!$A$5:$A$2004,$A48,'Estimates'!$B$5:$B$2004,"PPS",'Estimates'!$D$5:$D$2004,'Status'!$G$6,'Estimates'!$H$5:$H$2004,1,'Estimates'!$E$5:$E$2004,'Status'!$E$7)&gt;1,"DUP",IF(COUNTIFS('Estimates'!$A$5:$A$2004,$A48,'Estimates'!$B$5:$B$2004,"PPS",'Estimates'!$D$5:$D$2004,'Status'!$G$6,'Estimates'!$H$5:$H$2004,1,'Estimates'!$E$5:$E$2004,'Status'!$E$7,'Estimates'!$F$5:$F$2004,"&lt;&gt;")=0,"",SUMIFS('Estimates'!$F$5:$F$2004,'Estimates'!$A$5:$A$2004,$A48,'Estimates'!$B$5:$B$2004,"PPS",'Estimates'!$D$5:$D$2004,'Status'!$G$6,'Estimates'!$H$5:$H$2004,1,'Estimates'!$E$5:$E$2004,'Status'!$E$7)))))</x:f>
      </x:c>
      <x:c r="M48" s="13" t="str">
        <x:f>IF(AND(ISNUMBER(J48),ISNUMBER(K48)),K48-J48,"")</x:f>
      </x:c>
      <x:c r="N48" s="13" t="str">
        <x:f>IF(AND(ISNUMBER(K48),ISNUMBER(L48)),L48-K48,"")</x:f>
      </x:c>
      <x:c r="O48" s="13" t="str">
        <x:f>IF(AND(COUNT(J48:L48)=3,COUNT('Status'!$E$6:$G$6)=3,'Status'!$E$6&gt;'Status'!$F$6,'Status'!$F$6&gt;'Status'!$G$6,'Status'!$G$6&gt;0),ABS(L48-(K48+(K48-J48)*('Status'!$G$6-'Status'!$F$6)/('Status'!$F$6-'Status'!$E$6))),"")</x:f>
      </x:c>
      <x:c r="P48" s="13" t="str">
        <x:f>IF(AND(COUNT(J48:L48)=3,COUNT('Status'!$E$6:$G$6)=3,'Status'!$E$6&gt;'Status'!$F$6,'Status'!$F$6&gt;'Status'!$G$6,'Status'!$G$6&gt;0),('Status'!$F$6*L48-'Status'!$G$6*K48)/('Status'!$F$6-'Status'!$G$6),"")</x:f>
      </x:c>
      <x:c r="Q48" s="20"/>
      <x:c r="R48" s="13" t="str">
        <x:f>IF(COUNTA($A48)=0,"",IF('Status'!$B$6="MPS 1",IF(ISNUMBER(C48),C48,""),IF('Status'!$B$6="MPS 2",IF(ISNUMBER(D48),D48,""),IF('Status'!$B$6="MPS 3",IF(ISNUMBER(E48),E48,""),IF('Status'!$B$6="MPS extrap",IF(ISNUMBER(I48),I48,""),IF('Status'!$B$6="PPS 1",IF(ISNUMBER(J48),J48,""),IF('Status'!$B$6="PPS 2",IF(ISNUMBER(K48),K48,""),IF('Status'!$B$6="PPS 3",IF(ISNUMBER(L48),L48,""),IF('Status'!$B$6="PPS extrap",IF(ISNUMBER(P48),P48,""),IF('Status'!$B$6="Calibrated",IF(ISNUMBER(Q48),Q48,""),""))))))))))</x:f>
      </x:c>
      <x:c r="S48" s="2" t="str">
        <x:f>IF(COUNTA(A48)=0,"",IF(COUNTIFS('Estimates'!$A$5:$A$2004,A48,'Estimates'!$B$5:$B$2004,"MPS",'Estimates'!$H$5:$H$2004,1)+COUNTIFS('Estimates'!$A$5:$A$2004,A48,'Estimates'!$B$5:$B$2004,"PPS",'Estimates'!$H$5:$H$2004,1)&gt;0,1,0))</x:f>
      </x:c>
      <x:c r="T48" s="2" t="str">
        <x:f>IF(COUNTA(A48)=0,"",IF(COUNTIFS($A$6:$A$165,A48)&gt;1,"Duplicate target",IF(COUNTIFS(C48:E48,"DUP")+COUNTIFS(J48:L48,"DUP")&gt;0,"Duplicate accepted run",IF(COUNTIFS('Estimates'!$A$5:$A$2004,A48,'Estimates'!$H$5:$H$2004,1)-COUNTIFS('Estimates'!$A$5:$A$2004,A48,'Estimates'!$H$5:$H$2004,1,'Estimates'!$F$5:$F$2004,"&lt;&gt;")&gt;0,"Accepted value missing",""))))</x:f>
      </x:c>
    </x:row>
    <x:row r="49">
      <x:c r="A49" s="21"/>
      <x:c r="B49" s="19"/>
      <x:c r="C49" s="13" t="str">
        <x:f>IF(OR(COUNTA($A49)=0,NOT(ISNUMBER('Status'!$E$5))),"",IF(COUNTIFS('Estimates'!$A$5:$A$2004,$A49,'Estimates'!$B$5:$B$2004,"MPS",'Estimates'!$C$5:$C$2004,'Status'!$E$5,'Estimates'!$H$5:$H$2004,1)=0,"",IF(COUNTIFS('Estimates'!$A$5:$A$2004,$A49,'Estimates'!$B$5:$B$2004,"MPS",'Estimates'!$C$5:$C$2004,'Status'!$E$5,'Estimates'!$H$5:$H$2004,1)&gt;1,"DUP",IF(COUNTIFS('Estimates'!$A$5:$A$2004,$A49,'Estimates'!$B$5:$B$2004,"MPS",'Estimates'!$C$5:$C$2004,'Status'!$E$5,'Estimates'!$H$5:$H$2004,1,'Estimates'!$F$5:$F$2004,"&lt;&gt;")=0,"",SUMIFS('Estimates'!$F$5:$F$2004,'Estimates'!$A$5:$A$2004,$A49,'Estimates'!$B$5:$B$2004,"MPS",'Estimates'!$C$5:$C$2004,'Status'!$E$5,'Estimates'!$H$5:$H$2004,1)))))</x:f>
      </x:c>
      <x:c r="D49" s="13" t="str">
        <x:f>IF(OR(COUNTA($A49)=0,NOT(ISNUMBER('Status'!$F$5))),"",IF(COUNTIFS('Estimates'!$A$5:$A$2004,$A49,'Estimates'!$B$5:$B$2004,"MPS",'Estimates'!$C$5:$C$2004,'Status'!$F$5,'Estimates'!$H$5:$H$2004,1)=0,"",IF(COUNTIFS('Estimates'!$A$5:$A$2004,$A49,'Estimates'!$B$5:$B$2004,"MPS",'Estimates'!$C$5:$C$2004,'Status'!$F$5,'Estimates'!$H$5:$H$2004,1)&gt;1,"DUP",IF(COUNTIFS('Estimates'!$A$5:$A$2004,$A49,'Estimates'!$B$5:$B$2004,"MPS",'Estimates'!$C$5:$C$2004,'Status'!$F$5,'Estimates'!$H$5:$H$2004,1,'Estimates'!$F$5:$F$2004,"&lt;&gt;")=0,"",SUMIFS('Estimates'!$F$5:$F$2004,'Estimates'!$A$5:$A$2004,$A49,'Estimates'!$B$5:$B$2004,"MPS",'Estimates'!$C$5:$C$2004,'Status'!$F$5,'Estimates'!$H$5:$H$2004,1)))))</x:f>
      </x:c>
      <x:c r="E49" s="13" t="str">
        <x:f>IF(OR(COUNTA($A49)=0,NOT(ISNUMBER('Status'!$G$5))),"",IF(COUNTIFS('Estimates'!$A$5:$A$2004,$A49,'Estimates'!$B$5:$B$2004,"MPS",'Estimates'!$C$5:$C$2004,'Status'!$G$5,'Estimates'!$H$5:$H$2004,1)=0,"",IF(COUNTIFS('Estimates'!$A$5:$A$2004,$A49,'Estimates'!$B$5:$B$2004,"MPS",'Estimates'!$C$5:$C$2004,'Status'!$G$5,'Estimates'!$H$5:$H$2004,1)&gt;1,"DUP",IF(COUNTIFS('Estimates'!$A$5:$A$2004,$A49,'Estimates'!$B$5:$B$2004,"MPS",'Estimates'!$C$5:$C$2004,'Status'!$G$5,'Estimates'!$H$5:$H$2004,1,'Estimates'!$F$5:$F$2004,"&lt;&gt;")=0,"",SUMIFS('Estimates'!$F$5:$F$2004,'Estimates'!$A$5:$A$2004,$A49,'Estimates'!$B$5:$B$2004,"MPS",'Estimates'!$C$5:$C$2004,'Status'!$G$5,'Estimates'!$H$5:$H$2004,1)))))</x:f>
      </x:c>
      <x:c r="F49" s="13" t="str">
        <x:f>IF(AND(ISNUMBER(C49),ISNUMBER(D49)),D49-C49,"")</x:f>
      </x:c>
      <x:c r="G49" s="13" t="str">
        <x:f>IF(AND(ISNUMBER(D49),ISNUMBER(E49)),E49-D49,"")</x:f>
      </x:c>
      <x:c r="H49" s="13" t="str">
        <x:f>IF(AND(COUNT(C49:E49)=3,COUNT('Status'!$E$5:$G$5)=3,'Status'!$E$5&gt;0,'Status'!$E$5&lt;'Status'!$F$5,'Status'!$F$5&lt;'Status'!$G$5),ABS(E49-(D49+(D49-C49)*((1/'Status'!$G$5)-(1/'Status'!$F$5))/((1/'Status'!$F$5)-(1/'Status'!$E$5)))),"")</x:f>
      </x:c>
      <x:c r="I49" s="13" t="str">
        <x:f>IF(AND(COUNT(C49:E49)=3,COUNT('Status'!$E$5:$G$5)=3,'Status'!$E$5&gt;0,'Status'!$E$5&lt;'Status'!$F$5,'Status'!$F$5&lt;'Status'!$G$5),((1/'Status'!$F$5)*E49-(1/'Status'!$G$5)*D49)/((1/'Status'!$F$5)-(1/'Status'!$G$5)),"")</x:f>
      </x:c>
      <x:c r="J49" s="13" t="str">
        <x:f>IF(OR(COUNTA($A49)=0,NOT(ISNUMBER('Status'!$E$6))),"",IF(COUNTIFS('Estimates'!$A$5:$A$2004,$A49,'Estimates'!$B$5:$B$2004,"PPS",'Estimates'!$D$5:$D$2004,'Status'!$E$6,'Estimates'!$H$5:$H$2004,1,'Estimates'!$E$5:$E$2004,'Status'!$E$7)=0,"",IF(COUNTIFS('Estimates'!$A$5:$A$2004,$A49,'Estimates'!$B$5:$B$2004,"PPS",'Estimates'!$D$5:$D$2004,'Status'!$E$6,'Estimates'!$H$5:$H$2004,1,'Estimates'!$E$5:$E$2004,'Status'!$E$7)&gt;1,"DUP",IF(COUNTIFS('Estimates'!$A$5:$A$2004,$A49,'Estimates'!$B$5:$B$2004,"PPS",'Estimates'!$D$5:$D$2004,'Status'!$E$6,'Estimates'!$H$5:$H$2004,1,'Estimates'!$E$5:$E$2004,'Status'!$E$7,'Estimates'!$F$5:$F$2004,"&lt;&gt;")=0,"",SUMIFS('Estimates'!$F$5:$F$2004,'Estimates'!$A$5:$A$2004,$A49,'Estimates'!$B$5:$B$2004,"PPS",'Estimates'!$D$5:$D$2004,'Status'!$E$6,'Estimates'!$H$5:$H$2004,1,'Estimates'!$E$5:$E$2004,'Status'!$E$7)))))</x:f>
      </x:c>
      <x:c r="K49" s="13" t="str">
        <x:f>IF(OR(COUNTA($A49)=0,NOT(ISNUMBER('Status'!$F$6))),"",IF(COUNTIFS('Estimates'!$A$5:$A$2004,$A49,'Estimates'!$B$5:$B$2004,"PPS",'Estimates'!$D$5:$D$2004,'Status'!$F$6,'Estimates'!$H$5:$H$2004,1,'Estimates'!$E$5:$E$2004,'Status'!$E$7)=0,"",IF(COUNTIFS('Estimates'!$A$5:$A$2004,$A49,'Estimates'!$B$5:$B$2004,"PPS",'Estimates'!$D$5:$D$2004,'Status'!$F$6,'Estimates'!$H$5:$H$2004,1,'Estimates'!$E$5:$E$2004,'Status'!$E$7)&gt;1,"DUP",IF(COUNTIFS('Estimates'!$A$5:$A$2004,$A49,'Estimates'!$B$5:$B$2004,"PPS",'Estimates'!$D$5:$D$2004,'Status'!$F$6,'Estimates'!$H$5:$H$2004,1,'Estimates'!$E$5:$E$2004,'Status'!$E$7,'Estimates'!$F$5:$F$2004,"&lt;&gt;")=0,"",SUMIFS('Estimates'!$F$5:$F$2004,'Estimates'!$A$5:$A$2004,$A49,'Estimates'!$B$5:$B$2004,"PPS",'Estimates'!$D$5:$D$2004,'Status'!$F$6,'Estimates'!$H$5:$H$2004,1,'Estimates'!$E$5:$E$2004,'Status'!$E$7)))))</x:f>
      </x:c>
      <x:c r="L49" s="13" t="str">
        <x:f>IF(OR(COUNTA($A49)=0,NOT(ISNUMBER('Status'!$G$6))),"",IF(COUNTIFS('Estimates'!$A$5:$A$2004,$A49,'Estimates'!$B$5:$B$2004,"PPS",'Estimates'!$D$5:$D$2004,'Status'!$G$6,'Estimates'!$H$5:$H$2004,1,'Estimates'!$E$5:$E$2004,'Status'!$E$7)=0,"",IF(COUNTIFS('Estimates'!$A$5:$A$2004,$A49,'Estimates'!$B$5:$B$2004,"PPS",'Estimates'!$D$5:$D$2004,'Status'!$G$6,'Estimates'!$H$5:$H$2004,1,'Estimates'!$E$5:$E$2004,'Status'!$E$7)&gt;1,"DUP",IF(COUNTIFS('Estimates'!$A$5:$A$2004,$A49,'Estimates'!$B$5:$B$2004,"PPS",'Estimates'!$D$5:$D$2004,'Status'!$G$6,'Estimates'!$H$5:$H$2004,1,'Estimates'!$E$5:$E$2004,'Status'!$E$7,'Estimates'!$F$5:$F$2004,"&lt;&gt;")=0,"",SUMIFS('Estimates'!$F$5:$F$2004,'Estimates'!$A$5:$A$2004,$A49,'Estimates'!$B$5:$B$2004,"PPS",'Estimates'!$D$5:$D$2004,'Status'!$G$6,'Estimates'!$H$5:$H$2004,1,'Estimates'!$E$5:$E$2004,'Status'!$E$7)))))</x:f>
      </x:c>
      <x:c r="M49" s="13" t="str">
        <x:f>IF(AND(ISNUMBER(J49),ISNUMBER(K49)),K49-J49,"")</x:f>
      </x:c>
      <x:c r="N49" s="13" t="str">
        <x:f>IF(AND(ISNUMBER(K49),ISNUMBER(L49)),L49-K49,"")</x:f>
      </x:c>
      <x:c r="O49" s="13" t="str">
        <x:f>IF(AND(COUNT(J49:L49)=3,COUNT('Status'!$E$6:$G$6)=3,'Status'!$E$6&gt;'Status'!$F$6,'Status'!$F$6&gt;'Status'!$G$6,'Status'!$G$6&gt;0),ABS(L49-(K49+(K49-J49)*('Status'!$G$6-'Status'!$F$6)/('Status'!$F$6-'Status'!$E$6))),"")</x:f>
      </x:c>
      <x:c r="P49" s="13" t="str">
        <x:f>IF(AND(COUNT(J49:L49)=3,COUNT('Status'!$E$6:$G$6)=3,'Status'!$E$6&gt;'Status'!$F$6,'Status'!$F$6&gt;'Status'!$G$6,'Status'!$G$6&gt;0),('Status'!$F$6*L49-'Status'!$G$6*K49)/('Status'!$F$6-'Status'!$G$6),"")</x:f>
      </x:c>
      <x:c r="Q49" s="20"/>
      <x:c r="R49" s="13" t="str">
        <x:f>IF(COUNTA($A49)=0,"",IF('Status'!$B$6="MPS 1",IF(ISNUMBER(C49),C49,""),IF('Status'!$B$6="MPS 2",IF(ISNUMBER(D49),D49,""),IF('Status'!$B$6="MPS 3",IF(ISNUMBER(E49),E49,""),IF('Status'!$B$6="MPS extrap",IF(ISNUMBER(I49),I49,""),IF('Status'!$B$6="PPS 1",IF(ISNUMBER(J49),J49,""),IF('Status'!$B$6="PPS 2",IF(ISNUMBER(K49),K49,""),IF('Status'!$B$6="PPS 3",IF(ISNUMBER(L49),L49,""),IF('Status'!$B$6="PPS extrap",IF(ISNUMBER(P49),P49,""),IF('Status'!$B$6="Calibrated",IF(ISNUMBER(Q49),Q49,""),""))))))))))</x:f>
      </x:c>
      <x:c r="S49" s="2" t="str">
        <x:f>IF(COUNTA(A49)=0,"",IF(COUNTIFS('Estimates'!$A$5:$A$2004,A49,'Estimates'!$B$5:$B$2004,"MPS",'Estimates'!$H$5:$H$2004,1)+COUNTIFS('Estimates'!$A$5:$A$2004,A49,'Estimates'!$B$5:$B$2004,"PPS",'Estimates'!$H$5:$H$2004,1)&gt;0,1,0))</x:f>
      </x:c>
      <x:c r="T49" s="2" t="str">
        <x:f>IF(COUNTA(A49)=0,"",IF(COUNTIFS($A$6:$A$165,A49)&gt;1,"Duplicate target",IF(COUNTIFS(C49:E49,"DUP")+COUNTIFS(J49:L49,"DUP")&gt;0,"Duplicate accepted run",IF(COUNTIFS('Estimates'!$A$5:$A$2004,A49,'Estimates'!$H$5:$H$2004,1)-COUNTIFS('Estimates'!$A$5:$A$2004,A49,'Estimates'!$H$5:$H$2004,1,'Estimates'!$F$5:$F$2004,"&lt;&gt;")&gt;0,"Accepted value missing",""))))</x:f>
      </x:c>
    </x:row>
    <x:row r="50">
      <x:c r="A50" s="21"/>
      <x:c r="B50" s="19"/>
      <x:c r="C50" s="13" t="str">
        <x:f>IF(OR(COUNTA($A50)=0,NOT(ISNUMBER('Status'!$E$5))),"",IF(COUNTIFS('Estimates'!$A$5:$A$2004,$A50,'Estimates'!$B$5:$B$2004,"MPS",'Estimates'!$C$5:$C$2004,'Status'!$E$5,'Estimates'!$H$5:$H$2004,1)=0,"",IF(COUNTIFS('Estimates'!$A$5:$A$2004,$A50,'Estimates'!$B$5:$B$2004,"MPS",'Estimates'!$C$5:$C$2004,'Status'!$E$5,'Estimates'!$H$5:$H$2004,1)&gt;1,"DUP",IF(COUNTIFS('Estimates'!$A$5:$A$2004,$A50,'Estimates'!$B$5:$B$2004,"MPS",'Estimates'!$C$5:$C$2004,'Status'!$E$5,'Estimates'!$H$5:$H$2004,1,'Estimates'!$F$5:$F$2004,"&lt;&gt;")=0,"",SUMIFS('Estimates'!$F$5:$F$2004,'Estimates'!$A$5:$A$2004,$A50,'Estimates'!$B$5:$B$2004,"MPS",'Estimates'!$C$5:$C$2004,'Status'!$E$5,'Estimates'!$H$5:$H$2004,1)))))</x:f>
      </x:c>
      <x:c r="D50" s="13" t="str">
        <x:f>IF(OR(COUNTA($A50)=0,NOT(ISNUMBER('Status'!$F$5))),"",IF(COUNTIFS('Estimates'!$A$5:$A$2004,$A50,'Estimates'!$B$5:$B$2004,"MPS",'Estimates'!$C$5:$C$2004,'Status'!$F$5,'Estimates'!$H$5:$H$2004,1)=0,"",IF(COUNTIFS('Estimates'!$A$5:$A$2004,$A50,'Estimates'!$B$5:$B$2004,"MPS",'Estimates'!$C$5:$C$2004,'Status'!$F$5,'Estimates'!$H$5:$H$2004,1)&gt;1,"DUP",IF(COUNTIFS('Estimates'!$A$5:$A$2004,$A50,'Estimates'!$B$5:$B$2004,"MPS",'Estimates'!$C$5:$C$2004,'Status'!$F$5,'Estimates'!$H$5:$H$2004,1,'Estimates'!$F$5:$F$2004,"&lt;&gt;")=0,"",SUMIFS('Estimates'!$F$5:$F$2004,'Estimates'!$A$5:$A$2004,$A50,'Estimates'!$B$5:$B$2004,"MPS",'Estimates'!$C$5:$C$2004,'Status'!$F$5,'Estimates'!$H$5:$H$2004,1)))))</x:f>
      </x:c>
      <x:c r="E50" s="13" t="str">
        <x:f>IF(OR(COUNTA($A50)=0,NOT(ISNUMBER('Status'!$G$5))),"",IF(COUNTIFS('Estimates'!$A$5:$A$2004,$A50,'Estimates'!$B$5:$B$2004,"MPS",'Estimates'!$C$5:$C$2004,'Status'!$G$5,'Estimates'!$H$5:$H$2004,1)=0,"",IF(COUNTIFS('Estimates'!$A$5:$A$2004,$A50,'Estimates'!$B$5:$B$2004,"MPS",'Estimates'!$C$5:$C$2004,'Status'!$G$5,'Estimates'!$H$5:$H$2004,1)&gt;1,"DUP",IF(COUNTIFS('Estimates'!$A$5:$A$2004,$A50,'Estimates'!$B$5:$B$2004,"MPS",'Estimates'!$C$5:$C$2004,'Status'!$G$5,'Estimates'!$H$5:$H$2004,1,'Estimates'!$F$5:$F$2004,"&lt;&gt;")=0,"",SUMIFS('Estimates'!$F$5:$F$2004,'Estimates'!$A$5:$A$2004,$A50,'Estimates'!$B$5:$B$2004,"MPS",'Estimates'!$C$5:$C$2004,'Status'!$G$5,'Estimates'!$H$5:$H$2004,1)))))</x:f>
      </x:c>
      <x:c r="F50" s="13" t="str">
        <x:f>IF(AND(ISNUMBER(C50),ISNUMBER(D50)),D50-C50,"")</x:f>
      </x:c>
      <x:c r="G50" s="13" t="str">
        <x:f>IF(AND(ISNUMBER(D50),ISNUMBER(E50)),E50-D50,"")</x:f>
      </x:c>
      <x:c r="H50" s="13" t="str">
        <x:f>IF(AND(COUNT(C50:E50)=3,COUNT('Status'!$E$5:$G$5)=3,'Status'!$E$5&gt;0,'Status'!$E$5&lt;'Status'!$F$5,'Status'!$F$5&lt;'Status'!$G$5),ABS(E50-(D50+(D50-C50)*((1/'Status'!$G$5)-(1/'Status'!$F$5))/((1/'Status'!$F$5)-(1/'Status'!$E$5)))),"")</x:f>
      </x:c>
      <x:c r="I50" s="13" t="str">
        <x:f>IF(AND(COUNT(C50:E50)=3,COUNT('Status'!$E$5:$G$5)=3,'Status'!$E$5&gt;0,'Status'!$E$5&lt;'Status'!$F$5,'Status'!$F$5&lt;'Status'!$G$5),((1/'Status'!$F$5)*E50-(1/'Status'!$G$5)*D50)/((1/'Status'!$F$5)-(1/'Status'!$G$5)),"")</x:f>
      </x:c>
      <x:c r="J50" s="13" t="str">
        <x:f>IF(OR(COUNTA($A50)=0,NOT(ISNUMBER('Status'!$E$6))),"",IF(COUNTIFS('Estimates'!$A$5:$A$2004,$A50,'Estimates'!$B$5:$B$2004,"PPS",'Estimates'!$D$5:$D$2004,'Status'!$E$6,'Estimates'!$H$5:$H$2004,1,'Estimates'!$E$5:$E$2004,'Status'!$E$7)=0,"",IF(COUNTIFS('Estimates'!$A$5:$A$2004,$A50,'Estimates'!$B$5:$B$2004,"PPS",'Estimates'!$D$5:$D$2004,'Status'!$E$6,'Estimates'!$H$5:$H$2004,1,'Estimates'!$E$5:$E$2004,'Status'!$E$7)&gt;1,"DUP",IF(COUNTIFS('Estimates'!$A$5:$A$2004,$A50,'Estimates'!$B$5:$B$2004,"PPS",'Estimates'!$D$5:$D$2004,'Status'!$E$6,'Estimates'!$H$5:$H$2004,1,'Estimates'!$E$5:$E$2004,'Status'!$E$7,'Estimates'!$F$5:$F$2004,"&lt;&gt;")=0,"",SUMIFS('Estimates'!$F$5:$F$2004,'Estimates'!$A$5:$A$2004,$A50,'Estimates'!$B$5:$B$2004,"PPS",'Estimates'!$D$5:$D$2004,'Status'!$E$6,'Estimates'!$H$5:$H$2004,1,'Estimates'!$E$5:$E$2004,'Status'!$E$7)))))</x:f>
      </x:c>
      <x:c r="K50" s="13" t="str">
        <x:f>IF(OR(COUNTA($A50)=0,NOT(ISNUMBER('Status'!$F$6))),"",IF(COUNTIFS('Estimates'!$A$5:$A$2004,$A50,'Estimates'!$B$5:$B$2004,"PPS",'Estimates'!$D$5:$D$2004,'Status'!$F$6,'Estimates'!$H$5:$H$2004,1,'Estimates'!$E$5:$E$2004,'Status'!$E$7)=0,"",IF(COUNTIFS('Estimates'!$A$5:$A$2004,$A50,'Estimates'!$B$5:$B$2004,"PPS",'Estimates'!$D$5:$D$2004,'Status'!$F$6,'Estimates'!$H$5:$H$2004,1,'Estimates'!$E$5:$E$2004,'Status'!$E$7)&gt;1,"DUP",IF(COUNTIFS('Estimates'!$A$5:$A$2004,$A50,'Estimates'!$B$5:$B$2004,"PPS",'Estimates'!$D$5:$D$2004,'Status'!$F$6,'Estimates'!$H$5:$H$2004,1,'Estimates'!$E$5:$E$2004,'Status'!$E$7,'Estimates'!$F$5:$F$2004,"&lt;&gt;")=0,"",SUMIFS('Estimates'!$F$5:$F$2004,'Estimates'!$A$5:$A$2004,$A50,'Estimates'!$B$5:$B$2004,"PPS",'Estimates'!$D$5:$D$2004,'Status'!$F$6,'Estimates'!$H$5:$H$2004,1,'Estimates'!$E$5:$E$2004,'Status'!$E$7)))))</x:f>
      </x:c>
      <x:c r="L50" s="13" t="str">
        <x:f>IF(OR(COUNTA($A50)=0,NOT(ISNUMBER('Status'!$G$6))),"",IF(COUNTIFS('Estimates'!$A$5:$A$2004,$A50,'Estimates'!$B$5:$B$2004,"PPS",'Estimates'!$D$5:$D$2004,'Status'!$G$6,'Estimates'!$H$5:$H$2004,1,'Estimates'!$E$5:$E$2004,'Status'!$E$7)=0,"",IF(COUNTIFS('Estimates'!$A$5:$A$2004,$A50,'Estimates'!$B$5:$B$2004,"PPS",'Estimates'!$D$5:$D$2004,'Status'!$G$6,'Estimates'!$H$5:$H$2004,1,'Estimates'!$E$5:$E$2004,'Status'!$E$7)&gt;1,"DUP",IF(COUNTIFS('Estimates'!$A$5:$A$2004,$A50,'Estimates'!$B$5:$B$2004,"PPS",'Estimates'!$D$5:$D$2004,'Status'!$G$6,'Estimates'!$H$5:$H$2004,1,'Estimates'!$E$5:$E$2004,'Status'!$E$7,'Estimates'!$F$5:$F$2004,"&lt;&gt;")=0,"",SUMIFS('Estimates'!$F$5:$F$2004,'Estimates'!$A$5:$A$2004,$A50,'Estimates'!$B$5:$B$2004,"PPS",'Estimates'!$D$5:$D$2004,'Status'!$G$6,'Estimates'!$H$5:$H$2004,1,'Estimates'!$E$5:$E$2004,'Status'!$E$7)))))</x:f>
      </x:c>
      <x:c r="M50" s="13" t="str">
        <x:f>IF(AND(ISNUMBER(J50),ISNUMBER(K50)),K50-J50,"")</x:f>
      </x:c>
      <x:c r="N50" s="13" t="str">
        <x:f>IF(AND(ISNUMBER(K50),ISNUMBER(L50)),L50-K50,"")</x:f>
      </x:c>
      <x:c r="O50" s="13" t="str">
        <x:f>IF(AND(COUNT(J50:L50)=3,COUNT('Status'!$E$6:$G$6)=3,'Status'!$E$6&gt;'Status'!$F$6,'Status'!$F$6&gt;'Status'!$G$6,'Status'!$G$6&gt;0),ABS(L50-(K50+(K50-J50)*('Status'!$G$6-'Status'!$F$6)/('Status'!$F$6-'Status'!$E$6))),"")</x:f>
      </x:c>
      <x:c r="P50" s="13" t="str">
        <x:f>IF(AND(COUNT(J50:L50)=3,COUNT('Status'!$E$6:$G$6)=3,'Status'!$E$6&gt;'Status'!$F$6,'Status'!$F$6&gt;'Status'!$G$6,'Status'!$G$6&gt;0),('Status'!$F$6*L50-'Status'!$G$6*K50)/('Status'!$F$6-'Status'!$G$6),"")</x:f>
      </x:c>
      <x:c r="Q50" s="20"/>
      <x:c r="R50" s="13" t="str">
        <x:f>IF(COUNTA($A50)=0,"",IF('Status'!$B$6="MPS 1",IF(ISNUMBER(C50),C50,""),IF('Status'!$B$6="MPS 2",IF(ISNUMBER(D50),D50,""),IF('Status'!$B$6="MPS 3",IF(ISNUMBER(E50),E50,""),IF('Status'!$B$6="MPS extrap",IF(ISNUMBER(I50),I50,""),IF('Status'!$B$6="PPS 1",IF(ISNUMBER(J50),J50,""),IF('Status'!$B$6="PPS 2",IF(ISNUMBER(K50),K50,""),IF('Status'!$B$6="PPS 3",IF(ISNUMBER(L50),L50,""),IF('Status'!$B$6="PPS extrap",IF(ISNUMBER(P50),P50,""),IF('Status'!$B$6="Calibrated",IF(ISNUMBER(Q50),Q50,""),""))))))))))</x:f>
      </x:c>
      <x:c r="S50" s="2" t="str">
        <x:f>IF(COUNTA(A50)=0,"",IF(COUNTIFS('Estimates'!$A$5:$A$2004,A50,'Estimates'!$B$5:$B$2004,"MPS",'Estimates'!$H$5:$H$2004,1)+COUNTIFS('Estimates'!$A$5:$A$2004,A50,'Estimates'!$B$5:$B$2004,"PPS",'Estimates'!$H$5:$H$2004,1)&gt;0,1,0))</x:f>
      </x:c>
      <x:c r="T50" s="2" t="str">
        <x:f>IF(COUNTA(A50)=0,"",IF(COUNTIFS($A$6:$A$165,A50)&gt;1,"Duplicate target",IF(COUNTIFS(C50:E50,"DUP")+COUNTIFS(J50:L50,"DUP")&gt;0,"Duplicate accepted run",IF(COUNTIFS('Estimates'!$A$5:$A$2004,A50,'Estimates'!$H$5:$H$2004,1)-COUNTIFS('Estimates'!$A$5:$A$2004,A50,'Estimates'!$H$5:$H$2004,1,'Estimates'!$F$5:$F$2004,"&lt;&gt;")&gt;0,"Accepted value missing",""))))</x:f>
      </x:c>
    </x:row>
    <x:row r="51">
      <x:c r="A51" s="21"/>
      <x:c r="B51" s="19"/>
      <x:c r="C51" s="13" t="str">
        <x:f>IF(OR(COUNTA($A51)=0,NOT(ISNUMBER('Status'!$E$5))),"",IF(COUNTIFS('Estimates'!$A$5:$A$2004,$A51,'Estimates'!$B$5:$B$2004,"MPS",'Estimates'!$C$5:$C$2004,'Status'!$E$5,'Estimates'!$H$5:$H$2004,1)=0,"",IF(COUNTIFS('Estimates'!$A$5:$A$2004,$A51,'Estimates'!$B$5:$B$2004,"MPS",'Estimates'!$C$5:$C$2004,'Status'!$E$5,'Estimates'!$H$5:$H$2004,1)&gt;1,"DUP",IF(COUNTIFS('Estimates'!$A$5:$A$2004,$A51,'Estimates'!$B$5:$B$2004,"MPS",'Estimates'!$C$5:$C$2004,'Status'!$E$5,'Estimates'!$H$5:$H$2004,1,'Estimates'!$F$5:$F$2004,"&lt;&gt;")=0,"",SUMIFS('Estimates'!$F$5:$F$2004,'Estimates'!$A$5:$A$2004,$A51,'Estimates'!$B$5:$B$2004,"MPS",'Estimates'!$C$5:$C$2004,'Status'!$E$5,'Estimates'!$H$5:$H$2004,1)))))</x:f>
      </x:c>
      <x:c r="D51" s="13" t="str">
        <x:f>IF(OR(COUNTA($A51)=0,NOT(ISNUMBER('Status'!$F$5))),"",IF(COUNTIFS('Estimates'!$A$5:$A$2004,$A51,'Estimates'!$B$5:$B$2004,"MPS",'Estimates'!$C$5:$C$2004,'Status'!$F$5,'Estimates'!$H$5:$H$2004,1)=0,"",IF(COUNTIFS('Estimates'!$A$5:$A$2004,$A51,'Estimates'!$B$5:$B$2004,"MPS",'Estimates'!$C$5:$C$2004,'Status'!$F$5,'Estimates'!$H$5:$H$2004,1)&gt;1,"DUP",IF(COUNTIFS('Estimates'!$A$5:$A$2004,$A51,'Estimates'!$B$5:$B$2004,"MPS",'Estimates'!$C$5:$C$2004,'Status'!$F$5,'Estimates'!$H$5:$H$2004,1,'Estimates'!$F$5:$F$2004,"&lt;&gt;")=0,"",SUMIFS('Estimates'!$F$5:$F$2004,'Estimates'!$A$5:$A$2004,$A51,'Estimates'!$B$5:$B$2004,"MPS",'Estimates'!$C$5:$C$2004,'Status'!$F$5,'Estimates'!$H$5:$H$2004,1)))))</x:f>
      </x:c>
      <x:c r="E51" s="13" t="str">
        <x:f>IF(OR(COUNTA($A51)=0,NOT(ISNUMBER('Status'!$G$5))),"",IF(COUNTIFS('Estimates'!$A$5:$A$2004,$A51,'Estimates'!$B$5:$B$2004,"MPS",'Estimates'!$C$5:$C$2004,'Status'!$G$5,'Estimates'!$H$5:$H$2004,1)=0,"",IF(COUNTIFS('Estimates'!$A$5:$A$2004,$A51,'Estimates'!$B$5:$B$2004,"MPS",'Estimates'!$C$5:$C$2004,'Status'!$G$5,'Estimates'!$H$5:$H$2004,1)&gt;1,"DUP",IF(COUNTIFS('Estimates'!$A$5:$A$2004,$A51,'Estimates'!$B$5:$B$2004,"MPS",'Estimates'!$C$5:$C$2004,'Status'!$G$5,'Estimates'!$H$5:$H$2004,1,'Estimates'!$F$5:$F$2004,"&lt;&gt;")=0,"",SUMIFS('Estimates'!$F$5:$F$2004,'Estimates'!$A$5:$A$2004,$A51,'Estimates'!$B$5:$B$2004,"MPS",'Estimates'!$C$5:$C$2004,'Status'!$G$5,'Estimates'!$H$5:$H$2004,1)))))</x:f>
      </x:c>
      <x:c r="F51" s="13" t="str">
        <x:f>IF(AND(ISNUMBER(C51),ISNUMBER(D51)),D51-C51,"")</x:f>
      </x:c>
      <x:c r="G51" s="13" t="str">
        <x:f>IF(AND(ISNUMBER(D51),ISNUMBER(E51)),E51-D51,"")</x:f>
      </x:c>
      <x:c r="H51" s="13" t="str">
        <x:f>IF(AND(COUNT(C51:E51)=3,COUNT('Status'!$E$5:$G$5)=3,'Status'!$E$5&gt;0,'Status'!$E$5&lt;'Status'!$F$5,'Status'!$F$5&lt;'Status'!$G$5),ABS(E51-(D51+(D51-C51)*((1/'Status'!$G$5)-(1/'Status'!$F$5))/((1/'Status'!$F$5)-(1/'Status'!$E$5)))),"")</x:f>
      </x:c>
      <x:c r="I51" s="13" t="str">
        <x:f>IF(AND(COUNT(C51:E51)=3,COUNT('Status'!$E$5:$G$5)=3,'Status'!$E$5&gt;0,'Status'!$E$5&lt;'Status'!$F$5,'Status'!$F$5&lt;'Status'!$G$5),((1/'Status'!$F$5)*E51-(1/'Status'!$G$5)*D51)/((1/'Status'!$F$5)-(1/'Status'!$G$5)),"")</x:f>
      </x:c>
      <x:c r="J51" s="13" t="str">
        <x:f>IF(OR(COUNTA($A51)=0,NOT(ISNUMBER('Status'!$E$6))),"",IF(COUNTIFS('Estimates'!$A$5:$A$2004,$A51,'Estimates'!$B$5:$B$2004,"PPS",'Estimates'!$D$5:$D$2004,'Status'!$E$6,'Estimates'!$H$5:$H$2004,1,'Estimates'!$E$5:$E$2004,'Status'!$E$7)=0,"",IF(COUNTIFS('Estimates'!$A$5:$A$2004,$A51,'Estimates'!$B$5:$B$2004,"PPS",'Estimates'!$D$5:$D$2004,'Status'!$E$6,'Estimates'!$H$5:$H$2004,1,'Estimates'!$E$5:$E$2004,'Status'!$E$7)&gt;1,"DUP",IF(COUNTIFS('Estimates'!$A$5:$A$2004,$A51,'Estimates'!$B$5:$B$2004,"PPS",'Estimates'!$D$5:$D$2004,'Status'!$E$6,'Estimates'!$H$5:$H$2004,1,'Estimates'!$E$5:$E$2004,'Status'!$E$7,'Estimates'!$F$5:$F$2004,"&lt;&gt;")=0,"",SUMIFS('Estimates'!$F$5:$F$2004,'Estimates'!$A$5:$A$2004,$A51,'Estimates'!$B$5:$B$2004,"PPS",'Estimates'!$D$5:$D$2004,'Status'!$E$6,'Estimates'!$H$5:$H$2004,1,'Estimates'!$E$5:$E$2004,'Status'!$E$7)))))</x:f>
      </x:c>
      <x:c r="K51" s="13" t="str">
        <x:f>IF(OR(COUNTA($A51)=0,NOT(ISNUMBER('Status'!$F$6))),"",IF(COUNTIFS('Estimates'!$A$5:$A$2004,$A51,'Estimates'!$B$5:$B$2004,"PPS",'Estimates'!$D$5:$D$2004,'Status'!$F$6,'Estimates'!$H$5:$H$2004,1,'Estimates'!$E$5:$E$2004,'Status'!$E$7)=0,"",IF(COUNTIFS('Estimates'!$A$5:$A$2004,$A51,'Estimates'!$B$5:$B$2004,"PPS",'Estimates'!$D$5:$D$2004,'Status'!$F$6,'Estimates'!$H$5:$H$2004,1,'Estimates'!$E$5:$E$2004,'Status'!$E$7)&gt;1,"DUP",IF(COUNTIFS('Estimates'!$A$5:$A$2004,$A51,'Estimates'!$B$5:$B$2004,"PPS",'Estimates'!$D$5:$D$2004,'Status'!$F$6,'Estimates'!$H$5:$H$2004,1,'Estimates'!$E$5:$E$2004,'Status'!$E$7,'Estimates'!$F$5:$F$2004,"&lt;&gt;")=0,"",SUMIFS('Estimates'!$F$5:$F$2004,'Estimates'!$A$5:$A$2004,$A51,'Estimates'!$B$5:$B$2004,"PPS",'Estimates'!$D$5:$D$2004,'Status'!$F$6,'Estimates'!$H$5:$H$2004,1,'Estimates'!$E$5:$E$2004,'Status'!$E$7)))))</x:f>
      </x:c>
      <x:c r="L51" s="13" t="str">
        <x:f>IF(OR(COUNTA($A51)=0,NOT(ISNUMBER('Status'!$G$6))),"",IF(COUNTIFS('Estimates'!$A$5:$A$2004,$A51,'Estimates'!$B$5:$B$2004,"PPS",'Estimates'!$D$5:$D$2004,'Status'!$G$6,'Estimates'!$H$5:$H$2004,1,'Estimates'!$E$5:$E$2004,'Status'!$E$7)=0,"",IF(COUNTIFS('Estimates'!$A$5:$A$2004,$A51,'Estimates'!$B$5:$B$2004,"PPS",'Estimates'!$D$5:$D$2004,'Status'!$G$6,'Estimates'!$H$5:$H$2004,1,'Estimates'!$E$5:$E$2004,'Status'!$E$7)&gt;1,"DUP",IF(COUNTIFS('Estimates'!$A$5:$A$2004,$A51,'Estimates'!$B$5:$B$2004,"PPS",'Estimates'!$D$5:$D$2004,'Status'!$G$6,'Estimates'!$H$5:$H$2004,1,'Estimates'!$E$5:$E$2004,'Status'!$E$7,'Estimates'!$F$5:$F$2004,"&lt;&gt;")=0,"",SUMIFS('Estimates'!$F$5:$F$2004,'Estimates'!$A$5:$A$2004,$A51,'Estimates'!$B$5:$B$2004,"PPS",'Estimates'!$D$5:$D$2004,'Status'!$G$6,'Estimates'!$H$5:$H$2004,1,'Estimates'!$E$5:$E$2004,'Status'!$E$7)))))</x:f>
      </x:c>
      <x:c r="M51" s="13" t="str">
        <x:f>IF(AND(ISNUMBER(J51),ISNUMBER(K51)),K51-J51,"")</x:f>
      </x:c>
      <x:c r="N51" s="13" t="str">
        <x:f>IF(AND(ISNUMBER(K51),ISNUMBER(L51)),L51-K51,"")</x:f>
      </x:c>
      <x:c r="O51" s="13" t="str">
        <x:f>IF(AND(COUNT(J51:L51)=3,COUNT('Status'!$E$6:$G$6)=3,'Status'!$E$6&gt;'Status'!$F$6,'Status'!$F$6&gt;'Status'!$G$6,'Status'!$G$6&gt;0),ABS(L51-(K51+(K51-J51)*('Status'!$G$6-'Status'!$F$6)/('Status'!$F$6-'Status'!$E$6))),"")</x:f>
      </x:c>
      <x:c r="P51" s="13" t="str">
        <x:f>IF(AND(COUNT(J51:L51)=3,COUNT('Status'!$E$6:$G$6)=3,'Status'!$E$6&gt;'Status'!$F$6,'Status'!$F$6&gt;'Status'!$G$6,'Status'!$G$6&gt;0),('Status'!$F$6*L51-'Status'!$G$6*K51)/('Status'!$F$6-'Status'!$G$6),"")</x:f>
      </x:c>
      <x:c r="Q51" s="20"/>
      <x:c r="R51" s="13" t="str">
        <x:f>IF(COUNTA($A51)=0,"",IF('Status'!$B$6="MPS 1",IF(ISNUMBER(C51),C51,""),IF('Status'!$B$6="MPS 2",IF(ISNUMBER(D51),D51,""),IF('Status'!$B$6="MPS 3",IF(ISNUMBER(E51),E51,""),IF('Status'!$B$6="MPS extrap",IF(ISNUMBER(I51),I51,""),IF('Status'!$B$6="PPS 1",IF(ISNUMBER(J51),J51,""),IF('Status'!$B$6="PPS 2",IF(ISNUMBER(K51),K51,""),IF('Status'!$B$6="PPS 3",IF(ISNUMBER(L51),L51,""),IF('Status'!$B$6="PPS extrap",IF(ISNUMBER(P51),P51,""),IF('Status'!$B$6="Calibrated",IF(ISNUMBER(Q51),Q51,""),""))))))))))</x:f>
      </x:c>
      <x:c r="S51" s="2" t="str">
        <x:f>IF(COUNTA(A51)=0,"",IF(COUNTIFS('Estimates'!$A$5:$A$2004,A51,'Estimates'!$B$5:$B$2004,"MPS",'Estimates'!$H$5:$H$2004,1)+COUNTIFS('Estimates'!$A$5:$A$2004,A51,'Estimates'!$B$5:$B$2004,"PPS",'Estimates'!$H$5:$H$2004,1)&gt;0,1,0))</x:f>
      </x:c>
      <x:c r="T51" s="2" t="str">
        <x:f>IF(COUNTA(A51)=0,"",IF(COUNTIFS($A$6:$A$165,A51)&gt;1,"Duplicate target",IF(COUNTIFS(C51:E51,"DUP")+COUNTIFS(J51:L51,"DUP")&gt;0,"Duplicate accepted run",IF(COUNTIFS('Estimates'!$A$5:$A$2004,A51,'Estimates'!$H$5:$H$2004,1)-COUNTIFS('Estimates'!$A$5:$A$2004,A51,'Estimates'!$H$5:$H$2004,1,'Estimates'!$F$5:$F$2004,"&lt;&gt;")&gt;0,"Accepted value missing",""))))</x:f>
      </x:c>
    </x:row>
    <x:row r="52">
      <x:c r="A52" s="21"/>
      <x:c r="B52" s="19"/>
      <x:c r="C52" s="13" t="str">
        <x:f>IF(OR(COUNTA($A52)=0,NOT(ISNUMBER('Status'!$E$5))),"",IF(COUNTIFS('Estimates'!$A$5:$A$2004,$A52,'Estimates'!$B$5:$B$2004,"MPS",'Estimates'!$C$5:$C$2004,'Status'!$E$5,'Estimates'!$H$5:$H$2004,1)=0,"",IF(COUNTIFS('Estimates'!$A$5:$A$2004,$A52,'Estimates'!$B$5:$B$2004,"MPS",'Estimates'!$C$5:$C$2004,'Status'!$E$5,'Estimates'!$H$5:$H$2004,1)&gt;1,"DUP",IF(COUNTIFS('Estimates'!$A$5:$A$2004,$A52,'Estimates'!$B$5:$B$2004,"MPS",'Estimates'!$C$5:$C$2004,'Status'!$E$5,'Estimates'!$H$5:$H$2004,1,'Estimates'!$F$5:$F$2004,"&lt;&gt;")=0,"",SUMIFS('Estimates'!$F$5:$F$2004,'Estimates'!$A$5:$A$2004,$A52,'Estimates'!$B$5:$B$2004,"MPS",'Estimates'!$C$5:$C$2004,'Status'!$E$5,'Estimates'!$H$5:$H$2004,1)))))</x:f>
      </x:c>
      <x:c r="D52" s="13" t="str">
        <x:f>IF(OR(COUNTA($A52)=0,NOT(ISNUMBER('Status'!$F$5))),"",IF(COUNTIFS('Estimates'!$A$5:$A$2004,$A52,'Estimates'!$B$5:$B$2004,"MPS",'Estimates'!$C$5:$C$2004,'Status'!$F$5,'Estimates'!$H$5:$H$2004,1)=0,"",IF(COUNTIFS('Estimates'!$A$5:$A$2004,$A52,'Estimates'!$B$5:$B$2004,"MPS",'Estimates'!$C$5:$C$2004,'Status'!$F$5,'Estimates'!$H$5:$H$2004,1)&gt;1,"DUP",IF(COUNTIFS('Estimates'!$A$5:$A$2004,$A52,'Estimates'!$B$5:$B$2004,"MPS",'Estimates'!$C$5:$C$2004,'Status'!$F$5,'Estimates'!$H$5:$H$2004,1,'Estimates'!$F$5:$F$2004,"&lt;&gt;")=0,"",SUMIFS('Estimates'!$F$5:$F$2004,'Estimates'!$A$5:$A$2004,$A52,'Estimates'!$B$5:$B$2004,"MPS",'Estimates'!$C$5:$C$2004,'Status'!$F$5,'Estimates'!$H$5:$H$2004,1)))))</x:f>
      </x:c>
      <x:c r="E52" s="13" t="str">
        <x:f>IF(OR(COUNTA($A52)=0,NOT(ISNUMBER('Status'!$G$5))),"",IF(COUNTIFS('Estimates'!$A$5:$A$2004,$A52,'Estimates'!$B$5:$B$2004,"MPS",'Estimates'!$C$5:$C$2004,'Status'!$G$5,'Estimates'!$H$5:$H$2004,1)=0,"",IF(COUNTIFS('Estimates'!$A$5:$A$2004,$A52,'Estimates'!$B$5:$B$2004,"MPS",'Estimates'!$C$5:$C$2004,'Status'!$G$5,'Estimates'!$H$5:$H$2004,1)&gt;1,"DUP",IF(COUNTIFS('Estimates'!$A$5:$A$2004,$A52,'Estimates'!$B$5:$B$2004,"MPS",'Estimates'!$C$5:$C$2004,'Status'!$G$5,'Estimates'!$H$5:$H$2004,1,'Estimates'!$F$5:$F$2004,"&lt;&gt;")=0,"",SUMIFS('Estimates'!$F$5:$F$2004,'Estimates'!$A$5:$A$2004,$A52,'Estimates'!$B$5:$B$2004,"MPS",'Estimates'!$C$5:$C$2004,'Status'!$G$5,'Estimates'!$H$5:$H$2004,1)))))</x:f>
      </x:c>
      <x:c r="F52" s="13" t="str">
        <x:f>IF(AND(ISNUMBER(C52),ISNUMBER(D52)),D52-C52,"")</x:f>
      </x:c>
      <x:c r="G52" s="13" t="str">
        <x:f>IF(AND(ISNUMBER(D52),ISNUMBER(E52)),E52-D52,"")</x:f>
      </x:c>
      <x:c r="H52" s="13" t="str">
        <x:f>IF(AND(COUNT(C52:E52)=3,COUNT('Status'!$E$5:$G$5)=3,'Status'!$E$5&gt;0,'Status'!$E$5&lt;'Status'!$F$5,'Status'!$F$5&lt;'Status'!$G$5),ABS(E52-(D52+(D52-C52)*((1/'Status'!$G$5)-(1/'Status'!$F$5))/((1/'Status'!$F$5)-(1/'Status'!$E$5)))),"")</x:f>
      </x:c>
      <x:c r="I52" s="13" t="str">
        <x:f>IF(AND(COUNT(C52:E52)=3,COUNT('Status'!$E$5:$G$5)=3,'Status'!$E$5&gt;0,'Status'!$E$5&lt;'Status'!$F$5,'Status'!$F$5&lt;'Status'!$G$5),((1/'Status'!$F$5)*E52-(1/'Status'!$G$5)*D52)/((1/'Status'!$F$5)-(1/'Status'!$G$5)),"")</x:f>
      </x:c>
      <x:c r="J52" s="13" t="str">
        <x:f>IF(OR(COUNTA($A52)=0,NOT(ISNUMBER('Status'!$E$6))),"",IF(COUNTIFS('Estimates'!$A$5:$A$2004,$A52,'Estimates'!$B$5:$B$2004,"PPS",'Estimates'!$D$5:$D$2004,'Status'!$E$6,'Estimates'!$H$5:$H$2004,1,'Estimates'!$E$5:$E$2004,'Status'!$E$7)=0,"",IF(COUNTIFS('Estimates'!$A$5:$A$2004,$A52,'Estimates'!$B$5:$B$2004,"PPS",'Estimates'!$D$5:$D$2004,'Status'!$E$6,'Estimates'!$H$5:$H$2004,1,'Estimates'!$E$5:$E$2004,'Status'!$E$7)&gt;1,"DUP",IF(COUNTIFS('Estimates'!$A$5:$A$2004,$A52,'Estimates'!$B$5:$B$2004,"PPS",'Estimates'!$D$5:$D$2004,'Status'!$E$6,'Estimates'!$H$5:$H$2004,1,'Estimates'!$E$5:$E$2004,'Status'!$E$7,'Estimates'!$F$5:$F$2004,"&lt;&gt;")=0,"",SUMIFS('Estimates'!$F$5:$F$2004,'Estimates'!$A$5:$A$2004,$A52,'Estimates'!$B$5:$B$2004,"PPS",'Estimates'!$D$5:$D$2004,'Status'!$E$6,'Estimates'!$H$5:$H$2004,1,'Estimates'!$E$5:$E$2004,'Status'!$E$7)))))</x:f>
      </x:c>
      <x:c r="K52" s="13" t="str">
        <x:f>IF(OR(COUNTA($A52)=0,NOT(ISNUMBER('Status'!$F$6))),"",IF(COUNTIFS('Estimates'!$A$5:$A$2004,$A52,'Estimates'!$B$5:$B$2004,"PPS",'Estimates'!$D$5:$D$2004,'Status'!$F$6,'Estimates'!$H$5:$H$2004,1,'Estimates'!$E$5:$E$2004,'Status'!$E$7)=0,"",IF(COUNTIFS('Estimates'!$A$5:$A$2004,$A52,'Estimates'!$B$5:$B$2004,"PPS",'Estimates'!$D$5:$D$2004,'Status'!$F$6,'Estimates'!$H$5:$H$2004,1,'Estimates'!$E$5:$E$2004,'Status'!$E$7)&gt;1,"DUP",IF(COUNTIFS('Estimates'!$A$5:$A$2004,$A52,'Estimates'!$B$5:$B$2004,"PPS",'Estimates'!$D$5:$D$2004,'Status'!$F$6,'Estimates'!$H$5:$H$2004,1,'Estimates'!$E$5:$E$2004,'Status'!$E$7,'Estimates'!$F$5:$F$2004,"&lt;&gt;")=0,"",SUMIFS('Estimates'!$F$5:$F$2004,'Estimates'!$A$5:$A$2004,$A52,'Estimates'!$B$5:$B$2004,"PPS",'Estimates'!$D$5:$D$2004,'Status'!$F$6,'Estimates'!$H$5:$H$2004,1,'Estimates'!$E$5:$E$2004,'Status'!$E$7)))))</x:f>
      </x:c>
      <x:c r="L52" s="13" t="str">
        <x:f>IF(OR(COUNTA($A52)=0,NOT(ISNUMBER('Status'!$G$6))),"",IF(COUNTIFS('Estimates'!$A$5:$A$2004,$A52,'Estimates'!$B$5:$B$2004,"PPS",'Estimates'!$D$5:$D$2004,'Status'!$G$6,'Estimates'!$H$5:$H$2004,1,'Estimates'!$E$5:$E$2004,'Status'!$E$7)=0,"",IF(COUNTIFS('Estimates'!$A$5:$A$2004,$A52,'Estimates'!$B$5:$B$2004,"PPS",'Estimates'!$D$5:$D$2004,'Status'!$G$6,'Estimates'!$H$5:$H$2004,1,'Estimates'!$E$5:$E$2004,'Status'!$E$7)&gt;1,"DUP",IF(COUNTIFS('Estimates'!$A$5:$A$2004,$A52,'Estimates'!$B$5:$B$2004,"PPS",'Estimates'!$D$5:$D$2004,'Status'!$G$6,'Estimates'!$H$5:$H$2004,1,'Estimates'!$E$5:$E$2004,'Status'!$E$7,'Estimates'!$F$5:$F$2004,"&lt;&gt;")=0,"",SUMIFS('Estimates'!$F$5:$F$2004,'Estimates'!$A$5:$A$2004,$A52,'Estimates'!$B$5:$B$2004,"PPS",'Estimates'!$D$5:$D$2004,'Status'!$G$6,'Estimates'!$H$5:$H$2004,1,'Estimates'!$E$5:$E$2004,'Status'!$E$7)))))</x:f>
      </x:c>
      <x:c r="M52" s="13" t="str">
        <x:f>IF(AND(ISNUMBER(J52),ISNUMBER(K52)),K52-J52,"")</x:f>
      </x:c>
      <x:c r="N52" s="13" t="str">
        <x:f>IF(AND(ISNUMBER(K52),ISNUMBER(L52)),L52-K52,"")</x:f>
      </x:c>
      <x:c r="O52" s="13" t="str">
        <x:f>IF(AND(COUNT(J52:L52)=3,COUNT('Status'!$E$6:$G$6)=3,'Status'!$E$6&gt;'Status'!$F$6,'Status'!$F$6&gt;'Status'!$G$6,'Status'!$G$6&gt;0),ABS(L52-(K52+(K52-J52)*('Status'!$G$6-'Status'!$F$6)/('Status'!$F$6-'Status'!$E$6))),"")</x:f>
      </x:c>
      <x:c r="P52" s="13" t="str">
        <x:f>IF(AND(COUNT(J52:L52)=3,COUNT('Status'!$E$6:$G$6)=3,'Status'!$E$6&gt;'Status'!$F$6,'Status'!$F$6&gt;'Status'!$G$6,'Status'!$G$6&gt;0),('Status'!$F$6*L52-'Status'!$G$6*K52)/('Status'!$F$6-'Status'!$G$6),"")</x:f>
      </x:c>
      <x:c r="Q52" s="20"/>
      <x:c r="R52" s="13" t="str">
        <x:f>IF(COUNTA($A52)=0,"",IF('Status'!$B$6="MPS 1",IF(ISNUMBER(C52),C52,""),IF('Status'!$B$6="MPS 2",IF(ISNUMBER(D52),D52,""),IF('Status'!$B$6="MPS 3",IF(ISNUMBER(E52),E52,""),IF('Status'!$B$6="MPS extrap",IF(ISNUMBER(I52),I52,""),IF('Status'!$B$6="PPS 1",IF(ISNUMBER(J52),J52,""),IF('Status'!$B$6="PPS 2",IF(ISNUMBER(K52),K52,""),IF('Status'!$B$6="PPS 3",IF(ISNUMBER(L52),L52,""),IF('Status'!$B$6="PPS extrap",IF(ISNUMBER(P52),P52,""),IF('Status'!$B$6="Calibrated",IF(ISNUMBER(Q52),Q52,""),""))))))))))</x:f>
      </x:c>
      <x:c r="S52" s="2" t="str">
        <x:f>IF(COUNTA(A52)=0,"",IF(COUNTIFS('Estimates'!$A$5:$A$2004,A52,'Estimates'!$B$5:$B$2004,"MPS",'Estimates'!$H$5:$H$2004,1)+COUNTIFS('Estimates'!$A$5:$A$2004,A52,'Estimates'!$B$5:$B$2004,"PPS",'Estimates'!$H$5:$H$2004,1)&gt;0,1,0))</x:f>
      </x:c>
      <x:c r="T52" s="2" t="str">
        <x:f>IF(COUNTA(A52)=0,"",IF(COUNTIFS($A$6:$A$165,A52)&gt;1,"Duplicate target",IF(COUNTIFS(C52:E52,"DUP")+COUNTIFS(J52:L52,"DUP")&gt;0,"Duplicate accepted run",IF(COUNTIFS('Estimates'!$A$5:$A$2004,A52,'Estimates'!$H$5:$H$2004,1)-COUNTIFS('Estimates'!$A$5:$A$2004,A52,'Estimates'!$H$5:$H$2004,1,'Estimates'!$F$5:$F$2004,"&lt;&gt;")&gt;0,"Accepted value missing",""))))</x:f>
      </x:c>
    </x:row>
    <x:row r="53">
      <x:c r="A53" s="21"/>
      <x:c r="B53" s="19"/>
      <x:c r="C53" s="13" t="str">
        <x:f>IF(OR(COUNTA($A53)=0,NOT(ISNUMBER('Status'!$E$5))),"",IF(COUNTIFS('Estimates'!$A$5:$A$2004,$A53,'Estimates'!$B$5:$B$2004,"MPS",'Estimates'!$C$5:$C$2004,'Status'!$E$5,'Estimates'!$H$5:$H$2004,1)=0,"",IF(COUNTIFS('Estimates'!$A$5:$A$2004,$A53,'Estimates'!$B$5:$B$2004,"MPS",'Estimates'!$C$5:$C$2004,'Status'!$E$5,'Estimates'!$H$5:$H$2004,1)&gt;1,"DUP",IF(COUNTIFS('Estimates'!$A$5:$A$2004,$A53,'Estimates'!$B$5:$B$2004,"MPS",'Estimates'!$C$5:$C$2004,'Status'!$E$5,'Estimates'!$H$5:$H$2004,1,'Estimates'!$F$5:$F$2004,"&lt;&gt;")=0,"",SUMIFS('Estimates'!$F$5:$F$2004,'Estimates'!$A$5:$A$2004,$A53,'Estimates'!$B$5:$B$2004,"MPS",'Estimates'!$C$5:$C$2004,'Status'!$E$5,'Estimates'!$H$5:$H$2004,1)))))</x:f>
      </x:c>
      <x:c r="D53" s="13" t="str">
        <x:f>IF(OR(COUNTA($A53)=0,NOT(ISNUMBER('Status'!$F$5))),"",IF(COUNTIFS('Estimates'!$A$5:$A$2004,$A53,'Estimates'!$B$5:$B$2004,"MPS",'Estimates'!$C$5:$C$2004,'Status'!$F$5,'Estimates'!$H$5:$H$2004,1)=0,"",IF(COUNTIFS('Estimates'!$A$5:$A$2004,$A53,'Estimates'!$B$5:$B$2004,"MPS",'Estimates'!$C$5:$C$2004,'Status'!$F$5,'Estimates'!$H$5:$H$2004,1)&gt;1,"DUP",IF(COUNTIFS('Estimates'!$A$5:$A$2004,$A53,'Estimates'!$B$5:$B$2004,"MPS",'Estimates'!$C$5:$C$2004,'Status'!$F$5,'Estimates'!$H$5:$H$2004,1,'Estimates'!$F$5:$F$2004,"&lt;&gt;")=0,"",SUMIFS('Estimates'!$F$5:$F$2004,'Estimates'!$A$5:$A$2004,$A53,'Estimates'!$B$5:$B$2004,"MPS",'Estimates'!$C$5:$C$2004,'Status'!$F$5,'Estimates'!$H$5:$H$2004,1)))))</x:f>
      </x:c>
      <x:c r="E53" s="13" t="str">
        <x:f>IF(OR(COUNTA($A53)=0,NOT(ISNUMBER('Status'!$G$5))),"",IF(COUNTIFS('Estimates'!$A$5:$A$2004,$A53,'Estimates'!$B$5:$B$2004,"MPS",'Estimates'!$C$5:$C$2004,'Status'!$G$5,'Estimates'!$H$5:$H$2004,1)=0,"",IF(COUNTIFS('Estimates'!$A$5:$A$2004,$A53,'Estimates'!$B$5:$B$2004,"MPS",'Estimates'!$C$5:$C$2004,'Status'!$G$5,'Estimates'!$H$5:$H$2004,1)&gt;1,"DUP",IF(COUNTIFS('Estimates'!$A$5:$A$2004,$A53,'Estimates'!$B$5:$B$2004,"MPS",'Estimates'!$C$5:$C$2004,'Status'!$G$5,'Estimates'!$H$5:$H$2004,1,'Estimates'!$F$5:$F$2004,"&lt;&gt;")=0,"",SUMIFS('Estimates'!$F$5:$F$2004,'Estimates'!$A$5:$A$2004,$A53,'Estimates'!$B$5:$B$2004,"MPS",'Estimates'!$C$5:$C$2004,'Status'!$G$5,'Estimates'!$H$5:$H$2004,1)))))</x:f>
      </x:c>
      <x:c r="F53" s="13" t="str">
        <x:f>IF(AND(ISNUMBER(C53),ISNUMBER(D53)),D53-C53,"")</x:f>
      </x:c>
      <x:c r="G53" s="13" t="str">
        <x:f>IF(AND(ISNUMBER(D53),ISNUMBER(E53)),E53-D53,"")</x:f>
      </x:c>
      <x:c r="H53" s="13" t="str">
        <x:f>IF(AND(COUNT(C53:E53)=3,COUNT('Status'!$E$5:$G$5)=3,'Status'!$E$5&gt;0,'Status'!$E$5&lt;'Status'!$F$5,'Status'!$F$5&lt;'Status'!$G$5),ABS(E53-(D53+(D53-C53)*((1/'Status'!$G$5)-(1/'Status'!$F$5))/((1/'Status'!$F$5)-(1/'Status'!$E$5)))),"")</x:f>
      </x:c>
      <x:c r="I53" s="13" t="str">
        <x:f>IF(AND(COUNT(C53:E53)=3,COUNT('Status'!$E$5:$G$5)=3,'Status'!$E$5&gt;0,'Status'!$E$5&lt;'Status'!$F$5,'Status'!$F$5&lt;'Status'!$G$5),((1/'Status'!$F$5)*E53-(1/'Status'!$G$5)*D53)/((1/'Status'!$F$5)-(1/'Status'!$G$5)),"")</x:f>
      </x:c>
      <x:c r="J53" s="13" t="str">
        <x:f>IF(OR(COUNTA($A53)=0,NOT(ISNUMBER('Status'!$E$6))),"",IF(COUNTIFS('Estimates'!$A$5:$A$2004,$A53,'Estimates'!$B$5:$B$2004,"PPS",'Estimates'!$D$5:$D$2004,'Status'!$E$6,'Estimates'!$H$5:$H$2004,1,'Estimates'!$E$5:$E$2004,'Status'!$E$7)=0,"",IF(COUNTIFS('Estimates'!$A$5:$A$2004,$A53,'Estimates'!$B$5:$B$2004,"PPS",'Estimates'!$D$5:$D$2004,'Status'!$E$6,'Estimates'!$H$5:$H$2004,1,'Estimates'!$E$5:$E$2004,'Status'!$E$7)&gt;1,"DUP",IF(COUNTIFS('Estimates'!$A$5:$A$2004,$A53,'Estimates'!$B$5:$B$2004,"PPS",'Estimates'!$D$5:$D$2004,'Status'!$E$6,'Estimates'!$H$5:$H$2004,1,'Estimates'!$E$5:$E$2004,'Status'!$E$7,'Estimates'!$F$5:$F$2004,"&lt;&gt;")=0,"",SUMIFS('Estimates'!$F$5:$F$2004,'Estimates'!$A$5:$A$2004,$A53,'Estimates'!$B$5:$B$2004,"PPS",'Estimates'!$D$5:$D$2004,'Status'!$E$6,'Estimates'!$H$5:$H$2004,1,'Estimates'!$E$5:$E$2004,'Status'!$E$7)))))</x:f>
      </x:c>
      <x:c r="K53" s="13" t="str">
        <x:f>IF(OR(COUNTA($A53)=0,NOT(ISNUMBER('Status'!$F$6))),"",IF(COUNTIFS('Estimates'!$A$5:$A$2004,$A53,'Estimates'!$B$5:$B$2004,"PPS",'Estimates'!$D$5:$D$2004,'Status'!$F$6,'Estimates'!$H$5:$H$2004,1,'Estimates'!$E$5:$E$2004,'Status'!$E$7)=0,"",IF(COUNTIFS('Estimates'!$A$5:$A$2004,$A53,'Estimates'!$B$5:$B$2004,"PPS",'Estimates'!$D$5:$D$2004,'Status'!$F$6,'Estimates'!$H$5:$H$2004,1,'Estimates'!$E$5:$E$2004,'Status'!$E$7)&gt;1,"DUP",IF(COUNTIFS('Estimates'!$A$5:$A$2004,$A53,'Estimates'!$B$5:$B$2004,"PPS",'Estimates'!$D$5:$D$2004,'Status'!$F$6,'Estimates'!$H$5:$H$2004,1,'Estimates'!$E$5:$E$2004,'Status'!$E$7,'Estimates'!$F$5:$F$2004,"&lt;&gt;")=0,"",SUMIFS('Estimates'!$F$5:$F$2004,'Estimates'!$A$5:$A$2004,$A53,'Estimates'!$B$5:$B$2004,"PPS",'Estimates'!$D$5:$D$2004,'Status'!$F$6,'Estimates'!$H$5:$H$2004,1,'Estimates'!$E$5:$E$2004,'Status'!$E$7)))))</x:f>
      </x:c>
      <x:c r="L53" s="13" t="str">
        <x:f>IF(OR(COUNTA($A53)=0,NOT(ISNUMBER('Status'!$G$6))),"",IF(COUNTIFS('Estimates'!$A$5:$A$2004,$A53,'Estimates'!$B$5:$B$2004,"PPS",'Estimates'!$D$5:$D$2004,'Status'!$G$6,'Estimates'!$H$5:$H$2004,1,'Estimates'!$E$5:$E$2004,'Status'!$E$7)=0,"",IF(COUNTIFS('Estimates'!$A$5:$A$2004,$A53,'Estimates'!$B$5:$B$2004,"PPS",'Estimates'!$D$5:$D$2004,'Status'!$G$6,'Estimates'!$H$5:$H$2004,1,'Estimates'!$E$5:$E$2004,'Status'!$E$7)&gt;1,"DUP",IF(COUNTIFS('Estimates'!$A$5:$A$2004,$A53,'Estimates'!$B$5:$B$2004,"PPS",'Estimates'!$D$5:$D$2004,'Status'!$G$6,'Estimates'!$H$5:$H$2004,1,'Estimates'!$E$5:$E$2004,'Status'!$E$7,'Estimates'!$F$5:$F$2004,"&lt;&gt;")=0,"",SUMIFS('Estimates'!$F$5:$F$2004,'Estimates'!$A$5:$A$2004,$A53,'Estimates'!$B$5:$B$2004,"PPS",'Estimates'!$D$5:$D$2004,'Status'!$G$6,'Estimates'!$H$5:$H$2004,1,'Estimates'!$E$5:$E$2004,'Status'!$E$7)))))</x:f>
      </x:c>
      <x:c r="M53" s="13" t="str">
        <x:f>IF(AND(ISNUMBER(J53),ISNUMBER(K53)),K53-J53,"")</x:f>
      </x:c>
      <x:c r="N53" s="13" t="str">
        <x:f>IF(AND(ISNUMBER(K53),ISNUMBER(L53)),L53-K53,"")</x:f>
      </x:c>
      <x:c r="O53" s="13" t="str">
        <x:f>IF(AND(COUNT(J53:L53)=3,COUNT('Status'!$E$6:$G$6)=3,'Status'!$E$6&gt;'Status'!$F$6,'Status'!$F$6&gt;'Status'!$G$6,'Status'!$G$6&gt;0),ABS(L53-(K53+(K53-J53)*('Status'!$G$6-'Status'!$F$6)/('Status'!$F$6-'Status'!$E$6))),"")</x:f>
      </x:c>
      <x:c r="P53" s="13" t="str">
        <x:f>IF(AND(COUNT(J53:L53)=3,COUNT('Status'!$E$6:$G$6)=3,'Status'!$E$6&gt;'Status'!$F$6,'Status'!$F$6&gt;'Status'!$G$6,'Status'!$G$6&gt;0),('Status'!$F$6*L53-'Status'!$G$6*K53)/('Status'!$F$6-'Status'!$G$6),"")</x:f>
      </x:c>
      <x:c r="Q53" s="20"/>
      <x:c r="R53" s="13" t="str">
        <x:f>IF(COUNTA($A53)=0,"",IF('Status'!$B$6="MPS 1",IF(ISNUMBER(C53),C53,""),IF('Status'!$B$6="MPS 2",IF(ISNUMBER(D53),D53,""),IF('Status'!$B$6="MPS 3",IF(ISNUMBER(E53),E53,""),IF('Status'!$B$6="MPS extrap",IF(ISNUMBER(I53),I53,""),IF('Status'!$B$6="PPS 1",IF(ISNUMBER(J53),J53,""),IF('Status'!$B$6="PPS 2",IF(ISNUMBER(K53),K53,""),IF('Status'!$B$6="PPS 3",IF(ISNUMBER(L53),L53,""),IF('Status'!$B$6="PPS extrap",IF(ISNUMBER(P53),P53,""),IF('Status'!$B$6="Calibrated",IF(ISNUMBER(Q53),Q53,""),""))))))))))</x:f>
      </x:c>
      <x:c r="S53" s="2" t="str">
        <x:f>IF(COUNTA(A53)=0,"",IF(COUNTIFS('Estimates'!$A$5:$A$2004,A53,'Estimates'!$B$5:$B$2004,"MPS",'Estimates'!$H$5:$H$2004,1)+COUNTIFS('Estimates'!$A$5:$A$2004,A53,'Estimates'!$B$5:$B$2004,"PPS",'Estimates'!$H$5:$H$2004,1)&gt;0,1,0))</x:f>
      </x:c>
      <x:c r="T53" s="2" t="str">
        <x:f>IF(COUNTA(A53)=0,"",IF(COUNTIFS($A$6:$A$165,A53)&gt;1,"Duplicate target",IF(COUNTIFS(C53:E53,"DUP")+COUNTIFS(J53:L53,"DUP")&gt;0,"Duplicate accepted run",IF(COUNTIFS('Estimates'!$A$5:$A$2004,A53,'Estimates'!$H$5:$H$2004,1)-COUNTIFS('Estimates'!$A$5:$A$2004,A53,'Estimates'!$H$5:$H$2004,1,'Estimates'!$F$5:$F$2004,"&lt;&gt;")&gt;0,"Accepted value missing",""))))</x:f>
      </x:c>
    </x:row>
    <x:row r="54">
      <x:c r="A54" s="21"/>
      <x:c r="B54" s="19"/>
      <x:c r="C54" s="13" t="str">
        <x:f>IF(OR(COUNTA($A54)=0,NOT(ISNUMBER('Status'!$E$5))),"",IF(COUNTIFS('Estimates'!$A$5:$A$2004,$A54,'Estimates'!$B$5:$B$2004,"MPS",'Estimates'!$C$5:$C$2004,'Status'!$E$5,'Estimates'!$H$5:$H$2004,1)=0,"",IF(COUNTIFS('Estimates'!$A$5:$A$2004,$A54,'Estimates'!$B$5:$B$2004,"MPS",'Estimates'!$C$5:$C$2004,'Status'!$E$5,'Estimates'!$H$5:$H$2004,1)&gt;1,"DUP",IF(COUNTIFS('Estimates'!$A$5:$A$2004,$A54,'Estimates'!$B$5:$B$2004,"MPS",'Estimates'!$C$5:$C$2004,'Status'!$E$5,'Estimates'!$H$5:$H$2004,1,'Estimates'!$F$5:$F$2004,"&lt;&gt;")=0,"",SUMIFS('Estimates'!$F$5:$F$2004,'Estimates'!$A$5:$A$2004,$A54,'Estimates'!$B$5:$B$2004,"MPS",'Estimates'!$C$5:$C$2004,'Status'!$E$5,'Estimates'!$H$5:$H$2004,1)))))</x:f>
      </x:c>
      <x:c r="D54" s="13" t="str">
        <x:f>IF(OR(COUNTA($A54)=0,NOT(ISNUMBER('Status'!$F$5))),"",IF(COUNTIFS('Estimates'!$A$5:$A$2004,$A54,'Estimates'!$B$5:$B$2004,"MPS",'Estimates'!$C$5:$C$2004,'Status'!$F$5,'Estimates'!$H$5:$H$2004,1)=0,"",IF(COUNTIFS('Estimates'!$A$5:$A$2004,$A54,'Estimates'!$B$5:$B$2004,"MPS",'Estimates'!$C$5:$C$2004,'Status'!$F$5,'Estimates'!$H$5:$H$2004,1)&gt;1,"DUP",IF(COUNTIFS('Estimates'!$A$5:$A$2004,$A54,'Estimates'!$B$5:$B$2004,"MPS",'Estimates'!$C$5:$C$2004,'Status'!$F$5,'Estimates'!$H$5:$H$2004,1,'Estimates'!$F$5:$F$2004,"&lt;&gt;")=0,"",SUMIFS('Estimates'!$F$5:$F$2004,'Estimates'!$A$5:$A$2004,$A54,'Estimates'!$B$5:$B$2004,"MPS",'Estimates'!$C$5:$C$2004,'Status'!$F$5,'Estimates'!$H$5:$H$2004,1)))))</x:f>
      </x:c>
      <x:c r="E54" s="13" t="str">
        <x:f>IF(OR(COUNTA($A54)=0,NOT(ISNUMBER('Status'!$G$5))),"",IF(COUNTIFS('Estimates'!$A$5:$A$2004,$A54,'Estimates'!$B$5:$B$2004,"MPS",'Estimates'!$C$5:$C$2004,'Status'!$G$5,'Estimates'!$H$5:$H$2004,1)=0,"",IF(COUNTIFS('Estimates'!$A$5:$A$2004,$A54,'Estimates'!$B$5:$B$2004,"MPS",'Estimates'!$C$5:$C$2004,'Status'!$G$5,'Estimates'!$H$5:$H$2004,1)&gt;1,"DUP",IF(COUNTIFS('Estimates'!$A$5:$A$2004,$A54,'Estimates'!$B$5:$B$2004,"MPS",'Estimates'!$C$5:$C$2004,'Status'!$G$5,'Estimates'!$H$5:$H$2004,1,'Estimates'!$F$5:$F$2004,"&lt;&gt;")=0,"",SUMIFS('Estimates'!$F$5:$F$2004,'Estimates'!$A$5:$A$2004,$A54,'Estimates'!$B$5:$B$2004,"MPS",'Estimates'!$C$5:$C$2004,'Status'!$G$5,'Estimates'!$H$5:$H$2004,1)))))</x:f>
      </x:c>
      <x:c r="F54" s="13" t="str">
        <x:f>IF(AND(ISNUMBER(C54),ISNUMBER(D54)),D54-C54,"")</x:f>
      </x:c>
      <x:c r="G54" s="13" t="str">
        <x:f>IF(AND(ISNUMBER(D54),ISNUMBER(E54)),E54-D54,"")</x:f>
      </x:c>
      <x:c r="H54" s="13" t="str">
        <x:f>IF(AND(COUNT(C54:E54)=3,COUNT('Status'!$E$5:$G$5)=3,'Status'!$E$5&gt;0,'Status'!$E$5&lt;'Status'!$F$5,'Status'!$F$5&lt;'Status'!$G$5),ABS(E54-(D54+(D54-C54)*((1/'Status'!$G$5)-(1/'Status'!$F$5))/((1/'Status'!$F$5)-(1/'Status'!$E$5)))),"")</x:f>
      </x:c>
      <x:c r="I54" s="13" t="str">
        <x:f>IF(AND(COUNT(C54:E54)=3,COUNT('Status'!$E$5:$G$5)=3,'Status'!$E$5&gt;0,'Status'!$E$5&lt;'Status'!$F$5,'Status'!$F$5&lt;'Status'!$G$5),((1/'Status'!$F$5)*E54-(1/'Status'!$G$5)*D54)/((1/'Status'!$F$5)-(1/'Status'!$G$5)),"")</x:f>
      </x:c>
      <x:c r="J54" s="13" t="str">
        <x:f>IF(OR(COUNTA($A54)=0,NOT(ISNUMBER('Status'!$E$6))),"",IF(COUNTIFS('Estimates'!$A$5:$A$2004,$A54,'Estimates'!$B$5:$B$2004,"PPS",'Estimates'!$D$5:$D$2004,'Status'!$E$6,'Estimates'!$H$5:$H$2004,1,'Estimates'!$E$5:$E$2004,'Status'!$E$7)=0,"",IF(COUNTIFS('Estimates'!$A$5:$A$2004,$A54,'Estimates'!$B$5:$B$2004,"PPS",'Estimates'!$D$5:$D$2004,'Status'!$E$6,'Estimates'!$H$5:$H$2004,1,'Estimates'!$E$5:$E$2004,'Status'!$E$7)&gt;1,"DUP",IF(COUNTIFS('Estimates'!$A$5:$A$2004,$A54,'Estimates'!$B$5:$B$2004,"PPS",'Estimates'!$D$5:$D$2004,'Status'!$E$6,'Estimates'!$H$5:$H$2004,1,'Estimates'!$E$5:$E$2004,'Status'!$E$7,'Estimates'!$F$5:$F$2004,"&lt;&gt;")=0,"",SUMIFS('Estimates'!$F$5:$F$2004,'Estimates'!$A$5:$A$2004,$A54,'Estimates'!$B$5:$B$2004,"PPS",'Estimates'!$D$5:$D$2004,'Status'!$E$6,'Estimates'!$H$5:$H$2004,1,'Estimates'!$E$5:$E$2004,'Status'!$E$7)))))</x:f>
      </x:c>
      <x:c r="K54" s="13" t="str">
        <x:f>IF(OR(COUNTA($A54)=0,NOT(ISNUMBER('Status'!$F$6))),"",IF(COUNTIFS('Estimates'!$A$5:$A$2004,$A54,'Estimates'!$B$5:$B$2004,"PPS",'Estimates'!$D$5:$D$2004,'Status'!$F$6,'Estimates'!$H$5:$H$2004,1,'Estimates'!$E$5:$E$2004,'Status'!$E$7)=0,"",IF(COUNTIFS('Estimates'!$A$5:$A$2004,$A54,'Estimates'!$B$5:$B$2004,"PPS",'Estimates'!$D$5:$D$2004,'Status'!$F$6,'Estimates'!$H$5:$H$2004,1,'Estimates'!$E$5:$E$2004,'Status'!$E$7)&gt;1,"DUP",IF(COUNTIFS('Estimates'!$A$5:$A$2004,$A54,'Estimates'!$B$5:$B$2004,"PPS",'Estimates'!$D$5:$D$2004,'Status'!$F$6,'Estimates'!$H$5:$H$2004,1,'Estimates'!$E$5:$E$2004,'Status'!$E$7,'Estimates'!$F$5:$F$2004,"&lt;&gt;")=0,"",SUMIFS('Estimates'!$F$5:$F$2004,'Estimates'!$A$5:$A$2004,$A54,'Estimates'!$B$5:$B$2004,"PPS",'Estimates'!$D$5:$D$2004,'Status'!$F$6,'Estimates'!$H$5:$H$2004,1,'Estimates'!$E$5:$E$2004,'Status'!$E$7)))))</x:f>
      </x:c>
      <x:c r="L54" s="13" t="str">
        <x:f>IF(OR(COUNTA($A54)=0,NOT(ISNUMBER('Status'!$G$6))),"",IF(COUNTIFS('Estimates'!$A$5:$A$2004,$A54,'Estimates'!$B$5:$B$2004,"PPS",'Estimates'!$D$5:$D$2004,'Status'!$G$6,'Estimates'!$H$5:$H$2004,1,'Estimates'!$E$5:$E$2004,'Status'!$E$7)=0,"",IF(COUNTIFS('Estimates'!$A$5:$A$2004,$A54,'Estimates'!$B$5:$B$2004,"PPS",'Estimates'!$D$5:$D$2004,'Status'!$G$6,'Estimates'!$H$5:$H$2004,1,'Estimates'!$E$5:$E$2004,'Status'!$E$7)&gt;1,"DUP",IF(COUNTIFS('Estimates'!$A$5:$A$2004,$A54,'Estimates'!$B$5:$B$2004,"PPS",'Estimates'!$D$5:$D$2004,'Status'!$G$6,'Estimates'!$H$5:$H$2004,1,'Estimates'!$E$5:$E$2004,'Status'!$E$7,'Estimates'!$F$5:$F$2004,"&lt;&gt;")=0,"",SUMIFS('Estimates'!$F$5:$F$2004,'Estimates'!$A$5:$A$2004,$A54,'Estimates'!$B$5:$B$2004,"PPS",'Estimates'!$D$5:$D$2004,'Status'!$G$6,'Estimates'!$H$5:$H$2004,1,'Estimates'!$E$5:$E$2004,'Status'!$E$7)))))</x:f>
      </x:c>
      <x:c r="M54" s="13" t="str">
        <x:f>IF(AND(ISNUMBER(J54),ISNUMBER(K54)),K54-J54,"")</x:f>
      </x:c>
      <x:c r="N54" s="13" t="str">
        <x:f>IF(AND(ISNUMBER(K54),ISNUMBER(L54)),L54-K54,"")</x:f>
      </x:c>
      <x:c r="O54" s="13" t="str">
        <x:f>IF(AND(COUNT(J54:L54)=3,COUNT('Status'!$E$6:$G$6)=3,'Status'!$E$6&gt;'Status'!$F$6,'Status'!$F$6&gt;'Status'!$G$6,'Status'!$G$6&gt;0),ABS(L54-(K54+(K54-J54)*('Status'!$G$6-'Status'!$F$6)/('Status'!$F$6-'Status'!$E$6))),"")</x:f>
      </x:c>
      <x:c r="P54" s="13" t="str">
        <x:f>IF(AND(COUNT(J54:L54)=3,COUNT('Status'!$E$6:$G$6)=3,'Status'!$E$6&gt;'Status'!$F$6,'Status'!$F$6&gt;'Status'!$G$6,'Status'!$G$6&gt;0),('Status'!$F$6*L54-'Status'!$G$6*K54)/('Status'!$F$6-'Status'!$G$6),"")</x:f>
      </x:c>
      <x:c r="Q54" s="20"/>
      <x:c r="R54" s="13" t="str">
        <x:f>IF(COUNTA($A54)=0,"",IF('Status'!$B$6="MPS 1",IF(ISNUMBER(C54),C54,""),IF('Status'!$B$6="MPS 2",IF(ISNUMBER(D54),D54,""),IF('Status'!$B$6="MPS 3",IF(ISNUMBER(E54),E54,""),IF('Status'!$B$6="MPS extrap",IF(ISNUMBER(I54),I54,""),IF('Status'!$B$6="PPS 1",IF(ISNUMBER(J54),J54,""),IF('Status'!$B$6="PPS 2",IF(ISNUMBER(K54),K54,""),IF('Status'!$B$6="PPS 3",IF(ISNUMBER(L54),L54,""),IF('Status'!$B$6="PPS extrap",IF(ISNUMBER(P54),P54,""),IF('Status'!$B$6="Calibrated",IF(ISNUMBER(Q54),Q54,""),""))))))))))</x:f>
      </x:c>
      <x:c r="S54" s="2" t="str">
        <x:f>IF(COUNTA(A54)=0,"",IF(COUNTIFS('Estimates'!$A$5:$A$2004,A54,'Estimates'!$B$5:$B$2004,"MPS",'Estimates'!$H$5:$H$2004,1)+COUNTIFS('Estimates'!$A$5:$A$2004,A54,'Estimates'!$B$5:$B$2004,"PPS",'Estimates'!$H$5:$H$2004,1)&gt;0,1,0))</x:f>
      </x:c>
      <x:c r="T54" s="2" t="str">
        <x:f>IF(COUNTA(A54)=0,"",IF(COUNTIFS($A$6:$A$165,A54)&gt;1,"Duplicate target",IF(COUNTIFS(C54:E54,"DUP")+COUNTIFS(J54:L54,"DUP")&gt;0,"Duplicate accepted run",IF(COUNTIFS('Estimates'!$A$5:$A$2004,A54,'Estimates'!$H$5:$H$2004,1)-COUNTIFS('Estimates'!$A$5:$A$2004,A54,'Estimates'!$H$5:$H$2004,1,'Estimates'!$F$5:$F$2004,"&lt;&gt;")&gt;0,"Accepted value missing",""))))</x:f>
      </x:c>
    </x:row>
    <x:row r="55">
      <x:c r="A55" s="21"/>
      <x:c r="B55" s="19"/>
      <x:c r="C55" s="13" t="str">
        <x:f>IF(OR(COUNTA($A55)=0,NOT(ISNUMBER('Status'!$E$5))),"",IF(COUNTIFS('Estimates'!$A$5:$A$2004,$A55,'Estimates'!$B$5:$B$2004,"MPS",'Estimates'!$C$5:$C$2004,'Status'!$E$5,'Estimates'!$H$5:$H$2004,1)=0,"",IF(COUNTIFS('Estimates'!$A$5:$A$2004,$A55,'Estimates'!$B$5:$B$2004,"MPS",'Estimates'!$C$5:$C$2004,'Status'!$E$5,'Estimates'!$H$5:$H$2004,1)&gt;1,"DUP",IF(COUNTIFS('Estimates'!$A$5:$A$2004,$A55,'Estimates'!$B$5:$B$2004,"MPS",'Estimates'!$C$5:$C$2004,'Status'!$E$5,'Estimates'!$H$5:$H$2004,1,'Estimates'!$F$5:$F$2004,"&lt;&gt;")=0,"",SUMIFS('Estimates'!$F$5:$F$2004,'Estimates'!$A$5:$A$2004,$A55,'Estimates'!$B$5:$B$2004,"MPS",'Estimates'!$C$5:$C$2004,'Status'!$E$5,'Estimates'!$H$5:$H$2004,1)))))</x:f>
      </x:c>
      <x:c r="D55" s="13" t="str">
        <x:f>IF(OR(COUNTA($A55)=0,NOT(ISNUMBER('Status'!$F$5))),"",IF(COUNTIFS('Estimates'!$A$5:$A$2004,$A55,'Estimates'!$B$5:$B$2004,"MPS",'Estimates'!$C$5:$C$2004,'Status'!$F$5,'Estimates'!$H$5:$H$2004,1)=0,"",IF(COUNTIFS('Estimates'!$A$5:$A$2004,$A55,'Estimates'!$B$5:$B$2004,"MPS",'Estimates'!$C$5:$C$2004,'Status'!$F$5,'Estimates'!$H$5:$H$2004,1)&gt;1,"DUP",IF(COUNTIFS('Estimates'!$A$5:$A$2004,$A55,'Estimates'!$B$5:$B$2004,"MPS",'Estimates'!$C$5:$C$2004,'Status'!$F$5,'Estimates'!$H$5:$H$2004,1,'Estimates'!$F$5:$F$2004,"&lt;&gt;")=0,"",SUMIFS('Estimates'!$F$5:$F$2004,'Estimates'!$A$5:$A$2004,$A55,'Estimates'!$B$5:$B$2004,"MPS",'Estimates'!$C$5:$C$2004,'Status'!$F$5,'Estimates'!$H$5:$H$2004,1)))))</x:f>
      </x:c>
      <x:c r="E55" s="13" t="str">
        <x:f>IF(OR(COUNTA($A55)=0,NOT(ISNUMBER('Status'!$G$5))),"",IF(COUNTIFS('Estimates'!$A$5:$A$2004,$A55,'Estimates'!$B$5:$B$2004,"MPS",'Estimates'!$C$5:$C$2004,'Status'!$G$5,'Estimates'!$H$5:$H$2004,1)=0,"",IF(COUNTIFS('Estimates'!$A$5:$A$2004,$A55,'Estimates'!$B$5:$B$2004,"MPS",'Estimates'!$C$5:$C$2004,'Status'!$G$5,'Estimates'!$H$5:$H$2004,1)&gt;1,"DUP",IF(COUNTIFS('Estimates'!$A$5:$A$2004,$A55,'Estimates'!$B$5:$B$2004,"MPS",'Estimates'!$C$5:$C$2004,'Status'!$G$5,'Estimates'!$H$5:$H$2004,1,'Estimates'!$F$5:$F$2004,"&lt;&gt;")=0,"",SUMIFS('Estimates'!$F$5:$F$2004,'Estimates'!$A$5:$A$2004,$A55,'Estimates'!$B$5:$B$2004,"MPS",'Estimates'!$C$5:$C$2004,'Status'!$G$5,'Estimates'!$H$5:$H$2004,1)))))</x:f>
      </x:c>
      <x:c r="F55" s="13" t="str">
        <x:f>IF(AND(ISNUMBER(C55),ISNUMBER(D55)),D55-C55,"")</x:f>
      </x:c>
      <x:c r="G55" s="13" t="str">
        <x:f>IF(AND(ISNUMBER(D55),ISNUMBER(E55)),E55-D55,"")</x:f>
      </x:c>
      <x:c r="H55" s="13" t="str">
        <x:f>IF(AND(COUNT(C55:E55)=3,COUNT('Status'!$E$5:$G$5)=3,'Status'!$E$5&gt;0,'Status'!$E$5&lt;'Status'!$F$5,'Status'!$F$5&lt;'Status'!$G$5),ABS(E55-(D55+(D55-C55)*((1/'Status'!$G$5)-(1/'Status'!$F$5))/((1/'Status'!$F$5)-(1/'Status'!$E$5)))),"")</x:f>
      </x:c>
      <x:c r="I55" s="13" t="str">
        <x:f>IF(AND(COUNT(C55:E55)=3,COUNT('Status'!$E$5:$G$5)=3,'Status'!$E$5&gt;0,'Status'!$E$5&lt;'Status'!$F$5,'Status'!$F$5&lt;'Status'!$G$5),((1/'Status'!$F$5)*E55-(1/'Status'!$G$5)*D55)/((1/'Status'!$F$5)-(1/'Status'!$G$5)),"")</x:f>
      </x:c>
      <x:c r="J55" s="13" t="str">
        <x:f>IF(OR(COUNTA($A55)=0,NOT(ISNUMBER('Status'!$E$6))),"",IF(COUNTIFS('Estimates'!$A$5:$A$2004,$A55,'Estimates'!$B$5:$B$2004,"PPS",'Estimates'!$D$5:$D$2004,'Status'!$E$6,'Estimates'!$H$5:$H$2004,1,'Estimates'!$E$5:$E$2004,'Status'!$E$7)=0,"",IF(COUNTIFS('Estimates'!$A$5:$A$2004,$A55,'Estimates'!$B$5:$B$2004,"PPS",'Estimates'!$D$5:$D$2004,'Status'!$E$6,'Estimates'!$H$5:$H$2004,1,'Estimates'!$E$5:$E$2004,'Status'!$E$7)&gt;1,"DUP",IF(COUNTIFS('Estimates'!$A$5:$A$2004,$A55,'Estimates'!$B$5:$B$2004,"PPS",'Estimates'!$D$5:$D$2004,'Status'!$E$6,'Estimates'!$H$5:$H$2004,1,'Estimates'!$E$5:$E$2004,'Status'!$E$7,'Estimates'!$F$5:$F$2004,"&lt;&gt;")=0,"",SUMIFS('Estimates'!$F$5:$F$2004,'Estimates'!$A$5:$A$2004,$A55,'Estimates'!$B$5:$B$2004,"PPS",'Estimates'!$D$5:$D$2004,'Status'!$E$6,'Estimates'!$H$5:$H$2004,1,'Estimates'!$E$5:$E$2004,'Status'!$E$7)))))</x:f>
      </x:c>
      <x:c r="K55" s="13" t="str">
        <x:f>IF(OR(COUNTA($A55)=0,NOT(ISNUMBER('Status'!$F$6))),"",IF(COUNTIFS('Estimates'!$A$5:$A$2004,$A55,'Estimates'!$B$5:$B$2004,"PPS",'Estimates'!$D$5:$D$2004,'Status'!$F$6,'Estimates'!$H$5:$H$2004,1,'Estimates'!$E$5:$E$2004,'Status'!$E$7)=0,"",IF(COUNTIFS('Estimates'!$A$5:$A$2004,$A55,'Estimates'!$B$5:$B$2004,"PPS",'Estimates'!$D$5:$D$2004,'Status'!$F$6,'Estimates'!$H$5:$H$2004,1,'Estimates'!$E$5:$E$2004,'Status'!$E$7)&gt;1,"DUP",IF(COUNTIFS('Estimates'!$A$5:$A$2004,$A55,'Estimates'!$B$5:$B$2004,"PPS",'Estimates'!$D$5:$D$2004,'Status'!$F$6,'Estimates'!$H$5:$H$2004,1,'Estimates'!$E$5:$E$2004,'Status'!$E$7,'Estimates'!$F$5:$F$2004,"&lt;&gt;")=0,"",SUMIFS('Estimates'!$F$5:$F$2004,'Estimates'!$A$5:$A$2004,$A55,'Estimates'!$B$5:$B$2004,"PPS",'Estimates'!$D$5:$D$2004,'Status'!$F$6,'Estimates'!$H$5:$H$2004,1,'Estimates'!$E$5:$E$2004,'Status'!$E$7)))))</x:f>
      </x:c>
      <x:c r="L55" s="13" t="str">
        <x:f>IF(OR(COUNTA($A55)=0,NOT(ISNUMBER('Status'!$G$6))),"",IF(COUNTIFS('Estimates'!$A$5:$A$2004,$A55,'Estimates'!$B$5:$B$2004,"PPS",'Estimates'!$D$5:$D$2004,'Status'!$G$6,'Estimates'!$H$5:$H$2004,1,'Estimates'!$E$5:$E$2004,'Status'!$E$7)=0,"",IF(COUNTIFS('Estimates'!$A$5:$A$2004,$A55,'Estimates'!$B$5:$B$2004,"PPS",'Estimates'!$D$5:$D$2004,'Status'!$G$6,'Estimates'!$H$5:$H$2004,1,'Estimates'!$E$5:$E$2004,'Status'!$E$7)&gt;1,"DUP",IF(COUNTIFS('Estimates'!$A$5:$A$2004,$A55,'Estimates'!$B$5:$B$2004,"PPS",'Estimates'!$D$5:$D$2004,'Status'!$G$6,'Estimates'!$H$5:$H$2004,1,'Estimates'!$E$5:$E$2004,'Status'!$E$7,'Estimates'!$F$5:$F$2004,"&lt;&gt;")=0,"",SUMIFS('Estimates'!$F$5:$F$2004,'Estimates'!$A$5:$A$2004,$A55,'Estimates'!$B$5:$B$2004,"PPS",'Estimates'!$D$5:$D$2004,'Status'!$G$6,'Estimates'!$H$5:$H$2004,1,'Estimates'!$E$5:$E$2004,'Status'!$E$7)))))</x:f>
      </x:c>
      <x:c r="M55" s="13" t="str">
        <x:f>IF(AND(ISNUMBER(J55),ISNUMBER(K55)),K55-J55,"")</x:f>
      </x:c>
      <x:c r="N55" s="13" t="str">
        <x:f>IF(AND(ISNUMBER(K55),ISNUMBER(L55)),L55-K55,"")</x:f>
      </x:c>
      <x:c r="O55" s="13" t="str">
        <x:f>IF(AND(COUNT(J55:L55)=3,COUNT('Status'!$E$6:$G$6)=3,'Status'!$E$6&gt;'Status'!$F$6,'Status'!$F$6&gt;'Status'!$G$6,'Status'!$G$6&gt;0),ABS(L55-(K55+(K55-J55)*('Status'!$G$6-'Status'!$F$6)/('Status'!$F$6-'Status'!$E$6))),"")</x:f>
      </x:c>
      <x:c r="P55" s="13" t="str">
        <x:f>IF(AND(COUNT(J55:L55)=3,COUNT('Status'!$E$6:$G$6)=3,'Status'!$E$6&gt;'Status'!$F$6,'Status'!$F$6&gt;'Status'!$G$6,'Status'!$G$6&gt;0),('Status'!$F$6*L55-'Status'!$G$6*K55)/('Status'!$F$6-'Status'!$G$6),"")</x:f>
      </x:c>
      <x:c r="Q55" s="20"/>
      <x:c r="R55" s="13" t="str">
        <x:f>IF(COUNTA($A55)=0,"",IF('Status'!$B$6="MPS 1",IF(ISNUMBER(C55),C55,""),IF('Status'!$B$6="MPS 2",IF(ISNUMBER(D55),D55,""),IF('Status'!$B$6="MPS 3",IF(ISNUMBER(E55),E55,""),IF('Status'!$B$6="MPS extrap",IF(ISNUMBER(I55),I55,""),IF('Status'!$B$6="PPS 1",IF(ISNUMBER(J55),J55,""),IF('Status'!$B$6="PPS 2",IF(ISNUMBER(K55),K55,""),IF('Status'!$B$6="PPS 3",IF(ISNUMBER(L55),L55,""),IF('Status'!$B$6="PPS extrap",IF(ISNUMBER(P55),P55,""),IF('Status'!$B$6="Calibrated",IF(ISNUMBER(Q55),Q55,""),""))))))))))</x:f>
      </x:c>
      <x:c r="S55" s="2" t="str">
        <x:f>IF(COUNTA(A55)=0,"",IF(COUNTIFS('Estimates'!$A$5:$A$2004,A55,'Estimates'!$B$5:$B$2004,"MPS",'Estimates'!$H$5:$H$2004,1)+COUNTIFS('Estimates'!$A$5:$A$2004,A55,'Estimates'!$B$5:$B$2004,"PPS",'Estimates'!$H$5:$H$2004,1)&gt;0,1,0))</x:f>
      </x:c>
      <x:c r="T55" s="2" t="str">
        <x:f>IF(COUNTA(A55)=0,"",IF(COUNTIFS($A$6:$A$165,A55)&gt;1,"Duplicate target",IF(COUNTIFS(C55:E55,"DUP")+COUNTIFS(J55:L55,"DUP")&gt;0,"Duplicate accepted run",IF(COUNTIFS('Estimates'!$A$5:$A$2004,A55,'Estimates'!$H$5:$H$2004,1)-COUNTIFS('Estimates'!$A$5:$A$2004,A55,'Estimates'!$H$5:$H$2004,1,'Estimates'!$F$5:$F$2004,"&lt;&gt;")&gt;0,"Accepted value missing",""))))</x:f>
      </x:c>
    </x:row>
    <x:row r="56">
      <x:c r="A56" s="21"/>
      <x:c r="B56" s="19"/>
      <x:c r="C56" s="13" t="str">
        <x:f>IF(OR(COUNTA($A56)=0,NOT(ISNUMBER('Status'!$E$5))),"",IF(COUNTIFS('Estimates'!$A$5:$A$2004,$A56,'Estimates'!$B$5:$B$2004,"MPS",'Estimates'!$C$5:$C$2004,'Status'!$E$5,'Estimates'!$H$5:$H$2004,1)=0,"",IF(COUNTIFS('Estimates'!$A$5:$A$2004,$A56,'Estimates'!$B$5:$B$2004,"MPS",'Estimates'!$C$5:$C$2004,'Status'!$E$5,'Estimates'!$H$5:$H$2004,1)&gt;1,"DUP",IF(COUNTIFS('Estimates'!$A$5:$A$2004,$A56,'Estimates'!$B$5:$B$2004,"MPS",'Estimates'!$C$5:$C$2004,'Status'!$E$5,'Estimates'!$H$5:$H$2004,1,'Estimates'!$F$5:$F$2004,"&lt;&gt;")=0,"",SUMIFS('Estimates'!$F$5:$F$2004,'Estimates'!$A$5:$A$2004,$A56,'Estimates'!$B$5:$B$2004,"MPS",'Estimates'!$C$5:$C$2004,'Status'!$E$5,'Estimates'!$H$5:$H$2004,1)))))</x:f>
      </x:c>
      <x:c r="D56" s="13" t="str">
        <x:f>IF(OR(COUNTA($A56)=0,NOT(ISNUMBER('Status'!$F$5))),"",IF(COUNTIFS('Estimates'!$A$5:$A$2004,$A56,'Estimates'!$B$5:$B$2004,"MPS",'Estimates'!$C$5:$C$2004,'Status'!$F$5,'Estimates'!$H$5:$H$2004,1)=0,"",IF(COUNTIFS('Estimates'!$A$5:$A$2004,$A56,'Estimates'!$B$5:$B$2004,"MPS",'Estimates'!$C$5:$C$2004,'Status'!$F$5,'Estimates'!$H$5:$H$2004,1)&gt;1,"DUP",IF(COUNTIFS('Estimates'!$A$5:$A$2004,$A56,'Estimates'!$B$5:$B$2004,"MPS",'Estimates'!$C$5:$C$2004,'Status'!$F$5,'Estimates'!$H$5:$H$2004,1,'Estimates'!$F$5:$F$2004,"&lt;&gt;")=0,"",SUMIFS('Estimates'!$F$5:$F$2004,'Estimates'!$A$5:$A$2004,$A56,'Estimates'!$B$5:$B$2004,"MPS",'Estimates'!$C$5:$C$2004,'Status'!$F$5,'Estimates'!$H$5:$H$2004,1)))))</x:f>
      </x:c>
      <x:c r="E56" s="13" t="str">
        <x:f>IF(OR(COUNTA($A56)=0,NOT(ISNUMBER('Status'!$G$5))),"",IF(COUNTIFS('Estimates'!$A$5:$A$2004,$A56,'Estimates'!$B$5:$B$2004,"MPS",'Estimates'!$C$5:$C$2004,'Status'!$G$5,'Estimates'!$H$5:$H$2004,1)=0,"",IF(COUNTIFS('Estimates'!$A$5:$A$2004,$A56,'Estimates'!$B$5:$B$2004,"MPS",'Estimates'!$C$5:$C$2004,'Status'!$G$5,'Estimates'!$H$5:$H$2004,1)&gt;1,"DUP",IF(COUNTIFS('Estimates'!$A$5:$A$2004,$A56,'Estimates'!$B$5:$B$2004,"MPS",'Estimates'!$C$5:$C$2004,'Status'!$G$5,'Estimates'!$H$5:$H$2004,1,'Estimates'!$F$5:$F$2004,"&lt;&gt;")=0,"",SUMIFS('Estimates'!$F$5:$F$2004,'Estimates'!$A$5:$A$2004,$A56,'Estimates'!$B$5:$B$2004,"MPS",'Estimates'!$C$5:$C$2004,'Status'!$G$5,'Estimates'!$H$5:$H$2004,1)))))</x:f>
      </x:c>
      <x:c r="F56" s="13" t="str">
        <x:f>IF(AND(ISNUMBER(C56),ISNUMBER(D56)),D56-C56,"")</x:f>
      </x:c>
      <x:c r="G56" s="13" t="str">
        <x:f>IF(AND(ISNUMBER(D56),ISNUMBER(E56)),E56-D56,"")</x:f>
      </x:c>
      <x:c r="H56" s="13" t="str">
        <x:f>IF(AND(COUNT(C56:E56)=3,COUNT('Status'!$E$5:$G$5)=3,'Status'!$E$5&gt;0,'Status'!$E$5&lt;'Status'!$F$5,'Status'!$F$5&lt;'Status'!$G$5),ABS(E56-(D56+(D56-C56)*((1/'Status'!$G$5)-(1/'Status'!$F$5))/((1/'Status'!$F$5)-(1/'Status'!$E$5)))),"")</x:f>
      </x:c>
      <x:c r="I56" s="13" t="str">
        <x:f>IF(AND(COUNT(C56:E56)=3,COUNT('Status'!$E$5:$G$5)=3,'Status'!$E$5&gt;0,'Status'!$E$5&lt;'Status'!$F$5,'Status'!$F$5&lt;'Status'!$G$5),((1/'Status'!$F$5)*E56-(1/'Status'!$G$5)*D56)/((1/'Status'!$F$5)-(1/'Status'!$G$5)),"")</x:f>
      </x:c>
      <x:c r="J56" s="13" t="str">
        <x:f>IF(OR(COUNTA($A56)=0,NOT(ISNUMBER('Status'!$E$6))),"",IF(COUNTIFS('Estimates'!$A$5:$A$2004,$A56,'Estimates'!$B$5:$B$2004,"PPS",'Estimates'!$D$5:$D$2004,'Status'!$E$6,'Estimates'!$H$5:$H$2004,1,'Estimates'!$E$5:$E$2004,'Status'!$E$7)=0,"",IF(COUNTIFS('Estimates'!$A$5:$A$2004,$A56,'Estimates'!$B$5:$B$2004,"PPS",'Estimates'!$D$5:$D$2004,'Status'!$E$6,'Estimates'!$H$5:$H$2004,1,'Estimates'!$E$5:$E$2004,'Status'!$E$7)&gt;1,"DUP",IF(COUNTIFS('Estimates'!$A$5:$A$2004,$A56,'Estimates'!$B$5:$B$2004,"PPS",'Estimates'!$D$5:$D$2004,'Status'!$E$6,'Estimates'!$H$5:$H$2004,1,'Estimates'!$E$5:$E$2004,'Status'!$E$7,'Estimates'!$F$5:$F$2004,"&lt;&gt;")=0,"",SUMIFS('Estimates'!$F$5:$F$2004,'Estimates'!$A$5:$A$2004,$A56,'Estimates'!$B$5:$B$2004,"PPS",'Estimates'!$D$5:$D$2004,'Status'!$E$6,'Estimates'!$H$5:$H$2004,1,'Estimates'!$E$5:$E$2004,'Status'!$E$7)))))</x:f>
      </x:c>
      <x:c r="K56" s="13" t="str">
        <x:f>IF(OR(COUNTA($A56)=0,NOT(ISNUMBER('Status'!$F$6))),"",IF(COUNTIFS('Estimates'!$A$5:$A$2004,$A56,'Estimates'!$B$5:$B$2004,"PPS",'Estimates'!$D$5:$D$2004,'Status'!$F$6,'Estimates'!$H$5:$H$2004,1,'Estimates'!$E$5:$E$2004,'Status'!$E$7)=0,"",IF(COUNTIFS('Estimates'!$A$5:$A$2004,$A56,'Estimates'!$B$5:$B$2004,"PPS",'Estimates'!$D$5:$D$2004,'Status'!$F$6,'Estimates'!$H$5:$H$2004,1,'Estimates'!$E$5:$E$2004,'Status'!$E$7)&gt;1,"DUP",IF(COUNTIFS('Estimates'!$A$5:$A$2004,$A56,'Estimates'!$B$5:$B$2004,"PPS",'Estimates'!$D$5:$D$2004,'Status'!$F$6,'Estimates'!$H$5:$H$2004,1,'Estimates'!$E$5:$E$2004,'Status'!$E$7,'Estimates'!$F$5:$F$2004,"&lt;&gt;")=0,"",SUMIFS('Estimates'!$F$5:$F$2004,'Estimates'!$A$5:$A$2004,$A56,'Estimates'!$B$5:$B$2004,"PPS",'Estimates'!$D$5:$D$2004,'Status'!$F$6,'Estimates'!$H$5:$H$2004,1,'Estimates'!$E$5:$E$2004,'Status'!$E$7)))))</x:f>
      </x:c>
      <x:c r="L56" s="13" t="str">
        <x:f>IF(OR(COUNTA($A56)=0,NOT(ISNUMBER('Status'!$G$6))),"",IF(COUNTIFS('Estimates'!$A$5:$A$2004,$A56,'Estimates'!$B$5:$B$2004,"PPS",'Estimates'!$D$5:$D$2004,'Status'!$G$6,'Estimates'!$H$5:$H$2004,1,'Estimates'!$E$5:$E$2004,'Status'!$E$7)=0,"",IF(COUNTIFS('Estimates'!$A$5:$A$2004,$A56,'Estimates'!$B$5:$B$2004,"PPS",'Estimates'!$D$5:$D$2004,'Status'!$G$6,'Estimates'!$H$5:$H$2004,1,'Estimates'!$E$5:$E$2004,'Status'!$E$7)&gt;1,"DUP",IF(COUNTIFS('Estimates'!$A$5:$A$2004,$A56,'Estimates'!$B$5:$B$2004,"PPS",'Estimates'!$D$5:$D$2004,'Status'!$G$6,'Estimates'!$H$5:$H$2004,1,'Estimates'!$E$5:$E$2004,'Status'!$E$7,'Estimates'!$F$5:$F$2004,"&lt;&gt;")=0,"",SUMIFS('Estimates'!$F$5:$F$2004,'Estimates'!$A$5:$A$2004,$A56,'Estimates'!$B$5:$B$2004,"PPS",'Estimates'!$D$5:$D$2004,'Status'!$G$6,'Estimates'!$H$5:$H$2004,1,'Estimates'!$E$5:$E$2004,'Status'!$E$7)))))</x:f>
      </x:c>
      <x:c r="M56" s="13" t="str">
        <x:f>IF(AND(ISNUMBER(J56),ISNUMBER(K56)),K56-J56,"")</x:f>
      </x:c>
      <x:c r="N56" s="13" t="str">
        <x:f>IF(AND(ISNUMBER(K56),ISNUMBER(L56)),L56-K56,"")</x:f>
      </x:c>
      <x:c r="O56" s="13" t="str">
        <x:f>IF(AND(COUNT(J56:L56)=3,COUNT('Status'!$E$6:$G$6)=3,'Status'!$E$6&gt;'Status'!$F$6,'Status'!$F$6&gt;'Status'!$G$6,'Status'!$G$6&gt;0),ABS(L56-(K56+(K56-J56)*('Status'!$G$6-'Status'!$F$6)/('Status'!$F$6-'Status'!$E$6))),"")</x:f>
      </x:c>
      <x:c r="P56" s="13" t="str">
        <x:f>IF(AND(COUNT(J56:L56)=3,COUNT('Status'!$E$6:$G$6)=3,'Status'!$E$6&gt;'Status'!$F$6,'Status'!$F$6&gt;'Status'!$G$6,'Status'!$G$6&gt;0),('Status'!$F$6*L56-'Status'!$G$6*K56)/('Status'!$F$6-'Status'!$G$6),"")</x:f>
      </x:c>
      <x:c r="Q56" s="20"/>
      <x:c r="R56" s="13" t="str">
        <x:f>IF(COUNTA($A56)=0,"",IF('Status'!$B$6="MPS 1",IF(ISNUMBER(C56),C56,""),IF('Status'!$B$6="MPS 2",IF(ISNUMBER(D56),D56,""),IF('Status'!$B$6="MPS 3",IF(ISNUMBER(E56),E56,""),IF('Status'!$B$6="MPS extrap",IF(ISNUMBER(I56),I56,""),IF('Status'!$B$6="PPS 1",IF(ISNUMBER(J56),J56,""),IF('Status'!$B$6="PPS 2",IF(ISNUMBER(K56),K56,""),IF('Status'!$B$6="PPS 3",IF(ISNUMBER(L56),L56,""),IF('Status'!$B$6="PPS extrap",IF(ISNUMBER(P56),P56,""),IF('Status'!$B$6="Calibrated",IF(ISNUMBER(Q56),Q56,""),""))))))))))</x:f>
      </x:c>
      <x:c r="S56" s="2" t="str">
        <x:f>IF(COUNTA(A56)=0,"",IF(COUNTIFS('Estimates'!$A$5:$A$2004,A56,'Estimates'!$B$5:$B$2004,"MPS",'Estimates'!$H$5:$H$2004,1)+COUNTIFS('Estimates'!$A$5:$A$2004,A56,'Estimates'!$B$5:$B$2004,"PPS",'Estimates'!$H$5:$H$2004,1)&gt;0,1,0))</x:f>
      </x:c>
      <x:c r="T56" s="2" t="str">
        <x:f>IF(COUNTA(A56)=0,"",IF(COUNTIFS($A$6:$A$165,A56)&gt;1,"Duplicate target",IF(COUNTIFS(C56:E56,"DUP")+COUNTIFS(J56:L56,"DUP")&gt;0,"Duplicate accepted run",IF(COUNTIFS('Estimates'!$A$5:$A$2004,A56,'Estimates'!$H$5:$H$2004,1)-COUNTIFS('Estimates'!$A$5:$A$2004,A56,'Estimates'!$H$5:$H$2004,1,'Estimates'!$F$5:$F$2004,"&lt;&gt;")&gt;0,"Accepted value missing",""))))</x:f>
      </x:c>
    </x:row>
    <x:row r="57">
      <x:c r="A57" s="21"/>
      <x:c r="B57" s="19"/>
      <x:c r="C57" s="13" t="str">
        <x:f>IF(OR(COUNTA($A57)=0,NOT(ISNUMBER('Status'!$E$5))),"",IF(COUNTIFS('Estimates'!$A$5:$A$2004,$A57,'Estimates'!$B$5:$B$2004,"MPS",'Estimates'!$C$5:$C$2004,'Status'!$E$5,'Estimates'!$H$5:$H$2004,1)=0,"",IF(COUNTIFS('Estimates'!$A$5:$A$2004,$A57,'Estimates'!$B$5:$B$2004,"MPS",'Estimates'!$C$5:$C$2004,'Status'!$E$5,'Estimates'!$H$5:$H$2004,1)&gt;1,"DUP",IF(COUNTIFS('Estimates'!$A$5:$A$2004,$A57,'Estimates'!$B$5:$B$2004,"MPS",'Estimates'!$C$5:$C$2004,'Status'!$E$5,'Estimates'!$H$5:$H$2004,1,'Estimates'!$F$5:$F$2004,"&lt;&gt;")=0,"",SUMIFS('Estimates'!$F$5:$F$2004,'Estimates'!$A$5:$A$2004,$A57,'Estimates'!$B$5:$B$2004,"MPS",'Estimates'!$C$5:$C$2004,'Status'!$E$5,'Estimates'!$H$5:$H$2004,1)))))</x:f>
      </x:c>
      <x:c r="D57" s="13" t="str">
        <x:f>IF(OR(COUNTA($A57)=0,NOT(ISNUMBER('Status'!$F$5))),"",IF(COUNTIFS('Estimates'!$A$5:$A$2004,$A57,'Estimates'!$B$5:$B$2004,"MPS",'Estimates'!$C$5:$C$2004,'Status'!$F$5,'Estimates'!$H$5:$H$2004,1)=0,"",IF(COUNTIFS('Estimates'!$A$5:$A$2004,$A57,'Estimates'!$B$5:$B$2004,"MPS",'Estimates'!$C$5:$C$2004,'Status'!$F$5,'Estimates'!$H$5:$H$2004,1)&gt;1,"DUP",IF(COUNTIFS('Estimates'!$A$5:$A$2004,$A57,'Estimates'!$B$5:$B$2004,"MPS",'Estimates'!$C$5:$C$2004,'Status'!$F$5,'Estimates'!$H$5:$H$2004,1,'Estimates'!$F$5:$F$2004,"&lt;&gt;")=0,"",SUMIFS('Estimates'!$F$5:$F$2004,'Estimates'!$A$5:$A$2004,$A57,'Estimates'!$B$5:$B$2004,"MPS",'Estimates'!$C$5:$C$2004,'Status'!$F$5,'Estimates'!$H$5:$H$2004,1)))))</x:f>
      </x:c>
      <x:c r="E57" s="13" t="str">
        <x:f>IF(OR(COUNTA($A57)=0,NOT(ISNUMBER('Status'!$G$5))),"",IF(COUNTIFS('Estimates'!$A$5:$A$2004,$A57,'Estimates'!$B$5:$B$2004,"MPS",'Estimates'!$C$5:$C$2004,'Status'!$G$5,'Estimates'!$H$5:$H$2004,1)=0,"",IF(COUNTIFS('Estimates'!$A$5:$A$2004,$A57,'Estimates'!$B$5:$B$2004,"MPS",'Estimates'!$C$5:$C$2004,'Status'!$G$5,'Estimates'!$H$5:$H$2004,1)&gt;1,"DUP",IF(COUNTIFS('Estimates'!$A$5:$A$2004,$A57,'Estimates'!$B$5:$B$2004,"MPS",'Estimates'!$C$5:$C$2004,'Status'!$G$5,'Estimates'!$H$5:$H$2004,1,'Estimates'!$F$5:$F$2004,"&lt;&gt;")=0,"",SUMIFS('Estimates'!$F$5:$F$2004,'Estimates'!$A$5:$A$2004,$A57,'Estimates'!$B$5:$B$2004,"MPS",'Estimates'!$C$5:$C$2004,'Status'!$G$5,'Estimates'!$H$5:$H$2004,1)))))</x:f>
      </x:c>
      <x:c r="F57" s="13" t="str">
        <x:f>IF(AND(ISNUMBER(C57),ISNUMBER(D57)),D57-C57,"")</x:f>
      </x:c>
      <x:c r="G57" s="13" t="str">
        <x:f>IF(AND(ISNUMBER(D57),ISNUMBER(E57)),E57-D57,"")</x:f>
      </x:c>
      <x:c r="H57" s="13" t="str">
        <x:f>IF(AND(COUNT(C57:E57)=3,COUNT('Status'!$E$5:$G$5)=3,'Status'!$E$5&gt;0,'Status'!$E$5&lt;'Status'!$F$5,'Status'!$F$5&lt;'Status'!$G$5),ABS(E57-(D57+(D57-C57)*((1/'Status'!$G$5)-(1/'Status'!$F$5))/((1/'Status'!$F$5)-(1/'Status'!$E$5)))),"")</x:f>
      </x:c>
      <x:c r="I57" s="13" t="str">
        <x:f>IF(AND(COUNT(C57:E57)=3,COUNT('Status'!$E$5:$G$5)=3,'Status'!$E$5&gt;0,'Status'!$E$5&lt;'Status'!$F$5,'Status'!$F$5&lt;'Status'!$G$5),((1/'Status'!$F$5)*E57-(1/'Status'!$G$5)*D57)/((1/'Status'!$F$5)-(1/'Status'!$G$5)),"")</x:f>
      </x:c>
      <x:c r="J57" s="13" t="str">
        <x:f>IF(OR(COUNTA($A57)=0,NOT(ISNUMBER('Status'!$E$6))),"",IF(COUNTIFS('Estimates'!$A$5:$A$2004,$A57,'Estimates'!$B$5:$B$2004,"PPS",'Estimates'!$D$5:$D$2004,'Status'!$E$6,'Estimates'!$H$5:$H$2004,1,'Estimates'!$E$5:$E$2004,'Status'!$E$7)=0,"",IF(COUNTIFS('Estimates'!$A$5:$A$2004,$A57,'Estimates'!$B$5:$B$2004,"PPS",'Estimates'!$D$5:$D$2004,'Status'!$E$6,'Estimates'!$H$5:$H$2004,1,'Estimates'!$E$5:$E$2004,'Status'!$E$7)&gt;1,"DUP",IF(COUNTIFS('Estimates'!$A$5:$A$2004,$A57,'Estimates'!$B$5:$B$2004,"PPS",'Estimates'!$D$5:$D$2004,'Status'!$E$6,'Estimates'!$H$5:$H$2004,1,'Estimates'!$E$5:$E$2004,'Status'!$E$7,'Estimates'!$F$5:$F$2004,"&lt;&gt;")=0,"",SUMIFS('Estimates'!$F$5:$F$2004,'Estimates'!$A$5:$A$2004,$A57,'Estimates'!$B$5:$B$2004,"PPS",'Estimates'!$D$5:$D$2004,'Status'!$E$6,'Estimates'!$H$5:$H$2004,1,'Estimates'!$E$5:$E$2004,'Status'!$E$7)))))</x:f>
      </x:c>
      <x:c r="K57" s="13" t="str">
        <x:f>IF(OR(COUNTA($A57)=0,NOT(ISNUMBER('Status'!$F$6))),"",IF(COUNTIFS('Estimates'!$A$5:$A$2004,$A57,'Estimates'!$B$5:$B$2004,"PPS",'Estimates'!$D$5:$D$2004,'Status'!$F$6,'Estimates'!$H$5:$H$2004,1,'Estimates'!$E$5:$E$2004,'Status'!$E$7)=0,"",IF(COUNTIFS('Estimates'!$A$5:$A$2004,$A57,'Estimates'!$B$5:$B$2004,"PPS",'Estimates'!$D$5:$D$2004,'Status'!$F$6,'Estimates'!$H$5:$H$2004,1,'Estimates'!$E$5:$E$2004,'Status'!$E$7)&gt;1,"DUP",IF(COUNTIFS('Estimates'!$A$5:$A$2004,$A57,'Estimates'!$B$5:$B$2004,"PPS",'Estimates'!$D$5:$D$2004,'Status'!$F$6,'Estimates'!$H$5:$H$2004,1,'Estimates'!$E$5:$E$2004,'Status'!$E$7,'Estimates'!$F$5:$F$2004,"&lt;&gt;")=0,"",SUMIFS('Estimates'!$F$5:$F$2004,'Estimates'!$A$5:$A$2004,$A57,'Estimates'!$B$5:$B$2004,"PPS",'Estimates'!$D$5:$D$2004,'Status'!$F$6,'Estimates'!$H$5:$H$2004,1,'Estimates'!$E$5:$E$2004,'Status'!$E$7)))))</x:f>
      </x:c>
      <x:c r="L57" s="13" t="str">
        <x:f>IF(OR(COUNTA($A57)=0,NOT(ISNUMBER('Status'!$G$6))),"",IF(COUNTIFS('Estimates'!$A$5:$A$2004,$A57,'Estimates'!$B$5:$B$2004,"PPS",'Estimates'!$D$5:$D$2004,'Status'!$G$6,'Estimates'!$H$5:$H$2004,1,'Estimates'!$E$5:$E$2004,'Status'!$E$7)=0,"",IF(COUNTIFS('Estimates'!$A$5:$A$2004,$A57,'Estimates'!$B$5:$B$2004,"PPS",'Estimates'!$D$5:$D$2004,'Status'!$G$6,'Estimates'!$H$5:$H$2004,1,'Estimates'!$E$5:$E$2004,'Status'!$E$7)&gt;1,"DUP",IF(COUNTIFS('Estimates'!$A$5:$A$2004,$A57,'Estimates'!$B$5:$B$2004,"PPS",'Estimates'!$D$5:$D$2004,'Status'!$G$6,'Estimates'!$H$5:$H$2004,1,'Estimates'!$E$5:$E$2004,'Status'!$E$7,'Estimates'!$F$5:$F$2004,"&lt;&gt;")=0,"",SUMIFS('Estimates'!$F$5:$F$2004,'Estimates'!$A$5:$A$2004,$A57,'Estimates'!$B$5:$B$2004,"PPS",'Estimates'!$D$5:$D$2004,'Status'!$G$6,'Estimates'!$H$5:$H$2004,1,'Estimates'!$E$5:$E$2004,'Status'!$E$7)))))</x:f>
      </x:c>
      <x:c r="M57" s="13" t="str">
        <x:f>IF(AND(ISNUMBER(J57),ISNUMBER(K57)),K57-J57,"")</x:f>
      </x:c>
      <x:c r="N57" s="13" t="str">
        <x:f>IF(AND(ISNUMBER(K57),ISNUMBER(L57)),L57-K57,"")</x:f>
      </x:c>
      <x:c r="O57" s="13" t="str">
        <x:f>IF(AND(COUNT(J57:L57)=3,COUNT('Status'!$E$6:$G$6)=3,'Status'!$E$6&gt;'Status'!$F$6,'Status'!$F$6&gt;'Status'!$G$6,'Status'!$G$6&gt;0),ABS(L57-(K57+(K57-J57)*('Status'!$G$6-'Status'!$F$6)/('Status'!$F$6-'Status'!$E$6))),"")</x:f>
      </x:c>
      <x:c r="P57" s="13" t="str">
        <x:f>IF(AND(COUNT(J57:L57)=3,COUNT('Status'!$E$6:$G$6)=3,'Status'!$E$6&gt;'Status'!$F$6,'Status'!$F$6&gt;'Status'!$G$6,'Status'!$G$6&gt;0),('Status'!$F$6*L57-'Status'!$G$6*K57)/('Status'!$F$6-'Status'!$G$6),"")</x:f>
      </x:c>
      <x:c r="Q57" s="20"/>
      <x:c r="R57" s="13" t="str">
        <x:f>IF(COUNTA($A57)=0,"",IF('Status'!$B$6="MPS 1",IF(ISNUMBER(C57),C57,""),IF('Status'!$B$6="MPS 2",IF(ISNUMBER(D57),D57,""),IF('Status'!$B$6="MPS 3",IF(ISNUMBER(E57),E57,""),IF('Status'!$B$6="MPS extrap",IF(ISNUMBER(I57),I57,""),IF('Status'!$B$6="PPS 1",IF(ISNUMBER(J57),J57,""),IF('Status'!$B$6="PPS 2",IF(ISNUMBER(K57),K57,""),IF('Status'!$B$6="PPS 3",IF(ISNUMBER(L57),L57,""),IF('Status'!$B$6="PPS extrap",IF(ISNUMBER(P57),P57,""),IF('Status'!$B$6="Calibrated",IF(ISNUMBER(Q57),Q57,""),""))))))))))</x:f>
      </x:c>
      <x:c r="S57" s="2" t="str">
        <x:f>IF(COUNTA(A57)=0,"",IF(COUNTIFS('Estimates'!$A$5:$A$2004,A57,'Estimates'!$B$5:$B$2004,"MPS",'Estimates'!$H$5:$H$2004,1)+COUNTIFS('Estimates'!$A$5:$A$2004,A57,'Estimates'!$B$5:$B$2004,"PPS",'Estimates'!$H$5:$H$2004,1)&gt;0,1,0))</x:f>
      </x:c>
      <x:c r="T57" s="2" t="str">
        <x:f>IF(COUNTA(A57)=0,"",IF(COUNTIFS($A$6:$A$165,A57)&gt;1,"Duplicate target",IF(COUNTIFS(C57:E57,"DUP")+COUNTIFS(J57:L57,"DUP")&gt;0,"Duplicate accepted run",IF(COUNTIFS('Estimates'!$A$5:$A$2004,A57,'Estimates'!$H$5:$H$2004,1)-COUNTIFS('Estimates'!$A$5:$A$2004,A57,'Estimates'!$H$5:$H$2004,1,'Estimates'!$F$5:$F$2004,"&lt;&gt;")&gt;0,"Accepted value missing",""))))</x:f>
      </x:c>
    </x:row>
    <x:row r="58">
      <x:c r="A58" s="21"/>
      <x:c r="B58" s="19"/>
      <x:c r="C58" s="13" t="str">
        <x:f>IF(OR(COUNTA($A58)=0,NOT(ISNUMBER('Status'!$E$5))),"",IF(COUNTIFS('Estimates'!$A$5:$A$2004,$A58,'Estimates'!$B$5:$B$2004,"MPS",'Estimates'!$C$5:$C$2004,'Status'!$E$5,'Estimates'!$H$5:$H$2004,1)=0,"",IF(COUNTIFS('Estimates'!$A$5:$A$2004,$A58,'Estimates'!$B$5:$B$2004,"MPS",'Estimates'!$C$5:$C$2004,'Status'!$E$5,'Estimates'!$H$5:$H$2004,1)&gt;1,"DUP",IF(COUNTIFS('Estimates'!$A$5:$A$2004,$A58,'Estimates'!$B$5:$B$2004,"MPS",'Estimates'!$C$5:$C$2004,'Status'!$E$5,'Estimates'!$H$5:$H$2004,1,'Estimates'!$F$5:$F$2004,"&lt;&gt;")=0,"",SUMIFS('Estimates'!$F$5:$F$2004,'Estimates'!$A$5:$A$2004,$A58,'Estimates'!$B$5:$B$2004,"MPS",'Estimates'!$C$5:$C$2004,'Status'!$E$5,'Estimates'!$H$5:$H$2004,1)))))</x:f>
      </x:c>
      <x:c r="D58" s="13" t="str">
        <x:f>IF(OR(COUNTA($A58)=0,NOT(ISNUMBER('Status'!$F$5))),"",IF(COUNTIFS('Estimates'!$A$5:$A$2004,$A58,'Estimates'!$B$5:$B$2004,"MPS",'Estimates'!$C$5:$C$2004,'Status'!$F$5,'Estimates'!$H$5:$H$2004,1)=0,"",IF(COUNTIFS('Estimates'!$A$5:$A$2004,$A58,'Estimates'!$B$5:$B$2004,"MPS",'Estimates'!$C$5:$C$2004,'Status'!$F$5,'Estimates'!$H$5:$H$2004,1)&gt;1,"DUP",IF(COUNTIFS('Estimates'!$A$5:$A$2004,$A58,'Estimates'!$B$5:$B$2004,"MPS",'Estimates'!$C$5:$C$2004,'Status'!$F$5,'Estimates'!$H$5:$H$2004,1,'Estimates'!$F$5:$F$2004,"&lt;&gt;")=0,"",SUMIFS('Estimates'!$F$5:$F$2004,'Estimates'!$A$5:$A$2004,$A58,'Estimates'!$B$5:$B$2004,"MPS",'Estimates'!$C$5:$C$2004,'Status'!$F$5,'Estimates'!$H$5:$H$2004,1)))))</x:f>
      </x:c>
      <x:c r="E58" s="13" t="str">
        <x:f>IF(OR(COUNTA($A58)=0,NOT(ISNUMBER('Status'!$G$5))),"",IF(COUNTIFS('Estimates'!$A$5:$A$2004,$A58,'Estimates'!$B$5:$B$2004,"MPS",'Estimates'!$C$5:$C$2004,'Status'!$G$5,'Estimates'!$H$5:$H$2004,1)=0,"",IF(COUNTIFS('Estimates'!$A$5:$A$2004,$A58,'Estimates'!$B$5:$B$2004,"MPS",'Estimates'!$C$5:$C$2004,'Status'!$G$5,'Estimates'!$H$5:$H$2004,1)&gt;1,"DUP",IF(COUNTIFS('Estimates'!$A$5:$A$2004,$A58,'Estimates'!$B$5:$B$2004,"MPS",'Estimates'!$C$5:$C$2004,'Status'!$G$5,'Estimates'!$H$5:$H$2004,1,'Estimates'!$F$5:$F$2004,"&lt;&gt;")=0,"",SUMIFS('Estimates'!$F$5:$F$2004,'Estimates'!$A$5:$A$2004,$A58,'Estimates'!$B$5:$B$2004,"MPS",'Estimates'!$C$5:$C$2004,'Status'!$G$5,'Estimates'!$H$5:$H$2004,1)))))</x:f>
      </x:c>
      <x:c r="F58" s="13" t="str">
        <x:f>IF(AND(ISNUMBER(C58),ISNUMBER(D58)),D58-C58,"")</x:f>
      </x:c>
      <x:c r="G58" s="13" t="str">
        <x:f>IF(AND(ISNUMBER(D58),ISNUMBER(E58)),E58-D58,"")</x:f>
      </x:c>
      <x:c r="H58" s="13" t="str">
        <x:f>IF(AND(COUNT(C58:E58)=3,COUNT('Status'!$E$5:$G$5)=3,'Status'!$E$5&gt;0,'Status'!$E$5&lt;'Status'!$F$5,'Status'!$F$5&lt;'Status'!$G$5),ABS(E58-(D58+(D58-C58)*((1/'Status'!$G$5)-(1/'Status'!$F$5))/((1/'Status'!$F$5)-(1/'Status'!$E$5)))),"")</x:f>
      </x:c>
      <x:c r="I58" s="13" t="str">
        <x:f>IF(AND(COUNT(C58:E58)=3,COUNT('Status'!$E$5:$G$5)=3,'Status'!$E$5&gt;0,'Status'!$E$5&lt;'Status'!$F$5,'Status'!$F$5&lt;'Status'!$G$5),((1/'Status'!$F$5)*E58-(1/'Status'!$G$5)*D58)/((1/'Status'!$F$5)-(1/'Status'!$G$5)),"")</x:f>
      </x:c>
      <x:c r="J58" s="13" t="str">
        <x:f>IF(OR(COUNTA($A58)=0,NOT(ISNUMBER('Status'!$E$6))),"",IF(COUNTIFS('Estimates'!$A$5:$A$2004,$A58,'Estimates'!$B$5:$B$2004,"PPS",'Estimates'!$D$5:$D$2004,'Status'!$E$6,'Estimates'!$H$5:$H$2004,1,'Estimates'!$E$5:$E$2004,'Status'!$E$7)=0,"",IF(COUNTIFS('Estimates'!$A$5:$A$2004,$A58,'Estimates'!$B$5:$B$2004,"PPS",'Estimates'!$D$5:$D$2004,'Status'!$E$6,'Estimates'!$H$5:$H$2004,1,'Estimates'!$E$5:$E$2004,'Status'!$E$7)&gt;1,"DUP",IF(COUNTIFS('Estimates'!$A$5:$A$2004,$A58,'Estimates'!$B$5:$B$2004,"PPS",'Estimates'!$D$5:$D$2004,'Status'!$E$6,'Estimates'!$H$5:$H$2004,1,'Estimates'!$E$5:$E$2004,'Status'!$E$7,'Estimates'!$F$5:$F$2004,"&lt;&gt;")=0,"",SUMIFS('Estimates'!$F$5:$F$2004,'Estimates'!$A$5:$A$2004,$A58,'Estimates'!$B$5:$B$2004,"PPS",'Estimates'!$D$5:$D$2004,'Status'!$E$6,'Estimates'!$H$5:$H$2004,1,'Estimates'!$E$5:$E$2004,'Status'!$E$7)))))</x:f>
      </x:c>
      <x:c r="K58" s="13" t="str">
        <x:f>IF(OR(COUNTA($A58)=0,NOT(ISNUMBER('Status'!$F$6))),"",IF(COUNTIFS('Estimates'!$A$5:$A$2004,$A58,'Estimates'!$B$5:$B$2004,"PPS",'Estimates'!$D$5:$D$2004,'Status'!$F$6,'Estimates'!$H$5:$H$2004,1,'Estimates'!$E$5:$E$2004,'Status'!$E$7)=0,"",IF(COUNTIFS('Estimates'!$A$5:$A$2004,$A58,'Estimates'!$B$5:$B$2004,"PPS",'Estimates'!$D$5:$D$2004,'Status'!$F$6,'Estimates'!$H$5:$H$2004,1,'Estimates'!$E$5:$E$2004,'Status'!$E$7)&gt;1,"DUP",IF(COUNTIFS('Estimates'!$A$5:$A$2004,$A58,'Estimates'!$B$5:$B$2004,"PPS",'Estimates'!$D$5:$D$2004,'Status'!$F$6,'Estimates'!$H$5:$H$2004,1,'Estimates'!$E$5:$E$2004,'Status'!$E$7,'Estimates'!$F$5:$F$2004,"&lt;&gt;")=0,"",SUMIFS('Estimates'!$F$5:$F$2004,'Estimates'!$A$5:$A$2004,$A58,'Estimates'!$B$5:$B$2004,"PPS",'Estimates'!$D$5:$D$2004,'Status'!$F$6,'Estimates'!$H$5:$H$2004,1,'Estimates'!$E$5:$E$2004,'Status'!$E$7)))))</x:f>
      </x:c>
      <x:c r="L58" s="13" t="str">
        <x:f>IF(OR(COUNTA($A58)=0,NOT(ISNUMBER('Status'!$G$6))),"",IF(COUNTIFS('Estimates'!$A$5:$A$2004,$A58,'Estimates'!$B$5:$B$2004,"PPS",'Estimates'!$D$5:$D$2004,'Status'!$G$6,'Estimates'!$H$5:$H$2004,1,'Estimates'!$E$5:$E$2004,'Status'!$E$7)=0,"",IF(COUNTIFS('Estimates'!$A$5:$A$2004,$A58,'Estimates'!$B$5:$B$2004,"PPS",'Estimates'!$D$5:$D$2004,'Status'!$G$6,'Estimates'!$H$5:$H$2004,1,'Estimates'!$E$5:$E$2004,'Status'!$E$7)&gt;1,"DUP",IF(COUNTIFS('Estimates'!$A$5:$A$2004,$A58,'Estimates'!$B$5:$B$2004,"PPS",'Estimates'!$D$5:$D$2004,'Status'!$G$6,'Estimates'!$H$5:$H$2004,1,'Estimates'!$E$5:$E$2004,'Status'!$E$7,'Estimates'!$F$5:$F$2004,"&lt;&gt;")=0,"",SUMIFS('Estimates'!$F$5:$F$2004,'Estimates'!$A$5:$A$2004,$A58,'Estimates'!$B$5:$B$2004,"PPS",'Estimates'!$D$5:$D$2004,'Status'!$G$6,'Estimates'!$H$5:$H$2004,1,'Estimates'!$E$5:$E$2004,'Status'!$E$7)))))</x:f>
      </x:c>
      <x:c r="M58" s="13" t="str">
        <x:f>IF(AND(ISNUMBER(J58),ISNUMBER(K58)),K58-J58,"")</x:f>
      </x:c>
      <x:c r="N58" s="13" t="str">
        <x:f>IF(AND(ISNUMBER(K58),ISNUMBER(L58)),L58-K58,"")</x:f>
      </x:c>
      <x:c r="O58" s="13" t="str">
        <x:f>IF(AND(COUNT(J58:L58)=3,COUNT('Status'!$E$6:$G$6)=3,'Status'!$E$6&gt;'Status'!$F$6,'Status'!$F$6&gt;'Status'!$G$6,'Status'!$G$6&gt;0),ABS(L58-(K58+(K58-J58)*('Status'!$G$6-'Status'!$F$6)/('Status'!$F$6-'Status'!$E$6))),"")</x:f>
      </x:c>
      <x:c r="P58" s="13" t="str">
        <x:f>IF(AND(COUNT(J58:L58)=3,COUNT('Status'!$E$6:$G$6)=3,'Status'!$E$6&gt;'Status'!$F$6,'Status'!$F$6&gt;'Status'!$G$6,'Status'!$G$6&gt;0),('Status'!$F$6*L58-'Status'!$G$6*K58)/('Status'!$F$6-'Status'!$G$6),"")</x:f>
      </x:c>
      <x:c r="Q58" s="20"/>
      <x:c r="R58" s="13" t="str">
        <x:f>IF(COUNTA($A58)=0,"",IF('Status'!$B$6="MPS 1",IF(ISNUMBER(C58),C58,""),IF('Status'!$B$6="MPS 2",IF(ISNUMBER(D58),D58,""),IF('Status'!$B$6="MPS 3",IF(ISNUMBER(E58),E58,""),IF('Status'!$B$6="MPS extrap",IF(ISNUMBER(I58),I58,""),IF('Status'!$B$6="PPS 1",IF(ISNUMBER(J58),J58,""),IF('Status'!$B$6="PPS 2",IF(ISNUMBER(K58),K58,""),IF('Status'!$B$6="PPS 3",IF(ISNUMBER(L58),L58,""),IF('Status'!$B$6="PPS extrap",IF(ISNUMBER(P58),P58,""),IF('Status'!$B$6="Calibrated",IF(ISNUMBER(Q58),Q58,""),""))))))))))</x:f>
      </x:c>
      <x:c r="S58" s="2" t="str">
        <x:f>IF(COUNTA(A58)=0,"",IF(COUNTIFS('Estimates'!$A$5:$A$2004,A58,'Estimates'!$B$5:$B$2004,"MPS",'Estimates'!$H$5:$H$2004,1)+COUNTIFS('Estimates'!$A$5:$A$2004,A58,'Estimates'!$B$5:$B$2004,"PPS",'Estimates'!$H$5:$H$2004,1)&gt;0,1,0))</x:f>
      </x:c>
      <x:c r="T58" s="2" t="str">
        <x:f>IF(COUNTA(A58)=0,"",IF(COUNTIFS($A$6:$A$165,A58)&gt;1,"Duplicate target",IF(COUNTIFS(C58:E58,"DUP")+COUNTIFS(J58:L58,"DUP")&gt;0,"Duplicate accepted run",IF(COUNTIFS('Estimates'!$A$5:$A$2004,A58,'Estimates'!$H$5:$H$2004,1)-COUNTIFS('Estimates'!$A$5:$A$2004,A58,'Estimates'!$H$5:$H$2004,1,'Estimates'!$F$5:$F$2004,"&lt;&gt;")&gt;0,"Accepted value missing",""))))</x:f>
      </x:c>
    </x:row>
    <x:row r="59">
      <x:c r="A59" s="21"/>
      <x:c r="B59" s="19"/>
      <x:c r="C59" s="13" t="str">
        <x:f>IF(OR(COUNTA($A59)=0,NOT(ISNUMBER('Status'!$E$5))),"",IF(COUNTIFS('Estimates'!$A$5:$A$2004,$A59,'Estimates'!$B$5:$B$2004,"MPS",'Estimates'!$C$5:$C$2004,'Status'!$E$5,'Estimates'!$H$5:$H$2004,1)=0,"",IF(COUNTIFS('Estimates'!$A$5:$A$2004,$A59,'Estimates'!$B$5:$B$2004,"MPS",'Estimates'!$C$5:$C$2004,'Status'!$E$5,'Estimates'!$H$5:$H$2004,1)&gt;1,"DUP",IF(COUNTIFS('Estimates'!$A$5:$A$2004,$A59,'Estimates'!$B$5:$B$2004,"MPS",'Estimates'!$C$5:$C$2004,'Status'!$E$5,'Estimates'!$H$5:$H$2004,1,'Estimates'!$F$5:$F$2004,"&lt;&gt;")=0,"",SUMIFS('Estimates'!$F$5:$F$2004,'Estimates'!$A$5:$A$2004,$A59,'Estimates'!$B$5:$B$2004,"MPS",'Estimates'!$C$5:$C$2004,'Status'!$E$5,'Estimates'!$H$5:$H$2004,1)))))</x:f>
      </x:c>
      <x:c r="D59" s="13" t="str">
        <x:f>IF(OR(COUNTA($A59)=0,NOT(ISNUMBER('Status'!$F$5))),"",IF(COUNTIFS('Estimates'!$A$5:$A$2004,$A59,'Estimates'!$B$5:$B$2004,"MPS",'Estimates'!$C$5:$C$2004,'Status'!$F$5,'Estimates'!$H$5:$H$2004,1)=0,"",IF(COUNTIFS('Estimates'!$A$5:$A$2004,$A59,'Estimates'!$B$5:$B$2004,"MPS",'Estimates'!$C$5:$C$2004,'Status'!$F$5,'Estimates'!$H$5:$H$2004,1)&gt;1,"DUP",IF(COUNTIFS('Estimates'!$A$5:$A$2004,$A59,'Estimates'!$B$5:$B$2004,"MPS",'Estimates'!$C$5:$C$2004,'Status'!$F$5,'Estimates'!$H$5:$H$2004,1,'Estimates'!$F$5:$F$2004,"&lt;&gt;")=0,"",SUMIFS('Estimates'!$F$5:$F$2004,'Estimates'!$A$5:$A$2004,$A59,'Estimates'!$B$5:$B$2004,"MPS",'Estimates'!$C$5:$C$2004,'Status'!$F$5,'Estimates'!$H$5:$H$2004,1)))))</x:f>
      </x:c>
      <x:c r="E59" s="13" t="str">
        <x:f>IF(OR(COUNTA($A59)=0,NOT(ISNUMBER('Status'!$G$5))),"",IF(COUNTIFS('Estimates'!$A$5:$A$2004,$A59,'Estimates'!$B$5:$B$2004,"MPS",'Estimates'!$C$5:$C$2004,'Status'!$G$5,'Estimates'!$H$5:$H$2004,1)=0,"",IF(COUNTIFS('Estimates'!$A$5:$A$2004,$A59,'Estimates'!$B$5:$B$2004,"MPS",'Estimates'!$C$5:$C$2004,'Status'!$G$5,'Estimates'!$H$5:$H$2004,1)&gt;1,"DUP",IF(COUNTIFS('Estimates'!$A$5:$A$2004,$A59,'Estimates'!$B$5:$B$2004,"MPS",'Estimates'!$C$5:$C$2004,'Status'!$G$5,'Estimates'!$H$5:$H$2004,1,'Estimates'!$F$5:$F$2004,"&lt;&gt;")=0,"",SUMIFS('Estimates'!$F$5:$F$2004,'Estimates'!$A$5:$A$2004,$A59,'Estimates'!$B$5:$B$2004,"MPS",'Estimates'!$C$5:$C$2004,'Status'!$G$5,'Estimates'!$H$5:$H$2004,1)))))</x:f>
      </x:c>
      <x:c r="F59" s="13" t="str">
        <x:f>IF(AND(ISNUMBER(C59),ISNUMBER(D59)),D59-C59,"")</x:f>
      </x:c>
      <x:c r="G59" s="13" t="str">
        <x:f>IF(AND(ISNUMBER(D59),ISNUMBER(E59)),E59-D59,"")</x:f>
      </x:c>
      <x:c r="H59" s="13" t="str">
        <x:f>IF(AND(COUNT(C59:E59)=3,COUNT('Status'!$E$5:$G$5)=3,'Status'!$E$5&gt;0,'Status'!$E$5&lt;'Status'!$F$5,'Status'!$F$5&lt;'Status'!$G$5),ABS(E59-(D59+(D59-C59)*((1/'Status'!$G$5)-(1/'Status'!$F$5))/((1/'Status'!$F$5)-(1/'Status'!$E$5)))),"")</x:f>
      </x:c>
      <x:c r="I59" s="13" t="str">
        <x:f>IF(AND(COUNT(C59:E59)=3,COUNT('Status'!$E$5:$G$5)=3,'Status'!$E$5&gt;0,'Status'!$E$5&lt;'Status'!$F$5,'Status'!$F$5&lt;'Status'!$G$5),((1/'Status'!$F$5)*E59-(1/'Status'!$G$5)*D59)/((1/'Status'!$F$5)-(1/'Status'!$G$5)),"")</x:f>
      </x:c>
      <x:c r="J59" s="13" t="str">
        <x:f>IF(OR(COUNTA($A59)=0,NOT(ISNUMBER('Status'!$E$6))),"",IF(COUNTIFS('Estimates'!$A$5:$A$2004,$A59,'Estimates'!$B$5:$B$2004,"PPS",'Estimates'!$D$5:$D$2004,'Status'!$E$6,'Estimates'!$H$5:$H$2004,1,'Estimates'!$E$5:$E$2004,'Status'!$E$7)=0,"",IF(COUNTIFS('Estimates'!$A$5:$A$2004,$A59,'Estimates'!$B$5:$B$2004,"PPS",'Estimates'!$D$5:$D$2004,'Status'!$E$6,'Estimates'!$H$5:$H$2004,1,'Estimates'!$E$5:$E$2004,'Status'!$E$7)&gt;1,"DUP",IF(COUNTIFS('Estimates'!$A$5:$A$2004,$A59,'Estimates'!$B$5:$B$2004,"PPS",'Estimates'!$D$5:$D$2004,'Status'!$E$6,'Estimates'!$H$5:$H$2004,1,'Estimates'!$E$5:$E$2004,'Status'!$E$7,'Estimates'!$F$5:$F$2004,"&lt;&gt;")=0,"",SUMIFS('Estimates'!$F$5:$F$2004,'Estimates'!$A$5:$A$2004,$A59,'Estimates'!$B$5:$B$2004,"PPS",'Estimates'!$D$5:$D$2004,'Status'!$E$6,'Estimates'!$H$5:$H$2004,1,'Estimates'!$E$5:$E$2004,'Status'!$E$7)))))</x:f>
      </x:c>
      <x:c r="K59" s="13" t="str">
        <x:f>IF(OR(COUNTA($A59)=0,NOT(ISNUMBER('Status'!$F$6))),"",IF(COUNTIFS('Estimates'!$A$5:$A$2004,$A59,'Estimates'!$B$5:$B$2004,"PPS",'Estimates'!$D$5:$D$2004,'Status'!$F$6,'Estimates'!$H$5:$H$2004,1,'Estimates'!$E$5:$E$2004,'Status'!$E$7)=0,"",IF(COUNTIFS('Estimates'!$A$5:$A$2004,$A59,'Estimates'!$B$5:$B$2004,"PPS",'Estimates'!$D$5:$D$2004,'Status'!$F$6,'Estimates'!$H$5:$H$2004,1,'Estimates'!$E$5:$E$2004,'Status'!$E$7)&gt;1,"DUP",IF(COUNTIFS('Estimates'!$A$5:$A$2004,$A59,'Estimates'!$B$5:$B$2004,"PPS",'Estimates'!$D$5:$D$2004,'Status'!$F$6,'Estimates'!$H$5:$H$2004,1,'Estimates'!$E$5:$E$2004,'Status'!$E$7,'Estimates'!$F$5:$F$2004,"&lt;&gt;")=0,"",SUMIFS('Estimates'!$F$5:$F$2004,'Estimates'!$A$5:$A$2004,$A59,'Estimates'!$B$5:$B$2004,"PPS",'Estimates'!$D$5:$D$2004,'Status'!$F$6,'Estimates'!$H$5:$H$2004,1,'Estimates'!$E$5:$E$2004,'Status'!$E$7)))))</x:f>
      </x:c>
      <x:c r="L59" s="13" t="str">
        <x:f>IF(OR(COUNTA($A59)=0,NOT(ISNUMBER('Status'!$G$6))),"",IF(COUNTIFS('Estimates'!$A$5:$A$2004,$A59,'Estimates'!$B$5:$B$2004,"PPS",'Estimates'!$D$5:$D$2004,'Status'!$G$6,'Estimates'!$H$5:$H$2004,1,'Estimates'!$E$5:$E$2004,'Status'!$E$7)=0,"",IF(COUNTIFS('Estimates'!$A$5:$A$2004,$A59,'Estimates'!$B$5:$B$2004,"PPS",'Estimates'!$D$5:$D$2004,'Status'!$G$6,'Estimates'!$H$5:$H$2004,1,'Estimates'!$E$5:$E$2004,'Status'!$E$7)&gt;1,"DUP",IF(COUNTIFS('Estimates'!$A$5:$A$2004,$A59,'Estimates'!$B$5:$B$2004,"PPS",'Estimates'!$D$5:$D$2004,'Status'!$G$6,'Estimates'!$H$5:$H$2004,1,'Estimates'!$E$5:$E$2004,'Status'!$E$7,'Estimates'!$F$5:$F$2004,"&lt;&gt;")=0,"",SUMIFS('Estimates'!$F$5:$F$2004,'Estimates'!$A$5:$A$2004,$A59,'Estimates'!$B$5:$B$2004,"PPS",'Estimates'!$D$5:$D$2004,'Status'!$G$6,'Estimates'!$H$5:$H$2004,1,'Estimates'!$E$5:$E$2004,'Status'!$E$7)))))</x:f>
      </x:c>
      <x:c r="M59" s="13" t="str">
        <x:f>IF(AND(ISNUMBER(J59),ISNUMBER(K59)),K59-J59,"")</x:f>
      </x:c>
      <x:c r="N59" s="13" t="str">
        <x:f>IF(AND(ISNUMBER(K59),ISNUMBER(L59)),L59-K59,"")</x:f>
      </x:c>
      <x:c r="O59" s="13" t="str">
        <x:f>IF(AND(COUNT(J59:L59)=3,COUNT('Status'!$E$6:$G$6)=3,'Status'!$E$6&gt;'Status'!$F$6,'Status'!$F$6&gt;'Status'!$G$6,'Status'!$G$6&gt;0),ABS(L59-(K59+(K59-J59)*('Status'!$G$6-'Status'!$F$6)/('Status'!$F$6-'Status'!$E$6))),"")</x:f>
      </x:c>
      <x:c r="P59" s="13" t="str">
        <x:f>IF(AND(COUNT(J59:L59)=3,COUNT('Status'!$E$6:$G$6)=3,'Status'!$E$6&gt;'Status'!$F$6,'Status'!$F$6&gt;'Status'!$G$6,'Status'!$G$6&gt;0),('Status'!$F$6*L59-'Status'!$G$6*K59)/('Status'!$F$6-'Status'!$G$6),"")</x:f>
      </x:c>
      <x:c r="Q59" s="20"/>
      <x:c r="R59" s="13" t="str">
        <x:f>IF(COUNTA($A59)=0,"",IF('Status'!$B$6="MPS 1",IF(ISNUMBER(C59),C59,""),IF('Status'!$B$6="MPS 2",IF(ISNUMBER(D59),D59,""),IF('Status'!$B$6="MPS 3",IF(ISNUMBER(E59),E59,""),IF('Status'!$B$6="MPS extrap",IF(ISNUMBER(I59),I59,""),IF('Status'!$B$6="PPS 1",IF(ISNUMBER(J59),J59,""),IF('Status'!$B$6="PPS 2",IF(ISNUMBER(K59),K59,""),IF('Status'!$B$6="PPS 3",IF(ISNUMBER(L59),L59,""),IF('Status'!$B$6="PPS extrap",IF(ISNUMBER(P59),P59,""),IF('Status'!$B$6="Calibrated",IF(ISNUMBER(Q59),Q59,""),""))))))))))</x:f>
      </x:c>
      <x:c r="S59" s="2" t="str">
        <x:f>IF(COUNTA(A59)=0,"",IF(COUNTIFS('Estimates'!$A$5:$A$2004,A59,'Estimates'!$B$5:$B$2004,"MPS",'Estimates'!$H$5:$H$2004,1)+COUNTIFS('Estimates'!$A$5:$A$2004,A59,'Estimates'!$B$5:$B$2004,"PPS",'Estimates'!$H$5:$H$2004,1)&gt;0,1,0))</x:f>
      </x:c>
      <x:c r="T59" s="2" t="str">
        <x:f>IF(COUNTA(A59)=0,"",IF(COUNTIFS($A$6:$A$165,A59)&gt;1,"Duplicate target",IF(COUNTIFS(C59:E59,"DUP")+COUNTIFS(J59:L59,"DUP")&gt;0,"Duplicate accepted run",IF(COUNTIFS('Estimates'!$A$5:$A$2004,A59,'Estimates'!$H$5:$H$2004,1)-COUNTIFS('Estimates'!$A$5:$A$2004,A59,'Estimates'!$H$5:$H$2004,1,'Estimates'!$F$5:$F$2004,"&lt;&gt;")&gt;0,"Accepted value missing",""))))</x:f>
      </x:c>
    </x:row>
    <x:row r="60">
      <x:c r="A60" s="21"/>
      <x:c r="B60" s="19"/>
      <x:c r="C60" s="13" t="str">
        <x:f>IF(OR(COUNTA($A60)=0,NOT(ISNUMBER('Status'!$E$5))),"",IF(COUNTIFS('Estimates'!$A$5:$A$2004,$A60,'Estimates'!$B$5:$B$2004,"MPS",'Estimates'!$C$5:$C$2004,'Status'!$E$5,'Estimates'!$H$5:$H$2004,1)=0,"",IF(COUNTIFS('Estimates'!$A$5:$A$2004,$A60,'Estimates'!$B$5:$B$2004,"MPS",'Estimates'!$C$5:$C$2004,'Status'!$E$5,'Estimates'!$H$5:$H$2004,1)&gt;1,"DUP",IF(COUNTIFS('Estimates'!$A$5:$A$2004,$A60,'Estimates'!$B$5:$B$2004,"MPS",'Estimates'!$C$5:$C$2004,'Status'!$E$5,'Estimates'!$H$5:$H$2004,1,'Estimates'!$F$5:$F$2004,"&lt;&gt;")=0,"",SUMIFS('Estimates'!$F$5:$F$2004,'Estimates'!$A$5:$A$2004,$A60,'Estimates'!$B$5:$B$2004,"MPS",'Estimates'!$C$5:$C$2004,'Status'!$E$5,'Estimates'!$H$5:$H$2004,1)))))</x:f>
      </x:c>
      <x:c r="D60" s="13" t="str">
        <x:f>IF(OR(COUNTA($A60)=0,NOT(ISNUMBER('Status'!$F$5))),"",IF(COUNTIFS('Estimates'!$A$5:$A$2004,$A60,'Estimates'!$B$5:$B$2004,"MPS",'Estimates'!$C$5:$C$2004,'Status'!$F$5,'Estimates'!$H$5:$H$2004,1)=0,"",IF(COUNTIFS('Estimates'!$A$5:$A$2004,$A60,'Estimates'!$B$5:$B$2004,"MPS",'Estimates'!$C$5:$C$2004,'Status'!$F$5,'Estimates'!$H$5:$H$2004,1)&gt;1,"DUP",IF(COUNTIFS('Estimates'!$A$5:$A$2004,$A60,'Estimates'!$B$5:$B$2004,"MPS",'Estimates'!$C$5:$C$2004,'Status'!$F$5,'Estimates'!$H$5:$H$2004,1,'Estimates'!$F$5:$F$2004,"&lt;&gt;")=0,"",SUMIFS('Estimates'!$F$5:$F$2004,'Estimates'!$A$5:$A$2004,$A60,'Estimates'!$B$5:$B$2004,"MPS",'Estimates'!$C$5:$C$2004,'Status'!$F$5,'Estimates'!$H$5:$H$2004,1)))))</x:f>
      </x:c>
      <x:c r="E60" s="13" t="str">
        <x:f>IF(OR(COUNTA($A60)=0,NOT(ISNUMBER('Status'!$G$5))),"",IF(COUNTIFS('Estimates'!$A$5:$A$2004,$A60,'Estimates'!$B$5:$B$2004,"MPS",'Estimates'!$C$5:$C$2004,'Status'!$G$5,'Estimates'!$H$5:$H$2004,1)=0,"",IF(COUNTIFS('Estimates'!$A$5:$A$2004,$A60,'Estimates'!$B$5:$B$2004,"MPS",'Estimates'!$C$5:$C$2004,'Status'!$G$5,'Estimates'!$H$5:$H$2004,1)&gt;1,"DUP",IF(COUNTIFS('Estimates'!$A$5:$A$2004,$A60,'Estimates'!$B$5:$B$2004,"MPS",'Estimates'!$C$5:$C$2004,'Status'!$G$5,'Estimates'!$H$5:$H$2004,1,'Estimates'!$F$5:$F$2004,"&lt;&gt;")=0,"",SUMIFS('Estimates'!$F$5:$F$2004,'Estimates'!$A$5:$A$2004,$A60,'Estimates'!$B$5:$B$2004,"MPS",'Estimates'!$C$5:$C$2004,'Status'!$G$5,'Estimates'!$H$5:$H$2004,1)))))</x:f>
      </x:c>
      <x:c r="F60" s="13" t="str">
        <x:f>IF(AND(ISNUMBER(C60),ISNUMBER(D60)),D60-C60,"")</x:f>
      </x:c>
      <x:c r="G60" s="13" t="str">
        <x:f>IF(AND(ISNUMBER(D60),ISNUMBER(E60)),E60-D60,"")</x:f>
      </x:c>
      <x:c r="H60" s="13" t="str">
        <x:f>IF(AND(COUNT(C60:E60)=3,COUNT('Status'!$E$5:$G$5)=3,'Status'!$E$5&gt;0,'Status'!$E$5&lt;'Status'!$F$5,'Status'!$F$5&lt;'Status'!$G$5),ABS(E60-(D60+(D60-C60)*((1/'Status'!$G$5)-(1/'Status'!$F$5))/((1/'Status'!$F$5)-(1/'Status'!$E$5)))),"")</x:f>
      </x:c>
      <x:c r="I60" s="13" t="str">
        <x:f>IF(AND(COUNT(C60:E60)=3,COUNT('Status'!$E$5:$G$5)=3,'Status'!$E$5&gt;0,'Status'!$E$5&lt;'Status'!$F$5,'Status'!$F$5&lt;'Status'!$G$5),((1/'Status'!$F$5)*E60-(1/'Status'!$G$5)*D60)/((1/'Status'!$F$5)-(1/'Status'!$G$5)),"")</x:f>
      </x:c>
      <x:c r="J60" s="13" t="str">
        <x:f>IF(OR(COUNTA($A60)=0,NOT(ISNUMBER('Status'!$E$6))),"",IF(COUNTIFS('Estimates'!$A$5:$A$2004,$A60,'Estimates'!$B$5:$B$2004,"PPS",'Estimates'!$D$5:$D$2004,'Status'!$E$6,'Estimates'!$H$5:$H$2004,1,'Estimates'!$E$5:$E$2004,'Status'!$E$7)=0,"",IF(COUNTIFS('Estimates'!$A$5:$A$2004,$A60,'Estimates'!$B$5:$B$2004,"PPS",'Estimates'!$D$5:$D$2004,'Status'!$E$6,'Estimates'!$H$5:$H$2004,1,'Estimates'!$E$5:$E$2004,'Status'!$E$7)&gt;1,"DUP",IF(COUNTIFS('Estimates'!$A$5:$A$2004,$A60,'Estimates'!$B$5:$B$2004,"PPS",'Estimates'!$D$5:$D$2004,'Status'!$E$6,'Estimates'!$H$5:$H$2004,1,'Estimates'!$E$5:$E$2004,'Status'!$E$7,'Estimates'!$F$5:$F$2004,"&lt;&gt;")=0,"",SUMIFS('Estimates'!$F$5:$F$2004,'Estimates'!$A$5:$A$2004,$A60,'Estimates'!$B$5:$B$2004,"PPS",'Estimates'!$D$5:$D$2004,'Status'!$E$6,'Estimates'!$H$5:$H$2004,1,'Estimates'!$E$5:$E$2004,'Status'!$E$7)))))</x:f>
      </x:c>
      <x:c r="K60" s="13" t="str">
        <x:f>IF(OR(COUNTA($A60)=0,NOT(ISNUMBER('Status'!$F$6))),"",IF(COUNTIFS('Estimates'!$A$5:$A$2004,$A60,'Estimates'!$B$5:$B$2004,"PPS",'Estimates'!$D$5:$D$2004,'Status'!$F$6,'Estimates'!$H$5:$H$2004,1,'Estimates'!$E$5:$E$2004,'Status'!$E$7)=0,"",IF(COUNTIFS('Estimates'!$A$5:$A$2004,$A60,'Estimates'!$B$5:$B$2004,"PPS",'Estimates'!$D$5:$D$2004,'Status'!$F$6,'Estimates'!$H$5:$H$2004,1,'Estimates'!$E$5:$E$2004,'Status'!$E$7)&gt;1,"DUP",IF(COUNTIFS('Estimates'!$A$5:$A$2004,$A60,'Estimates'!$B$5:$B$2004,"PPS",'Estimates'!$D$5:$D$2004,'Status'!$F$6,'Estimates'!$H$5:$H$2004,1,'Estimates'!$E$5:$E$2004,'Status'!$E$7,'Estimates'!$F$5:$F$2004,"&lt;&gt;")=0,"",SUMIFS('Estimates'!$F$5:$F$2004,'Estimates'!$A$5:$A$2004,$A60,'Estimates'!$B$5:$B$2004,"PPS",'Estimates'!$D$5:$D$2004,'Status'!$F$6,'Estimates'!$H$5:$H$2004,1,'Estimates'!$E$5:$E$2004,'Status'!$E$7)))))</x:f>
      </x:c>
      <x:c r="L60" s="13" t="str">
        <x:f>IF(OR(COUNTA($A60)=0,NOT(ISNUMBER('Status'!$G$6))),"",IF(COUNTIFS('Estimates'!$A$5:$A$2004,$A60,'Estimates'!$B$5:$B$2004,"PPS",'Estimates'!$D$5:$D$2004,'Status'!$G$6,'Estimates'!$H$5:$H$2004,1,'Estimates'!$E$5:$E$2004,'Status'!$E$7)=0,"",IF(COUNTIFS('Estimates'!$A$5:$A$2004,$A60,'Estimates'!$B$5:$B$2004,"PPS",'Estimates'!$D$5:$D$2004,'Status'!$G$6,'Estimates'!$H$5:$H$2004,1,'Estimates'!$E$5:$E$2004,'Status'!$E$7)&gt;1,"DUP",IF(COUNTIFS('Estimates'!$A$5:$A$2004,$A60,'Estimates'!$B$5:$B$2004,"PPS",'Estimates'!$D$5:$D$2004,'Status'!$G$6,'Estimates'!$H$5:$H$2004,1,'Estimates'!$E$5:$E$2004,'Status'!$E$7,'Estimates'!$F$5:$F$2004,"&lt;&gt;")=0,"",SUMIFS('Estimates'!$F$5:$F$2004,'Estimates'!$A$5:$A$2004,$A60,'Estimates'!$B$5:$B$2004,"PPS",'Estimates'!$D$5:$D$2004,'Status'!$G$6,'Estimates'!$H$5:$H$2004,1,'Estimates'!$E$5:$E$2004,'Status'!$E$7)))))</x:f>
      </x:c>
      <x:c r="M60" s="13" t="str">
        <x:f>IF(AND(ISNUMBER(J60),ISNUMBER(K60)),K60-J60,"")</x:f>
      </x:c>
      <x:c r="N60" s="13" t="str">
        <x:f>IF(AND(ISNUMBER(K60),ISNUMBER(L60)),L60-K60,"")</x:f>
      </x:c>
      <x:c r="O60" s="13" t="str">
        <x:f>IF(AND(COUNT(J60:L60)=3,COUNT('Status'!$E$6:$G$6)=3,'Status'!$E$6&gt;'Status'!$F$6,'Status'!$F$6&gt;'Status'!$G$6,'Status'!$G$6&gt;0),ABS(L60-(K60+(K60-J60)*('Status'!$G$6-'Status'!$F$6)/('Status'!$F$6-'Status'!$E$6))),"")</x:f>
      </x:c>
      <x:c r="P60" s="13" t="str">
        <x:f>IF(AND(COUNT(J60:L60)=3,COUNT('Status'!$E$6:$G$6)=3,'Status'!$E$6&gt;'Status'!$F$6,'Status'!$F$6&gt;'Status'!$G$6,'Status'!$G$6&gt;0),('Status'!$F$6*L60-'Status'!$G$6*K60)/('Status'!$F$6-'Status'!$G$6),"")</x:f>
      </x:c>
      <x:c r="Q60" s="20"/>
      <x:c r="R60" s="13" t="str">
        <x:f>IF(COUNTA($A60)=0,"",IF('Status'!$B$6="MPS 1",IF(ISNUMBER(C60),C60,""),IF('Status'!$B$6="MPS 2",IF(ISNUMBER(D60),D60,""),IF('Status'!$B$6="MPS 3",IF(ISNUMBER(E60),E60,""),IF('Status'!$B$6="MPS extrap",IF(ISNUMBER(I60),I60,""),IF('Status'!$B$6="PPS 1",IF(ISNUMBER(J60),J60,""),IF('Status'!$B$6="PPS 2",IF(ISNUMBER(K60),K60,""),IF('Status'!$B$6="PPS 3",IF(ISNUMBER(L60),L60,""),IF('Status'!$B$6="PPS extrap",IF(ISNUMBER(P60),P60,""),IF('Status'!$B$6="Calibrated",IF(ISNUMBER(Q60),Q60,""),""))))))))))</x:f>
      </x:c>
      <x:c r="S60" s="2" t="str">
        <x:f>IF(COUNTA(A60)=0,"",IF(COUNTIFS('Estimates'!$A$5:$A$2004,A60,'Estimates'!$B$5:$B$2004,"MPS",'Estimates'!$H$5:$H$2004,1)+COUNTIFS('Estimates'!$A$5:$A$2004,A60,'Estimates'!$B$5:$B$2004,"PPS",'Estimates'!$H$5:$H$2004,1)&gt;0,1,0))</x:f>
      </x:c>
      <x:c r="T60" s="2" t="str">
        <x:f>IF(COUNTA(A60)=0,"",IF(COUNTIFS($A$6:$A$165,A60)&gt;1,"Duplicate target",IF(COUNTIFS(C60:E60,"DUP")+COUNTIFS(J60:L60,"DUP")&gt;0,"Duplicate accepted run",IF(COUNTIFS('Estimates'!$A$5:$A$2004,A60,'Estimates'!$H$5:$H$2004,1)-COUNTIFS('Estimates'!$A$5:$A$2004,A60,'Estimates'!$H$5:$H$2004,1,'Estimates'!$F$5:$F$2004,"&lt;&gt;")&gt;0,"Accepted value missing",""))))</x:f>
      </x:c>
    </x:row>
    <x:row r="61">
      <x:c r="A61" s="21"/>
      <x:c r="B61" s="19"/>
      <x:c r="C61" s="13" t="str">
        <x:f>IF(OR(COUNTA($A61)=0,NOT(ISNUMBER('Status'!$E$5))),"",IF(COUNTIFS('Estimates'!$A$5:$A$2004,$A61,'Estimates'!$B$5:$B$2004,"MPS",'Estimates'!$C$5:$C$2004,'Status'!$E$5,'Estimates'!$H$5:$H$2004,1)=0,"",IF(COUNTIFS('Estimates'!$A$5:$A$2004,$A61,'Estimates'!$B$5:$B$2004,"MPS",'Estimates'!$C$5:$C$2004,'Status'!$E$5,'Estimates'!$H$5:$H$2004,1)&gt;1,"DUP",IF(COUNTIFS('Estimates'!$A$5:$A$2004,$A61,'Estimates'!$B$5:$B$2004,"MPS",'Estimates'!$C$5:$C$2004,'Status'!$E$5,'Estimates'!$H$5:$H$2004,1,'Estimates'!$F$5:$F$2004,"&lt;&gt;")=0,"",SUMIFS('Estimates'!$F$5:$F$2004,'Estimates'!$A$5:$A$2004,$A61,'Estimates'!$B$5:$B$2004,"MPS",'Estimates'!$C$5:$C$2004,'Status'!$E$5,'Estimates'!$H$5:$H$2004,1)))))</x:f>
      </x:c>
      <x:c r="D61" s="13" t="str">
        <x:f>IF(OR(COUNTA($A61)=0,NOT(ISNUMBER('Status'!$F$5))),"",IF(COUNTIFS('Estimates'!$A$5:$A$2004,$A61,'Estimates'!$B$5:$B$2004,"MPS",'Estimates'!$C$5:$C$2004,'Status'!$F$5,'Estimates'!$H$5:$H$2004,1)=0,"",IF(COUNTIFS('Estimates'!$A$5:$A$2004,$A61,'Estimates'!$B$5:$B$2004,"MPS",'Estimates'!$C$5:$C$2004,'Status'!$F$5,'Estimates'!$H$5:$H$2004,1)&gt;1,"DUP",IF(COUNTIFS('Estimates'!$A$5:$A$2004,$A61,'Estimates'!$B$5:$B$2004,"MPS",'Estimates'!$C$5:$C$2004,'Status'!$F$5,'Estimates'!$H$5:$H$2004,1,'Estimates'!$F$5:$F$2004,"&lt;&gt;")=0,"",SUMIFS('Estimates'!$F$5:$F$2004,'Estimates'!$A$5:$A$2004,$A61,'Estimates'!$B$5:$B$2004,"MPS",'Estimates'!$C$5:$C$2004,'Status'!$F$5,'Estimates'!$H$5:$H$2004,1)))))</x:f>
      </x:c>
      <x:c r="E61" s="13" t="str">
        <x:f>IF(OR(COUNTA($A61)=0,NOT(ISNUMBER('Status'!$G$5))),"",IF(COUNTIFS('Estimates'!$A$5:$A$2004,$A61,'Estimates'!$B$5:$B$2004,"MPS",'Estimates'!$C$5:$C$2004,'Status'!$G$5,'Estimates'!$H$5:$H$2004,1)=0,"",IF(COUNTIFS('Estimates'!$A$5:$A$2004,$A61,'Estimates'!$B$5:$B$2004,"MPS",'Estimates'!$C$5:$C$2004,'Status'!$G$5,'Estimates'!$H$5:$H$2004,1)&gt;1,"DUP",IF(COUNTIFS('Estimates'!$A$5:$A$2004,$A61,'Estimates'!$B$5:$B$2004,"MPS",'Estimates'!$C$5:$C$2004,'Status'!$G$5,'Estimates'!$H$5:$H$2004,1,'Estimates'!$F$5:$F$2004,"&lt;&gt;")=0,"",SUMIFS('Estimates'!$F$5:$F$2004,'Estimates'!$A$5:$A$2004,$A61,'Estimates'!$B$5:$B$2004,"MPS",'Estimates'!$C$5:$C$2004,'Status'!$G$5,'Estimates'!$H$5:$H$2004,1)))))</x:f>
      </x:c>
      <x:c r="F61" s="13" t="str">
        <x:f>IF(AND(ISNUMBER(C61),ISNUMBER(D61)),D61-C61,"")</x:f>
      </x:c>
      <x:c r="G61" s="13" t="str">
        <x:f>IF(AND(ISNUMBER(D61),ISNUMBER(E61)),E61-D61,"")</x:f>
      </x:c>
      <x:c r="H61" s="13" t="str">
        <x:f>IF(AND(COUNT(C61:E61)=3,COUNT('Status'!$E$5:$G$5)=3,'Status'!$E$5&gt;0,'Status'!$E$5&lt;'Status'!$F$5,'Status'!$F$5&lt;'Status'!$G$5),ABS(E61-(D61+(D61-C61)*((1/'Status'!$G$5)-(1/'Status'!$F$5))/((1/'Status'!$F$5)-(1/'Status'!$E$5)))),"")</x:f>
      </x:c>
      <x:c r="I61" s="13" t="str">
        <x:f>IF(AND(COUNT(C61:E61)=3,COUNT('Status'!$E$5:$G$5)=3,'Status'!$E$5&gt;0,'Status'!$E$5&lt;'Status'!$F$5,'Status'!$F$5&lt;'Status'!$G$5),((1/'Status'!$F$5)*E61-(1/'Status'!$G$5)*D61)/((1/'Status'!$F$5)-(1/'Status'!$G$5)),"")</x:f>
      </x:c>
      <x:c r="J61" s="13" t="str">
        <x:f>IF(OR(COUNTA($A61)=0,NOT(ISNUMBER('Status'!$E$6))),"",IF(COUNTIFS('Estimates'!$A$5:$A$2004,$A61,'Estimates'!$B$5:$B$2004,"PPS",'Estimates'!$D$5:$D$2004,'Status'!$E$6,'Estimates'!$H$5:$H$2004,1,'Estimates'!$E$5:$E$2004,'Status'!$E$7)=0,"",IF(COUNTIFS('Estimates'!$A$5:$A$2004,$A61,'Estimates'!$B$5:$B$2004,"PPS",'Estimates'!$D$5:$D$2004,'Status'!$E$6,'Estimates'!$H$5:$H$2004,1,'Estimates'!$E$5:$E$2004,'Status'!$E$7)&gt;1,"DUP",IF(COUNTIFS('Estimates'!$A$5:$A$2004,$A61,'Estimates'!$B$5:$B$2004,"PPS",'Estimates'!$D$5:$D$2004,'Status'!$E$6,'Estimates'!$H$5:$H$2004,1,'Estimates'!$E$5:$E$2004,'Status'!$E$7,'Estimates'!$F$5:$F$2004,"&lt;&gt;")=0,"",SUMIFS('Estimates'!$F$5:$F$2004,'Estimates'!$A$5:$A$2004,$A61,'Estimates'!$B$5:$B$2004,"PPS",'Estimates'!$D$5:$D$2004,'Status'!$E$6,'Estimates'!$H$5:$H$2004,1,'Estimates'!$E$5:$E$2004,'Status'!$E$7)))))</x:f>
      </x:c>
      <x:c r="K61" s="13" t="str">
        <x:f>IF(OR(COUNTA($A61)=0,NOT(ISNUMBER('Status'!$F$6))),"",IF(COUNTIFS('Estimates'!$A$5:$A$2004,$A61,'Estimates'!$B$5:$B$2004,"PPS",'Estimates'!$D$5:$D$2004,'Status'!$F$6,'Estimates'!$H$5:$H$2004,1,'Estimates'!$E$5:$E$2004,'Status'!$E$7)=0,"",IF(COUNTIFS('Estimates'!$A$5:$A$2004,$A61,'Estimates'!$B$5:$B$2004,"PPS",'Estimates'!$D$5:$D$2004,'Status'!$F$6,'Estimates'!$H$5:$H$2004,1,'Estimates'!$E$5:$E$2004,'Status'!$E$7)&gt;1,"DUP",IF(COUNTIFS('Estimates'!$A$5:$A$2004,$A61,'Estimates'!$B$5:$B$2004,"PPS",'Estimates'!$D$5:$D$2004,'Status'!$F$6,'Estimates'!$H$5:$H$2004,1,'Estimates'!$E$5:$E$2004,'Status'!$E$7,'Estimates'!$F$5:$F$2004,"&lt;&gt;")=0,"",SUMIFS('Estimates'!$F$5:$F$2004,'Estimates'!$A$5:$A$2004,$A61,'Estimates'!$B$5:$B$2004,"PPS",'Estimates'!$D$5:$D$2004,'Status'!$F$6,'Estimates'!$H$5:$H$2004,1,'Estimates'!$E$5:$E$2004,'Status'!$E$7)))))</x:f>
      </x:c>
      <x:c r="L61" s="13" t="str">
        <x:f>IF(OR(COUNTA($A61)=0,NOT(ISNUMBER('Status'!$G$6))),"",IF(COUNTIFS('Estimates'!$A$5:$A$2004,$A61,'Estimates'!$B$5:$B$2004,"PPS",'Estimates'!$D$5:$D$2004,'Status'!$G$6,'Estimates'!$H$5:$H$2004,1,'Estimates'!$E$5:$E$2004,'Status'!$E$7)=0,"",IF(COUNTIFS('Estimates'!$A$5:$A$2004,$A61,'Estimates'!$B$5:$B$2004,"PPS",'Estimates'!$D$5:$D$2004,'Status'!$G$6,'Estimates'!$H$5:$H$2004,1,'Estimates'!$E$5:$E$2004,'Status'!$E$7)&gt;1,"DUP",IF(COUNTIFS('Estimates'!$A$5:$A$2004,$A61,'Estimates'!$B$5:$B$2004,"PPS",'Estimates'!$D$5:$D$2004,'Status'!$G$6,'Estimates'!$H$5:$H$2004,1,'Estimates'!$E$5:$E$2004,'Status'!$E$7,'Estimates'!$F$5:$F$2004,"&lt;&gt;")=0,"",SUMIFS('Estimates'!$F$5:$F$2004,'Estimates'!$A$5:$A$2004,$A61,'Estimates'!$B$5:$B$2004,"PPS",'Estimates'!$D$5:$D$2004,'Status'!$G$6,'Estimates'!$H$5:$H$2004,1,'Estimates'!$E$5:$E$2004,'Status'!$E$7)))))</x:f>
      </x:c>
      <x:c r="M61" s="13" t="str">
        <x:f>IF(AND(ISNUMBER(J61),ISNUMBER(K61)),K61-J61,"")</x:f>
      </x:c>
      <x:c r="N61" s="13" t="str">
        <x:f>IF(AND(ISNUMBER(K61),ISNUMBER(L61)),L61-K61,"")</x:f>
      </x:c>
      <x:c r="O61" s="13" t="str">
        <x:f>IF(AND(COUNT(J61:L61)=3,COUNT('Status'!$E$6:$G$6)=3,'Status'!$E$6&gt;'Status'!$F$6,'Status'!$F$6&gt;'Status'!$G$6,'Status'!$G$6&gt;0),ABS(L61-(K61+(K61-J61)*('Status'!$G$6-'Status'!$F$6)/('Status'!$F$6-'Status'!$E$6))),"")</x:f>
      </x:c>
      <x:c r="P61" s="13" t="str">
        <x:f>IF(AND(COUNT(J61:L61)=3,COUNT('Status'!$E$6:$G$6)=3,'Status'!$E$6&gt;'Status'!$F$6,'Status'!$F$6&gt;'Status'!$G$6,'Status'!$G$6&gt;0),('Status'!$F$6*L61-'Status'!$G$6*K61)/('Status'!$F$6-'Status'!$G$6),"")</x:f>
      </x:c>
      <x:c r="Q61" s="20"/>
      <x:c r="R61" s="13" t="str">
        <x:f>IF(COUNTA($A61)=0,"",IF('Status'!$B$6="MPS 1",IF(ISNUMBER(C61),C61,""),IF('Status'!$B$6="MPS 2",IF(ISNUMBER(D61),D61,""),IF('Status'!$B$6="MPS 3",IF(ISNUMBER(E61),E61,""),IF('Status'!$B$6="MPS extrap",IF(ISNUMBER(I61),I61,""),IF('Status'!$B$6="PPS 1",IF(ISNUMBER(J61),J61,""),IF('Status'!$B$6="PPS 2",IF(ISNUMBER(K61),K61,""),IF('Status'!$B$6="PPS 3",IF(ISNUMBER(L61),L61,""),IF('Status'!$B$6="PPS extrap",IF(ISNUMBER(P61),P61,""),IF('Status'!$B$6="Calibrated",IF(ISNUMBER(Q61),Q61,""),""))))))))))</x:f>
      </x:c>
      <x:c r="S61" s="2" t="str">
        <x:f>IF(COUNTA(A61)=0,"",IF(COUNTIFS('Estimates'!$A$5:$A$2004,A61,'Estimates'!$B$5:$B$2004,"MPS",'Estimates'!$H$5:$H$2004,1)+COUNTIFS('Estimates'!$A$5:$A$2004,A61,'Estimates'!$B$5:$B$2004,"PPS",'Estimates'!$H$5:$H$2004,1)&gt;0,1,0))</x:f>
      </x:c>
      <x:c r="T61" s="2" t="str">
        <x:f>IF(COUNTA(A61)=0,"",IF(COUNTIFS($A$6:$A$165,A61)&gt;1,"Duplicate target",IF(COUNTIFS(C61:E61,"DUP")+COUNTIFS(J61:L61,"DUP")&gt;0,"Duplicate accepted run",IF(COUNTIFS('Estimates'!$A$5:$A$2004,A61,'Estimates'!$H$5:$H$2004,1)-COUNTIFS('Estimates'!$A$5:$A$2004,A61,'Estimates'!$H$5:$H$2004,1,'Estimates'!$F$5:$F$2004,"&lt;&gt;")&gt;0,"Accepted value missing",""))))</x:f>
      </x:c>
    </x:row>
    <x:row r="62">
      <x:c r="A62" s="21"/>
      <x:c r="B62" s="19"/>
      <x:c r="C62" s="13" t="str">
        <x:f>IF(OR(COUNTA($A62)=0,NOT(ISNUMBER('Status'!$E$5))),"",IF(COUNTIFS('Estimates'!$A$5:$A$2004,$A62,'Estimates'!$B$5:$B$2004,"MPS",'Estimates'!$C$5:$C$2004,'Status'!$E$5,'Estimates'!$H$5:$H$2004,1)=0,"",IF(COUNTIFS('Estimates'!$A$5:$A$2004,$A62,'Estimates'!$B$5:$B$2004,"MPS",'Estimates'!$C$5:$C$2004,'Status'!$E$5,'Estimates'!$H$5:$H$2004,1)&gt;1,"DUP",IF(COUNTIFS('Estimates'!$A$5:$A$2004,$A62,'Estimates'!$B$5:$B$2004,"MPS",'Estimates'!$C$5:$C$2004,'Status'!$E$5,'Estimates'!$H$5:$H$2004,1,'Estimates'!$F$5:$F$2004,"&lt;&gt;")=0,"",SUMIFS('Estimates'!$F$5:$F$2004,'Estimates'!$A$5:$A$2004,$A62,'Estimates'!$B$5:$B$2004,"MPS",'Estimates'!$C$5:$C$2004,'Status'!$E$5,'Estimates'!$H$5:$H$2004,1)))))</x:f>
      </x:c>
      <x:c r="D62" s="13" t="str">
        <x:f>IF(OR(COUNTA($A62)=0,NOT(ISNUMBER('Status'!$F$5))),"",IF(COUNTIFS('Estimates'!$A$5:$A$2004,$A62,'Estimates'!$B$5:$B$2004,"MPS",'Estimates'!$C$5:$C$2004,'Status'!$F$5,'Estimates'!$H$5:$H$2004,1)=0,"",IF(COUNTIFS('Estimates'!$A$5:$A$2004,$A62,'Estimates'!$B$5:$B$2004,"MPS",'Estimates'!$C$5:$C$2004,'Status'!$F$5,'Estimates'!$H$5:$H$2004,1)&gt;1,"DUP",IF(COUNTIFS('Estimates'!$A$5:$A$2004,$A62,'Estimates'!$B$5:$B$2004,"MPS",'Estimates'!$C$5:$C$2004,'Status'!$F$5,'Estimates'!$H$5:$H$2004,1,'Estimates'!$F$5:$F$2004,"&lt;&gt;")=0,"",SUMIFS('Estimates'!$F$5:$F$2004,'Estimates'!$A$5:$A$2004,$A62,'Estimates'!$B$5:$B$2004,"MPS",'Estimates'!$C$5:$C$2004,'Status'!$F$5,'Estimates'!$H$5:$H$2004,1)))))</x:f>
      </x:c>
      <x:c r="E62" s="13" t="str">
        <x:f>IF(OR(COUNTA($A62)=0,NOT(ISNUMBER('Status'!$G$5))),"",IF(COUNTIFS('Estimates'!$A$5:$A$2004,$A62,'Estimates'!$B$5:$B$2004,"MPS",'Estimates'!$C$5:$C$2004,'Status'!$G$5,'Estimates'!$H$5:$H$2004,1)=0,"",IF(COUNTIFS('Estimates'!$A$5:$A$2004,$A62,'Estimates'!$B$5:$B$2004,"MPS",'Estimates'!$C$5:$C$2004,'Status'!$G$5,'Estimates'!$H$5:$H$2004,1)&gt;1,"DUP",IF(COUNTIFS('Estimates'!$A$5:$A$2004,$A62,'Estimates'!$B$5:$B$2004,"MPS",'Estimates'!$C$5:$C$2004,'Status'!$G$5,'Estimates'!$H$5:$H$2004,1,'Estimates'!$F$5:$F$2004,"&lt;&gt;")=0,"",SUMIFS('Estimates'!$F$5:$F$2004,'Estimates'!$A$5:$A$2004,$A62,'Estimates'!$B$5:$B$2004,"MPS",'Estimates'!$C$5:$C$2004,'Status'!$G$5,'Estimates'!$H$5:$H$2004,1)))))</x:f>
      </x:c>
      <x:c r="F62" s="13" t="str">
        <x:f>IF(AND(ISNUMBER(C62),ISNUMBER(D62)),D62-C62,"")</x:f>
      </x:c>
      <x:c r="G62" s="13" t="str">
        <x:f>IF(AND(ISNUMBER(D62),ISNUMBER(E62)),E62-D62,"")</x:f>
      </x:c>
      <x:c r="H62" s="13" t="str">
        <x:f>IF(AND(COUNT(C62:E62)=3,COUNT('Status'!$E$5:$G$5)=3,'Status'!$E$5&gt;0,'Status'!$E$5&lt;'Status'!$F$5,'Status'!$F$5&lt;'Status'!$G$5),ABS(E62-(D62+(D62-C62)*((1/'Status'!$G$5)-(1/'Status'!$F$5))/((1/'Status'!$F$5)-(1/'Status'!$E$5)))),"")</x:f>
      </x:c>
      <x:c r="I62" s="13" t="str">
        <x:f>IF(AND(COUNT(C62:E62)=3,COUNT('Status'!$E$5:$G$5)=3,'Status'!$E$5&gt;0,'Status'!$E$5&lt;'Status'!$F$5,'Status'!$F$5&lt;'Status'!$G$5),((1/'Status'!$F$5)*E62-(1/'Status'!$G$5)*D62)/((1/'Status'!$F$5)-(1/'Status'!$G$5)),"")</x:f>
      </x:c>
      <x:c r="J62" s="13" t="str">
        <x:f>IF(OR(COUNTA($A62)=0,NOT(ISNUMBER('Status'!$E$6))),"",IF(COUNTIFS('Estimates'!$A$5:$A$2004,$A62,'Estimates'!$B$5:$B$2004,"PPS",'Estimates'!$D$5:$D$2004,'Status'!$E$6,'Estimates'!$H$5:$H$2004,1,'Estimates'!$E$5:$E$2004,'Status'!$E$7)=0,"",IF(COUNTIFS('Estimates'!$A$5:$A$2004,$A62,'Estimates'!$B$5:$B$2004,"PPS",'Estimates'!$D$5:$D$2004,'Status'!$E$6,'Estimates'!$H$5:$H$2004,1,'Estimates'!$E$5:$E$2004,'Status'!$E$7)&gt;1,"DUP",IF(COUNTIFS('Estimates'!$A$5:$A$2004,$A62,'Estimates'!$B$5:$B$2004,"PPS",'Estimates'!$D$5:$D$2004,'Status'!$E$6,'Estimates'!$H$5:$H$2004,1,'Estimates'!$E$5:$E$2004,'Status'!$E$7,'Estimates'!$F$5:$F$2004,"&lt;&gt;")=0,"",SUMIFS('Estimates'!$F$5:$F$2004,'Estimates'!$A$5:$A$2004,$A62,'Estimates'!$B$5:$B$2004,"PPS",'Estimates'!$D$5:$D$2004,'Status'!$E$6,'Estimates'!$H$5:$H$2004,1,'Estimates'!$E$5:$E$2004,'Status'!$E$7)))))</x:f>
      </x:c>
      <x:c r="K62" s="13" t="str">
        <x:f>IF(OR(COUNTA($A62)=0,NOT(ISNUMBER('Status'!$F$6))),"",IF(COUNTIFS('Estimates'!$A$5:$A$2004,$A62,'Estimates'!$B$5:$B$2004,"PPS",'Estimates'!$D$5:$D$2004,'Status'!$F$6,'Estimates'!$H$5:$H$2004,1,'Estimates'!$E$5:$E$2004,'Status'!$E$7)=0,"",IF(COUNTIFS('Estimates'!$A$5:$A$2004,$A62,'Estimates'!$B$5:$B$2004,"PPS",'Estimates'!$D$5:$D$2004,'Status'!$F$6,'Estimates'!$H$5:$H$2004,1,'Estimates'!$E$5:$E$2004,'Status'!$E$7)&gt;1,"DUP",IF(COUNTIFS('Estimates'!$A$5:$A$2004,$A62,'Estimates'!$B$5:$B$2004,"PPS",'Estimates'!$D$5:$D$2004,'Status'!$F$6,'Estimates'!$H$5:$H$2004,1,'Estimates'!$E$5:$E$2004,'Status'!$E$7,'Estimates'!$F$5:$F$2004,"&lt;&gt;")=0,"",SUMIFS('Estimates'!$F$5:$F$2004,'Estimates'!$A$5:$A$2004,$A62,'Estimates'!$B$5:$B$2004,"PPS",'Estimates'!$D$5:$D$2004,'Status'!$F$6,'Estimates'!$H$5:$H$2004,1,'Estimates'!$E$5:$E$2004,'Status'!$E$7)))))</x:f>
      </x:c>
      <x:c r="L62" s="13" t="str">
        <x:f>IF(OR(COUNTA($A62)=0,NOT(ISNUMBER('Status'!$G$6))),"",IF(COUNTIFS('Estimates'!$A$5:$A$2004,$A62,'Estimates'!$B$5:$B$2004,"PPS",'Estimates'!$D$5:$D$2004,'Status'!$G$6,'Estimates'!$H$5:$H$2004,1,'Estimates'!$E$5:$E$2004,'Status'!$E$7)=0,"",IF(COUNTIFS('Estimates'!$A$5:$A$2004,$A62,'Estimates'!$B$5:$B$2004,"PPS",'Estimates'!$D$5:$D$2004,'Status'!$G$6,'Estimates'!$H$5:$H$2004,1,'Estimates'!$E$5:$E$2004,'Status'!$E$7)&gt;1,"DUP",IF(COUNTIFS('Estimates'!$A$5:$A$2004,$A62,'Estimates'!$B$5:$B$2004,"PPS",'Estimates'!$D$5:$D$2004,'Status'!$G$6,'Estimates'!$H$5:$H$2004,1,'Estimates'!$E$5:$E$2004,'Status'!$E$7,'Estimates'!$F$5:$F$2004,"&lt;&gt;")=0,"",SUMIFS('Estimates'!$F$5:$F$2004,'Estimates'!$A$5:$A$2004,$A62,'Estimates'!$B$5:$B$2004,"PPS",'Estimates'!$D$5:$D$2004,'Status'!$G$6,'Estimates'!$H$5:$H$2004,1,'Estimates'!$E$5:$E$2004,'Status'!$E$7)))))</x:f>
      </x:c>
      <x:c r="M62" s="13" t="str">
        <x:f>IF(AND(ISNUMBER(J62),ISNUMBER(K62)),K62-J62,"")</x:f>
      </x:c>
      <x:c r="N62" s="13" t="str">
        <x:f>IF(AND(ISNUMBER(K62),ISNUMBER(L62)),L62-K62,"")</x:f>
      </x:c>
      <x:c r="O62" s="13" t="str">
        <x:f>IF(AND(COUNT(J62:L62)=3,COUNT('Status'!$E$6:$G$6)=3,'Status'!$E$6&gt;'Status'!$F$6,'Status'!$F$6&gt;'Status'!$G$6,'Status'!$G$6&gt;0),ABS(L62-(K62+(K62-J62)*('Status'!$G$6-'Status'!$F$6)/('Status'!$F$6-'Status'!$E$6))),"")</x:f>
      </x:c>
      <x:c r="P62" s="13" t="str">
        <x:f>IF(AND(COUNT(J62:L62)=3,COUNT('Status'!$E$6:$G$6)=3,'Status'!$E$6&gt;'Status'!$F$6,'Status'!$F$6&gt;'Status'!$G$6,'Status'!$G$6&gt;0),('Status'!$F$6*L62-'Status'!$G$6*K62)/('Status'!$F$6-'Status'!$G$6),"")</x:f>
      </x:c>
      <x:c r="Q62" s="20"/>
      <x:c r="R62" s="13" t="str">
        <x:f>IF(COUNTA($A62)=0,"",IF('Status'!$B$6="MPS 1",IF(ISNUMBER(C62),C62,""),IF('Status'!$B$6="MPS 2",IF(ISNUMBER(D62),D62,""),IF('Status'!$B$6="MPS 3",IF(ISNUMBER(E62),E62,""),IF('Status'!$B$6="MPS extrap",IF(ISNUMBER(I62),I62,""),IF('Status'!$B$6="PPS 1",IF(ISNUMBER(J62),J62,""),IF('Status'!$B$6="PPS 2",IF(ISNUMBER(K62),K62,""),IF('Status'!$B$6="PPS 3",IF(ISNUMBER(L62),L62,""),IF('Status'!$B$6="PPS extrap",IF(ISNUMBER(P62),P62,""),IF('Status'!$B$6="Calibrated",IF(ISNUMBER(Q62),Q62,""),""))))))))))</x:f>
      </x:c>
      <x:c r="S62" s="2" t="str">
        <x:f>IF(COUNTA(A62)=0,"",IF(COUNTIFS('Estimates'!$A$5:$A$2004,A62,'Estimates'!$B$5:$B$2004,"MPS",'Estimates'!$H$5:$H$2004,1)+COUNTIFS('Estimates'!$A$5:$A$2004,A62,'Estimates'!$B$5:$B$2004,"PPS",'Estimates'!$H$5:$H$2004,1)&gt;0,1,0))</x:f>
      </x:c>
      <x:c r="T62" s="2" t="str">
        <x:f>IF(COUNTA(A62)=0,"",IF(COUNTIFS($A$6:$A$165,A62)&gt;1,"Duplicate target",IF(COUNTIFS(C62:E62,"DUP")+COUNTIFS(J62:L62,"DUP")&gt;0,"Duplicate accepted run",IF(COUNTIFS('Estimates'!$A$5:$A$2004,A62,'Estimates'!$H$5:$H$2004,1)-COUNTIFS('Estimates'!$A$5:$A$2004,A62,'Estimates'!$H$5:$H$2004,1,'Estimates'!$F$5:$F$2004,"&lt;&gt;")&gt;0,"Accepted value missing",""))))</x:f>
      </x:c>
    </x:row>
    <x:row r="63">
      <x:c r="A63" s="21"/>
      <x:c r="B63" s="19"/>
      <x:c r="C63" s="13" t="str">
        <x:f>IF(OR(COUNTA($A63)=0,NOT(ISNUMBER('Status'!$E$5))),"",IF(COUNTIFS('Estimates'!$A$5:$A$2004,$A63,'Estimates'!$B$5:$B$2004,"MPS",'Estimates'!$C$5:$C$2004,'Status'!$E$5,'Estimates'!$H$5:$H$2004,1)=0,"",IF(COUNTIFS('Estimates'!$A$5:$A$2004,$A63,'Estimates'!$B$5:$B$2004,"MPS",'Estimates'!$C$5:$C$2004,'Status'!$E$5,'Estimates'!$H$5:$H$2004,1)&gt;1,"DUP",IF(COUNTIFS('Estimates'!$A$5:$A$2004,$A63,'Estimates'!$B$5:$B$2004,"MPS",'Estimates'!$C$5:$C$2004,'Status'!$E$5,'Estimates'!$H$5:$H$2004,1,'Estimates'!$F$5:$F$2004,"&lt;&gt;")=0,"",SUMIFS('Estimates'!$F$5:$F$2004,'Estimates'!$A$5:$A$2004,$A63,'Estimates'!$B$5:$B$2004,"MPS",'Estimates'!$C$5:$C$2004,'Status'!$E$5,'Estimates'!$H$5:$H$2004,1)))))</x:f>
      </x:c>
      <x:c r="D63" s="13" t="str">
        <x:f>IF(OR(COUNTA($A63)=0,NOT(ISNUMBER('Status'!$F$5))),"",IF(COUNTIFS('Estimates'!$A$5:$A$2004,$A63,'Estimates'!$B$5:$B$2004,"MPS",'Estimates'!$C$5:$C$2004,'Status'!$F$5,'Estimates'!$H$5:$H$2004,1)=0,"",IF(COUNTIFS('Estimates'!$A$5:$A$2004,$A63,'Estimates'!$B$5:$B$2004,"MPS",'Estimates'!$C$5:$C$2004,'Status'!$F$5,'Estimates'!$H$5:$H$2004,1)&gt;1,"DUP",IF(COUNTIFS('Estimates'!$A$5:$A$2004,$A63,'Estimates'!$B$5:$B$2004,"MPS",'Estimates'!$C$5:$C$2004,'Status'!$F$5,'Estimates'!$H$5:$H$2004,1,'Estimates'!$F$5:$F$2004,"&lt;&gt;")=0,"",SUMIFS('Estimates'!$F$5:$F$2004,'Estimates'!$A$5:$A$2004,$A63,'Estimates'!$B$5:$B$2004,"MPS",'Estimates'!$C$5:$C$2004,'Status'!$F$5,'Estimates'!$H$5:$H$2004,1)))))</x:f>
      </x:c>
      <x:c r="E63" s="13" t="str">
        <x:f>IF(OR(COUNTA($A63)=0,NOT(ISNUMBER('Status'!$G$5))),"",IF(COUNTIFS('Estimates'!$A$5:$A$2004,$A63,'Estimates'!$B$5:$B$2004,"MPS",'Estimates'!$C$5:$C$2004,'Status'!$G$5,'Estimates'!$H$5:$H$2004,1)=0,"",IF(COUNTIFS('Estimates'!$A$5:$A$2004,$A63,'Estimates'!$B$5:$B$2004,"MPS",'Estimates'!$C$5:$C$2004,'Status'!$G$5,'Estimates'!$H$5:$H$2004,1)&gt;1,"DUP",IF(COUNTIFS('Estimates'!$A$5:$A$2004,$A63,'Estimates'!$B$5:$B$2004,"MPS",'Estimates'!$C$5:$C$2004,'Status'!$G$5,'Estimates'!$H$5:$H$2004,1,'Estimates'!$F$5:$F$2004,"&lt;&gt;")=0,"",SUMIFS('Estimates'!$F$5:$F$2004,'Estimates'!$A$5:$A$2004,$A63,'Estimates'!$B$5:$B$2004,"MPS",'Estimates'!$C$5:$C$2004,'Status'!$G$5,'Estimates'!$H$5:$H$2004,1)))))</x:f>
      </x:c>
      <x:c r="F63" s="13" t="str">
        <x:f>IF(AND(ISNUMBER(C63),ISNUMBER(D63)),D63-C63,"")</x:f>
      </x:c>
      <x:c r="G63" s="13" t="str">
        <x:f>IF(AND(ISNUMBER(D63),ISNUMBER(E63)),E63-D63,"")</x:f>
      </x:c>
      <x:c r="H63" s="13" t="str">
        <x:f>IF(AND(COUNT(C63:E63)=3,COUNT('Status'!$E$5:$G$5)=3,'Status'!$E$5&gt;0,'Status'!$E$5&lt;'Status'!$F$5,'Status'!$F$5&lt;'Status'!$G$5),ABS(E63-(D63+(D63-C63)*((1/'Status'!$G$5)-(1/'Status'!$F$5))/((1/'Status'!$F$5)-(1/'Status'!$E$5)))),"")</x:f>
      </x:c>
      <x:c r="I63" s="13" t="str">
        <x:f>IF(AND(COUNT(C63:E63)=3,COUNT('Status'!$E$5:$G$5)=3,'Status'!$E$5&gt;0,'Status'!$E$5&lt;'Status'!$F$5,'Status'!$F$5&lt;'Status'!$G$5),((1/'Status'!$F$5)*E63-(1/'Status'!$G$5)*D63)/((1/'Status'!$F$5)-(1/'Status'!$G$5)),"")</x:f>
      </x:c>
      <x:c r="J63" s="13" t="str">
        <x:f>IF(OR(COUNTA($A63)=0,NOT(ISNUMBER('Status'!$E$6))),"",IF(COUNTIFS('Estimates'!$A$5:$A$2004,$A63,'Estimates'!$B$5:$B$2004,"PPS",'Estimates'!$D$5:$D$2004,'Status'!$E$6,'Estimates'!$H$5:$H$2004,1,'Estimates'!$E$5:$E$2004,'Status'!$E$7)=0,"",IF(COUNTIFS('Estimates'!$A$5:$A$2004,$A63,'Estimates'!$B$5:$B$2004,"PPS",'Estimates'!$D$5:$D$2004,'Status'!$E$6,'Estimates'!$H$5:$H$2004,1,'Estimates'!$E$5:$E$2004,'Status'!$E$7)&gt;1,"DUP",IF(COUNTIFS('Estimates'!$A$5:$A$2004,$A63,'Estimates'!$B$5:$B$2004,"PPS",'Estimates'!$D$5:$D$2004,'Status'!$E$6,'Estimates'!$H$5:$H$2004,1,'Estimates'!$E$5:$E$2004,'Status'!$E$7,'Estimates'!$F$5:$F$2004,"&lt;&gt;")=0,"",SUMIFS('Estimates'!$F$5:$F$2004,'Estimates'!$A$5:$A$2004,$A63,'Estimates'!$B$5:$B$2004,"PPS",'Estimates'!$D$5:$D$2004,'Status'!$E$6,'Estimates'!$H$5:$H$2004,1,'Estimates'!$E$5:$E$2004,'Status'!$E$7)))))</x:f>
      </x:c>
      <x:c r="K63" s="13" t="str">
        <x:f>IF(OR(COUNTA($A63)=0,NOT(ISNUMBER('Status'!$F$6))),"",IF(COUNTIFS('Estimates'!$A$5:$A$2004,$A63,'Estimates'!$B$5:$B$2004,"PPS",'Estimates'!$D$5:$D$2004,'Status'!$F$6,'Estimates'!$H$5:$H$2004,1,'Estimates'!$E$5:$E$2004,'Status'!$E$7)=0,"",IF(COUNTIFS('Estimates'!$A$5:$A$2004,$A63,'Estimates'!$B$5:$B$2004,"PPS",'Estimates'!$D$5:$D$2004,'Status'!$F$6,'Estimates'!$H$5:$H$2004,1,'Estimates'!$E$5:$E$2004,'Status'!$E$7)&gt;1,"DUP",IF(COUNTIFS('Estimates'!$A$5:$A$2004,$A63,'Estimates'!$B$5:$B$2004,"PPS",'Estimates'!$D$5:$D$2004,'Status'!$F$6,'Estimates'!$H$5:$H$2004,1,'Estimates'!$E$5:$E$2004,'Status'!$E$7,'Estimates'!$F$5:$F$2004,"&lt;&gt;")=0,"",SUMIFS('Estimates'!$F$5:$F$2004,'Estimates'!$A$5:$A$2004,$A63,'Estimates'!$B$5:$B$2004,"PPS",'Estimates'!$D$5:$D$2004,'Status'!$F$6,'Estimates'!$H$5:$H$2004,1,'Estimates'!$E$5:$E$2004,'Status'!$E$7)))))</x:f>
      </x:c>
      <x:c r="L63" s="13" t="str">
        <x:f>IF(OR(COUNTA($A63)=0,NOT(ISNUMBER('Status'!$G$6))),"",IF(COUNTIFS('Estimates'!$A$5:$A$2004,$A63,'Estimates'!$B$5:$B$2004,"PPS",'Estimates'!$D$5:$D$2004,'Status'!$G$6,'Estimates'!$H$5:$H$2004,1,'Estimates'!$E$5:$E$2004,'Status'!$E$7)=0,"",IF(COUNTIFS('Estimates'!$A$5:$A$2004,$A63,'Estimates'!$B$5:$B$2004,"PPS",'Estimates'!$D$5:$D$2004,'Status'!$G$6,'Estimates'!$H$5:$H$2004,1,'Estimates'!$E$5:$E$2004,'Status'!$E$7)&gt;1,"DUP",IF(COUNTIFS('Estimates'!$A$5:$A$2004,$A63,'Estimates'!$B$5:$B$2004,"PPS",'Estimates'!$D$5:$D$2004,'Status'!$G$6,'Estimates'!$H$5:$H$2004,1,'Estimates'!$E$5:$E$2004,'Status'!$E$7,'Estimates'!$F$5:$F$2004,"&lt;&gt;")=0,"",SUMIFS('Estimates'!$F$5:$F$2004,'Estimates'!$A$5:$A$2004,$A63,'Estimates'!$B$5:$B$2004,"PPS",'Estimates'!$D$5:$D$2004,'Status'!$G$6,'Estimates'!$H$5:$H$2004,1,'Estimates'!$E$5:$E$2004,'Status'!$E$7)))))</x:f>
      </x:c>
      <x:c r="M63" s="13" t="str">
        <x:f>IF(AND(ISNUMBER(J63),ISNUMBER(K63)),K63-J63,"")</x:f>
      </x:c>
      <x:c r="N63" s="13" t="str">
        <x:f>IF(AND(ISNUMBER(K63),ISNUMBER(L63)),L63-K63,"")</x:f>
      </x:c>
      <x:c r="O63" s="13" t="str">
        <x:f>IF(AND(COUNT(J63:L63)=3,COUNT('Status'!$E$6:$G$6)=3,'Status'!$E$6&gt;'Status'!$F$6,'Status'!$F$6&gt;'Status'!$G$6,'Status'!$G$6&gt;0),ABS(L63-(K63+(K63-J63)*('Status'!$G$6-'Status'!$F$6)/('Status'!$F$6-'Status'!$E$6))),"")</x:f>
      </x:c>
      <x:c r="P63" s="13" t="str">
        <x:f>IF(AND(COUNT(J63:L63)=3,COUNT('Status'!$E$6:$G$6)=3,'Status'!$E$6&gt;'Status'!$F$6,'Status'!$F$6&gt;'Status'!$G$6,'Status'!$G$6&gt;0),('Status'!$F$6*L63-'Status'!$G$6*K63)/('Status'!$F$6-'Status'!$G$6),"")</x:f>
      </x:c>
      <x:c r="Q63" s="20"/>
      <x:c r="R63" s="13" t="str">
        <x:f>IF(COUNTA($A63)=0,"",IF('Status'!$B$6="MPS 1",IF(ISNUMBER(C63),C63,""),IF('Status'!$B$6="MPS 2",IF(ISNUMBER(D63),D63,""),IF('Status'!$B$6="MPS 3",IF(ISNUMBER(E63),E63,""),IF('Status'!$B$6="MPS extrap",IF(ISNUMBER(I63),I63,""),IF('Status'!$B$6="PPS 1",IF(ISNUMBER(J63),J63,""),IF('Status'!$B$6="PPS 2",IF(ISNUMBER(K63),K63,""),IF('Status'!$B$6="PPS 3",IF(ISNUMBER(L63),L63,""),IF('Status'!$B$6="PPS extrap",IF(ISNUMBER(P63),P63,""),IF('Status'!$B$6="Calibrated",IF(ISNUMBER(Q63),Q63,""),""))))))))))</x:f>
      </x:c>
      <x:c r="S63" s="2" t="str">
        <x:f>IF(COUNTA(A63)=0,"",IF(COUNTIFS('Estimates'!$A$5:$A$2004,A63,'Estimates'!$B$5:$B$2004,"MPS",'Estimates'!$H$5:$H$2004,1)+COUNTIFS('Estimates'!$A$5:$A$2004,A63,'Estimates'!$B$5:$B$2004,"PPS",'Estimates'!$H$5:$H$2004,1)&gt;0,1,0))</x:f>
      </x:c>
      <x:c r="T63" s="2" t="str">
        <x:f>IF(COUNTA(A63)=0,"",IF(COUNTIFS($A$6:$A$165,A63)&gt;1,"Duplicate target",IF(COUNTIFS(C63:E63,"DUP")+COUNTIFS(J63:L63,"DUP")&gt;0,"Duplicate accepted run",IF(COUNTIFS('Estimates'!$A$5:$A$2004,A63,'Estimates'!$H$5:$H$2004,1)-COUNTIFS('Estimates'!$A$5:$A$2004,A63,'Estimates'!$H$5:$H$2004,1,'Estimates'!$F$5:$F$2004,"&lt;&gt;")&gt;0,"Accepted value missing",""))))</x:f>
      </x:c>
    </x:row>
    <x:row r="64">
      <x:c r="A64" s="21"/>
      <x:c r="B64" s="19"/>
      <x:c r="C64" s="13" t="str">
        <x:f>IF(OR(COUNTA($A64)=0,NOT(ISNUMBER('Status'!$E$5))),"",IF(COUNTIFS('Estimates'!$A$5:$A$2004,$A64,'Estimates'!$B$5:$B$2004,"MPS",'Estimates'!$C$5:$C$2004,'Status'!$E$5,'Estimates'!$H$5:$H$2004,1)=0,"",IF(COUNTIFS('Estimates'!$A$5:$A$2004,$A64,'Estimates'!$B$5:$B$2004,"MPS",'Estimates'!$C$5:$C$2004,'Status'!$E$5,'Estimates'!$H$5:$H$2004,1)&gt;1,"DUP",IF(COUNTIFS('Estimates'!$A$5:$A$2004,$A64,'Estimates'!$B$5:$B$2004,"MPS",'Estimates'!$C$5:$C$2004,'Status'!$E$5,'Estimates'!$H$5:$H$2004,1,'Estimates'!$F$5:$F$2004,"&lt;&gt;")=0,"",SUMIFS('Estimates'!$F$5:$F$2004,'Estimates'!$A$5:$A$2004,$A64,'Estimates'!$B$5:$B$2004,"MPS",'Estimates'!$C$5:$C$2004,'Status'!$E$5,'Estimates'!$H$5:$H$2004,1)))))</x:f>
      </x:c>
      <x:c r="D64" s="13" t="str">
        <x:f>IF(OR(COUNTA($A64)=0,NOT(ISNUMBER('Status'!$F$5))),"",IF(COUNTIFS('Estimates'!$A$5:$A$2004,$A64,'Estimates'!$B$5:$B$2004,"MPS",'Estimates'!$C$5:$C$2004,'Status'!$F$5,'Estimates'!$H$5:$H$2004,1)=0,"",IF(COUNTIFS('Estimates'!$A$5:$A$2004,$A64,'Estimates'!$B$5:$B$2004,"MPS",'Estimates'!$C$5:$C$2004,'Status'!$F$5,'Estimates'!$H$5:$H$2004,1)&gt;1,"DUP",IF(COUNTIFS('Estimates'!$A$5:$A$2004,$A64,'Estimates'!$B$5:$B$2004,"MPS",'Estimates'!$C$5:$C$2004,'Status'!$F$5,'Estimates'!$H$5:$H$2004,1,'Estimates'!$F$5:$F$2004,"&lt;&gt;")=0,"",SUMIFS('Estimates'!$F$5:$F$2004,'Estimates'!$A$5:$A$2004,$A64,'Estimates'!$B$5:$B$2004,"MPS",'Estimates'!$C$5:$C$2004,'Status'!$F$5,'Estimates'!$H$5:$H$2004,1)))))</x:f>
      </x:c>
      <x:c r="E64" s="13" t="str">
        <x:f>IF(OR(COUNTA($A64)=0,NOT(ISNUMBER('Status'!$G$5))),"",IF(COUNTIFS('Estimates'!$A$5:$A$2004,$A64,'Estimates'!$B$5:$B$2004,"MPS",'Estimates'!$C$5:$C$2004,'Status'!$G$5,'Estimates'!$H$5:$H$2004,1)=0,"",IF(COUNTIFS('Estimates'!$A$5:$A$2004,$A64,'Estimates'!$B$5:$B$2004,"MPS",'Estimates'!$C$5:$C$2004,'Status'!$G$5,'Estimates'!$H$5:$H$2004,1)&gt;1,"DUP",IF(COUNTIFS('Estimates'!$A$5:$A$2004,$A64,'Estimates'!$B$5:$B$2004,"MPS",'Estimates'!$C$5:$C$2004,'Status'!$G$5,'Estimates'!$H$5:$H$2004,1,'Estimates'!$F$5:$F$2004,"&lt;&gt;")=0,"",SUMIFS('Estimates'!$F$5:$F$2004,'Estimates'!$A$5:$A$2004,$A64,'Estimates'!$B$5:$B$2004,"MPS",'Estimates'!$C$5:$C$2004,'Status'!$G$5,'Estimates'!$H$5:$H$2004,1)))))</x:f>
      </x:c>
      <x:c r="F64" s="13" t="str">
        <x:f>IF(AND(ISNUMBER(C64),ISNUMBER(D64)),D64-C64,"")</x:f>
      </x:c>
      <x:c r="G64" s="13" t="str">
        <x:f>IF(AND(ISNUMBER(D64),ISNUMBER(E64)),E64-D64,"")</x:f>
      </x:c>
      <x:c r="H64" s="13" t="str">
        <x:f>IF(AND(COUNT(C64:E64)=3,COUNT('Status'!$E$5:$G$5)=3,'Status'!$E$5&gt;0,'Status'!$E$5&lt;'Status'!$F$5,'Status'!$F$5&lt;'Status'!$G$5),ABS(E64-(D64+(D64-C64)*((1/'Status'!$G$5)-(1/'Status'!$F$5))/((1/'Status'!$F$5)-(1/'Status'!$E$5)))),"")</x:f>
      </x:c>
      <x:c r="I64" s="13" t="str">
        <x:f>IF(AND(COUNT(C64:E64)=3,COUNT('Status'!$E$5:$G$5)=3,'Status'!$E$5&gt;0,'Status'!$E$5&lt;'Status'!$F$5,'Status'!$F$5&lt;'Status'!$G$5),((1/'Status'!$F$5)*E64-(1/'Status'!$G$5)*D64)/((1/'Status'!$F$5)-(1/'Status'!$G$5)),"")</x:f>
      </x:c>
      <x:c r="J64" s="13" t="str">
        <x:f>IF(OR(COUNTA($A64)=0,NOT(ISNUMBER('Status'!$E$6))),"",IF(COUNTIFS('Estimates'!$A$5:$A$2004,$A64,'Estimates'!$B$5:$B$2004,"PPS",'Estimates'!$D$5:$D$2004,'Status'!$E$6,'Estimates'!$H$5:$H$2004,1,'Estimates'!$E$5:$E$2004,'Status'!$E$7)=0,"",IF(COUNTIFS('Estimates'!$A$5:$A$2004,$A64,'Estimates'!$B$5:$B$2004,"PPS",'Estimates'!$D$5:$D$2004,'Status'!$E$6,'Estimates'!$H$5:$H$2004,1,'Estimates'!$E$5:$E$2004,'Status'!$E$7)&gt;1,"DUP",IF(COUNTIFS('Estimates'!$A$5:$A$2004,$A64,'Estimates'!$B$5:$B$2004,"PPS",'Estimates'!$D$5:$D$2004,'Status'!$E$6,'Estimates'!$H$5:$H$2004,1,'Estimates'!$E$5:$E$2004,'Status'!$E$7,'Estimates'!$F$5:$F$2004,"&lt;&gt;")=0,"",SUMIFS('Estimates'!$F$5:$F$2004,'Estimates'!$A$5:$A$2004,$A64,'Estimates'!$B$5:$B$2004,"PPS",'Estimates'!$D$5:$D$2004,'Status'!$E$6,'Estimates'!$H$5:$H$2004,1,'Estimates'!$E$5:$E$2004,'Status'!$E$7)))))</x:f>
      </x:c>
      <x:c r="K64" s="13" t="str">
        <x:f>IF(OR(COUNTA($A64)=0,NOT(ISNUMBER('Status'!$F$6))),"",IF(COUNTIFS('Estimates'!$A$5:$A$2004,$A64,'Estimates'!$B$5:$B$2004,"PPS",'Estimates'!$D$5:$D$2004,'Status'!$F$6,'Estimates'!$H$5:$H$2004,1,'Estimates'!$E$5:$E$2004,'Status'!$E$7)=0,"",IF(COUNTIFS('Estimates'!$A$5:$A$2004,$A64,'Estimates'!$B$5:$B$2004,"PPS",'Estimates'!$D$5:$D$2004,'Status'!$F$6,'Estimates'!$H$5:$H$2004,1,'Estimates'!$E$5:$E$2004,'Status'!$E$7)&gt;1,"DUP",IF(COUNTIFS('Estimates'!$A$5:$A$2004,$A64,'Estimates'!$B$5:$B$2004,"PPS",'Estimates'!$D$5:$D$2004,'Status'!$F$6,'Estimates'!$H$5:$H$2004,1,'Estimates'!$E$5:$E$2004,'Status'!$E$7,'Estimates'!$F$5:$F$2004,"&lt;&gt;")=0,"",SUMIFS('Estimates'!$F$5:$F$2004,'Estimates'!$A$5:$A$2004,$A64,'Estimates'!$B$5:$B$2004,"PPS",'Estimates'!$D$5:$D$2004,'Status'!$F$6,'Estimates'!$H$5:$H$2004,1,'Estimates'!$E$5:$E$2004,'Status'!$E$7)))))</x:f>
      </x:c>
      <x:c r="L64" s="13" t="str">
        <x:f>IF(OR(COUNTA($A64)=0,NOT(ISNUMBER('Status'!$G$6))),"",IF(COUNTIFS('Estimates'!$A$5:$A$2004,$A64,'Estimates'!$B$5:$B$2004,"PPS",'Estimates'!$D$5:$D$2004,'Status'!$G$6,'Estimates'!$H$5:$H$2004,1,'Estimates'!$E$5:$E$2004,'Status'!$E$7)=0,"",IF(COUNTIFS('Estimates'!$A$5:$A$2004,$A64,'Estimates'!$B$5:$B$2004,"PPS",'Estimates'!$D$5:$D$2004,'Status'!$G$6,'Estimates'!$H$5:$H$2004,1,'Estimates'!$E$5:$E$2004,'Status'!$E$7)&gt;1,"DUP",IF(COUNTIFS('Estimates'!$A$5:$A$2004,$A64,'Estimates'!$B$5:$B$2004,"PPS",'Estimates'!$D$5:$D$2004,'Status'!$G$6,'Estimates'!$H$5:$H$2004,1,'Estimates'!$E$5:$E$2004,'Status'!$E$7,'Estimates'!$F$5:$F$2004,"&lt;&gt;")=0,"",SUMIFS('Estimates'!$F$5:$F$2004,'Estimates'!$A$5:$A$2004,$A64,'Estimates'!$B$5:$B$2004,"PPS",'Estimates'!$D$5:$D$2004,'Status'!$G$6,'Estimates'!$H$5:$H$2004,1,'Estimates'!$E$5:$E$2004,'Status'!$E$7)))))</x:f>
      </x:c>
      <x:c r="M64" s="13" t="str">
        <x:f>IF(AND(ISNUMBER(J64),ISNUMBER(K64)),K64-J64,"")</x:f>
      </x:c>
      <x:c r="N64" s="13" t="str">
        <x:f>IF(AND(ISNUMBER(K64),ISNUMBER(L64)),L64-K64,"")</x:f>
      </x:c>
      <x:c r="O64" s="13" t="str">
        <x:f>IF(AND(COUNT(J64:L64)=3,COUNT('Status'!$E$6:$G$6)=3,'Status'!$E$6&gt;'Status'!$F$6,'Status'!$F$6&gt;'Status'!$G$6,'Status'!$G$6&gt;0),ABS(L64-(K64+(K64-J64)*('Status'!$G$6-'Status'!$F$6)/('Status'!$F$6-'Status'!$E$6))),"")</x:f>
      </x:c>
      <x:c r="P64" s="13" t="str">
        <x:f>IF(AND(COUNT(J64:L64)=3,COUNT('Status'!$E$6:$G$6)=3,'Status'!$E$6&gt;'Status'!$F$6,'Status'!$F$6&gt;'Status'!$G$6,'Status'!$G$6&gt;0),('Status'!$F$6*L64-'Status'!$G$6*K64)/('Status'!$F$6-'Status'!$G$6),"")</x:f>
      </x:c>
      <x:c r="Q64" s="20"/>
      <x:c r="R64" s="13" t="str">
        <x:f>IF(COUNTA($A64)=0,"",IF('Status'!$B$6="MPS 1",IF(ISNUMBER(C64),C64,""),IF('Status'!$B$6="MPS 2",IF(ISNUMBER(D64),D64,""),IF('Status'!$B$6="MPS 3",IF(ISNUMBER(E64),E64,""),IF('Status'!$B$6="MPS extrap",IF(ISNUMBER(I64),I64,""),IF('Status'!$B$6="PPS 1",IF(ISNUMBER(J64),J64,""),IF('Status'!$B$6="PPS 2",IF(ISNUMBER(K64),K64,""),IF('Status'!$B$6="PPS 3",IF(ISNUMBER(L64),L64,""),IF('Status'!$B$6="PPS extrap",IF(ISNUMBER(P64),P64,""),IF('Status'!$B$6="Calibrated",IF(ISNUMBER(Q64),Q64,""),""))))))))))</x:f>
      </x:c>
      <x:c r="S64" s="2" t="str">
        <x:f>IF(COUNTA(A64)=0,"",IF(COUNTIFS('Estimates'!$A$5:$A$2004,A64,'Estimates'!$B$5:$B$2004,"MPS",'Estimates'!$H$5:$H$2004,1)+COUNTIFS('Estimates'!$A$5:$A$2004,A64,'Estimates'!$B$5:$B$2004,"PPS",'Estimates'!$H$5:$H$2004,1)&gt;0,1,0))</x:f>
      </x:c>
      <x:c r="T64" s="2" t="str">
        <x:f>IF(COUNTA(A64)=0,"",IF(COUNTIFS($A$6:$A$165,A64)&gt;1,"Duplicate target",IF(COUNTIFS(C64:E64,"DUP")+COUNTIFS(J64:L64,"DUP")&gt;0,"Duplicate accepted run",IF(COUNTIFS('Estimates'!$A$5:$A$2004,A64,'Estimates'!$H$5:$H$2004,1)-COUNTIFS('Estimates'!$A$5:$A$2004,A64,'Estimates'!$H$5:$H$2004,1,'Estimates'!$F$5:$F$2004,"&lt;&gt;")&gt;0,"Accepted value missing",""))))</x:f>
      </x:c>
    </x:row>
    <x:row r="65">
      <x:c r="A65" s="21"/>
      <x:c r="B65" s="19"/>
      <x:c r="C65" s="13" t="str">
        <x:f>IF(OR(COUNTA($A65)=0,NOT(ISNUMBER('Status'!$E$5))),"",IF(COUNTIFS('Estimates'!$A$5:$A$2004,$A65,'Estimates'!$B$5:$B$2004,"MPS",'Estimates'!$C$5:$C$2004,'Status'!$E$5,'Estimates'!$H$5:$H$2004,1)=0,"",IF(COUNTIFS('Estimates'!$A$5:$A$2004,$A65,'Estimates'!$B$5:$B$2004,"MPS",'Estimates'!$C$5:$C$2004,'Status'!$E$5,'Estimates'!$H$5:$H$2004,1)&gt;1,"DUP",IF(COUNTIFS('Estimates'!$A$5:$A$2004,$A65,'Estimates'!$B$5:$B$2004,"MPS",'Estimates'!$C$5:$C$2004,'Status'!$E$5,'Estimates'!$H$5:$H$2004,1,'Estimates'!$F$5:$F$2004,"&lt;&gt;")=0,"",SUMIFS('Estimates'!$F$5:$F$2004,'Estimates'!$A$5:$A$2004,$A65,'Estimates'!$B$5:$B$2004,"MPS",'Estimates'!$C$5:$C$2004,'Status'!$E$5,'Estimates'!$H$5:$H$2004,1)))))</x:f>
      </x:c>
      <x:c r="D65" s="13" t="str">
        <x:f>IF(OR(COUNTA($A65)=0,NOT(ISNUMBER('Status'!$F$5))),"",IF(COUNTIFS('Estimates'!$A$5:$A$2004,$A65,'Estimates'!$B$5:$B$2004,"MPS",'Estimates'!$C$5:$C$2004,'Status'!$F$5,'Estimates'!$H$5:$H$2004,1)=0,"",IF(COUNTIFS('Estimates'!$A$5:$A$2004,$A65,'Estimates'!$B$5:$B$2004,"MPS",'Estimates'!$C$5:$C$2004,'Status'!$F$5,'Estimates'!$H$5:$H$2004,1)&gt;1,"DUP",IF(COUNTIFS('Estimates'!$A$5:$A$2004,$A65,'Estimates'!$B$5:$B$2004,"MPS",'Estimates'!$C$5:$C$2004,'Status'!$F$5,'Estimates'!$H$5:$H$2004,1,'Estimates'!$F$5:$F$2004,"&lt;&gt;")=0,"",SUMIFS('Estimates'!$F$5:$F$2004,'Estimates'!$A$5:$A$2004,$A65,'Estimates'!$B$5:$B$2004,"MPS",'Estimates'!$C$5:$C$2004,'Status'!$F$5,'Estimates'!$H$5:$H$2004,1)))))</x:f>
      </x:c>
      <x:c r="E65" s="13" t="str">
        <x:f>IF(OR(COUNTA($A65)=0,NOT(ISNUMBER('Status'!$G$5))),"",IF(COUNTIFS('Estimates'!$A$5:$A$2004,$A65,'Estimates'!$B$5:$B$2004,"MPS",'Estimates'!$C$5:$C$2004,'Status'!$G$5,'Estimates'!$H$5:$H$2004,1)=0,"",IF(COUNTIFS('Estimates'!$A$5:$A$2004,$A65,'Estimates'!$B$5:$B$2004,"MPS",'Estimates'!$C$5:$C$2004,'Status'!$G$5,'Estimates'!$H$5:$H$2004,1)&gt;1,"DUP",IF(COUNTIFS('Estimates'!$A$5:$A$2004,$A65,'Estimates'!$B$5:$B$2004,"MPS",'Estimates'!$C$5:$C$2004,'Status'!$G$5,'Estimates'!$H$5:$H$2004,1,'Estimates'!$F$5:$F$2004,"&lt;&gt;")=0,"",SUMIFS('Estimates'!$F$5:$F$2004,'Estimates'!$A$5:$A$2004,$A65,'Estimates'!$B$5:$B$2004,"MPS",'Estimates'!$C$5:$C$2004,'Status'!$G$5,'Estimates'!$H$5:$H$2004,1)))))</x:f>
      </x:c>
      <x:c r="F65" s="13" t="str">
        <x:f>IF(AND(ISNUMBER(C65),ISNUMBER(D65)),D65-C65,"")</x:f>
      </x:c>
      <x:c r="G65" s="13" t="str">
        <x:f>IF(AND(ISNUMBER(D65),ISNUMBER(E65)),E65-D65,"")</x:f>
      </x:c>
      <x:c r="H65" s="13" t="str">
        <x:f>IF(AND(COUNT(C65:E65)=3,COUNT('Status'!$E$5:$G$5)=3,'Status'!$E$5&gt;0,'Status'!$E$5&lt;'Status'!$F$5,'Status'!$F$5&lt;'Status'!$G$5),ABS(E65-(D65+(D65-C65)*((1/'Status'!$G$5)-(1/'Status'!$F$5))/((1/'Status'!$F$5)-(1/'Status'!$E$5)))),"")</x:f>
      </x:c>
      <x:c r="I65" s="13" t="str">
        <x:f>IF(AND(COUNT(C65:E65)=3,COUNT('Status'!$E$5:$G$5)=3,'Status'!$E$5&gt;0,'Status'!$E$5&lt;'Status'!$F$5,'Status'!$F$5&lt;'Status'!$G$5),((1/'Status'!$F$5)*E65-(1/'Status'!$G$5)*D65)/((1/'Status'!$F$5)-(1/'Status'!$G$5)),"")</x:f>
      </x:c>
      <x:c r="J65" s="13" t="str">
        <x:f>IF(OR(COUNTA($A65)=0,NOT(ISNUMBER('Status'!$E$6))),"",IF(COUNTIFS('Estimates'!$A$5:$A$2004,$A65,'Estimates'!$B$5:$B$2004,"PPS",'Estimates'!$D$5:$D$2004,'Status'!$E$6,'Estimates'!$H$5:$H$2004,1,'Estimates'!$E$5:$E$2004,'Status'!$E$7)=0,"",IF(COUNTIFS('Estimates'!$A$5:$A$2004,$A65,'Estimates'!$B$5:$B$2004,"PPS",'Estimates'!$D$5:$D$2004,'Status'!$E$6,'Estimates'!$H$5:$H$2004,1,'Estimates'!$E$5:$E$2004,'Status'!$E$7)&gt;1,"DUP",IF(COUNTIFS('Estimates'!$A$5:$A$2004,$A65,'Estimates'!$B$5:$B$2004,"PPS",'Estimates'!$D$5:$D$2004,'Status'!$E$6,'Estimates'!$H$5:$H$2004,1,'Estimates'!$E$5:$E$2004,'Status'!$E$7,'Estimates'!$F$5:$F$2004,"&lt;&gt;")=0,"",SUMIFS('Estimates'!$F$5:$F$2004,'Estimates'!$A$5:$A$2004,$A65,'Estimates'!$B$5:$B$2004,"PPS",'Estimates'!$D$5:$D$2004,'Status'!$E$6,'Estimates'!$H$5:$H$2004,1,'Estimates'!$E$5:$E$2004,'Status'!$E$7)))))</x:f>
      </x:c>
      <x:c r="K65" s="13" t="str">
        <x:f>IF(OR(COUNTA($A65)=0,NOT(ISNUMBER('Status'!$F$6))),"",IF(COUNTIFS('Estimates'!$A$5:$A$2004,$A65,'Estimates'!$B$5:$B$2004,"PPS",'Estimates'!$D$5:$D$2004,'Status'!$F$6,'Estimates'!$H$5:$H$2004,1,'Estimates'!$E$5:$E$2004,'Status'!$E$7)=0,"",IF(COUNTIFS('Estimates'!$A$5:$A$2004,$A65,'Estimates'!$B$5:$B$2004,"PPS",'Estimates'!$D$5:$D$2004,'Status'!$F$6,'Estimates'!$H$5:$H$2004,1,'Estimates'!$E$5:$E$2004,'Status'!$E$7)&gt;1,"DUP",IF(COUNTIFS('Estimates'!$A$5:$A$2004,$A65,'Estimates'!$B$5:$B$2004,"PPS",'Estimates'!$D$5:$D$2004,'Status'!$F$6,'Estimates'!$H$5:$H$2004,1,'Estimates'!$E$5:$E$2004,'Status'!$E$7,'Estimates'!$F$5:$F$2004,"&lt;&gt;")=0,"",SUMIFS('Estimates'!$F$5:$F$2004,'Estimates'!$A$5:$A$2004,$A65,'Estimates'!$B$5:$B$2004,"PPS",'Estimates'!$D$5:$D$2004,'Status'!$F$6,'Estimates'!$H$5:$H$2004,1,'Estimates'!$E$5:$E$2004,'Status'!$E$7)))))</x:f>
      </x:c>
      <x:c r="L65" s="13" t="str">
        <x:f>IF(OR(COUNTA($A65)=0,NOT(ISNUMBER('Status'!$G$6))),"",IF(COUNTIFS('Estimates'!$A$5:$A$2004,$A65,'Estimates'!$B$5:$B$2004,"PPS",'Estimates'!$D$5:$D$2004,'Status'!$G$6,'Estimates'!$H$5:$H$2004,1,'Estimates'!$E$5:$E$2004,'Status'!$E$7)=0,"",IF(COUNTIFS('Estimates'!$A$5:$A$2004,$A65,'Estimates'!$B$5:$B$2004,"PPS",'Estimates'!$D$5:$D$2004,'Status'!$G$6,'Estimates'!$H$5:$H$2004,1,'Estimates'!$E$5:$E$2004,'Status'!$E$7)&gt;1,"DUP",IF(COUNTIFS('Estimates'!$A$5:$A$2004,$A65,'Estimates'!$B$5:$B$2004,"PPS",'Estimates'!$D$5:$D$2004,'Status'!$G$6,'Estimates'!$H$5:$H$2004,1,'Estimates'!$E$5:$E$2004,'Status'!$E$7,'Estimates'!$F$5:$F$2004,"&lt;&gt;")=0,"",SUMIFS('Estimates'!$F$5:$F$2004,'Estimates'!$A$5:$A$2004,$A65,'Estimates'!$B$5:$B$2004,"PPS",'Estimates'!$D$5:$D$2004,'Status'!$G$6,'Estimates'!$H$5:$H$2004,1,'Estimates'!$E$5:$E$2004,'Status'!$E$7)))))</x:f>
      </x:c>
      <x:c r="M65" s="13" t="str">
        <x:f>IF(AND(ISNUMBER(J65),ISNUMBER(K65)),K65-J65,"")</x:f>
      </x:c>
      <x:c r="N65" s="13" t="str">
        <x:f>IF(AND(ISNUMBER(K65),ISNUMBER(L65)),L65-K65,"")</x:f>
      </x:c>
      <x:c r="O65" s="13" t="str">
        <x:f>IF(AND(COUNT(J65:L65)=3,COUNT('Status'!$E$6:$G$6)=3,'Status'!$E$6&gt;'Status'!$F$6,'Status'!$F$6&gt;'Status'!$G$6,'Status'!$G$6&gt;0),ABS(L65-(K65+(K65-J65)*('Status'!$G$6-'Status'!$F$6)/('Status'!$F$6-'Status'!$E$6))),"")</x:f>
      </x:c>
      <x:c r="P65" s="13" t="str">
        <x:f>IF(AND(COUNT(J65:L65)=3,COUNT('Status'!$E$6:$G$6)=3,'Status'!$E$6&gt;'Status'!$F$6,'Status'!$F$6&gt;'Status'!$G$6,'Status'!$G$6&gt;0),('Status'!$F$6*L65-'Status'!$G$6*K65)/('Status'!$F$6-'Status'!$G$6),"")</x:f>
      </x:c>
      <x:c r="Q65" s="20"/>
      <x:c r="R65" s="13" t="str">
        <x:f>IF(COUNTA($A65)=0,"",IF('Status'!$B$6="MPS 1",IF(ISNUMBER(C65),C65,""),IF('Status'!$B$6="MPS 2",IF(ISNUMBER(D65),D65,""),IF('Status'!$B$6="MPS 3",IF(ISNUMBER(E65),E65,""),IF('Status'!$B$6="MPS extrap",IF(ISNUMBER(I65),I65,""),IF('Status'!$B$6="PPS 1",IF(ISNUMBER(J65),J65,""),IF('Status'!$B$6="PPS 2",IF(ISNUMBER(K65),K65,""),IF('Status'!$B$6="PPS 3",IF(ISNUMBER(L65),L65,""),IF('Status'!$B$6="PPS extrap",IF(ISNUMBER(P65),P65,""),IF('Status'!$B$6="Calibrated",IF(ISNUMBER(Q65),Q65,""),""))))))))))</x:f>
      </x:c>
      <x:c r="S65" s="2" t="str">
        <x:f>IF(COUNTA(A65)=0,"",IF(COUNTIFS('Estimates'!$A$5:$A$2004,A65,'Estimates'!$B$5:$B$2004,"MPS",'Estimates'!$H$5:$H$2004,1)+COUNTIFS('Estimates'!$A$5:$A$2004,A65,'Estimates'!$B$5:$B$2004,"PPS",'Estimates'!$H$5:$H$2004,1)&gt;0,1,0))</x:f>
      </x:c>
      <x:c r="T65" s="2" t="str">
        <x:f>IF(COUNTA(A65)=0,"",IF(COUNTIFS($A$6:$A$165,A65)&gt;1,"Duplicate target",IF(COUNTIFS(C65:E65,"DUP")+COUNTIFS(J65:L65,"DUP")&gt;0,"Duplicate accepted run",IF(COUNTIFS('Estimates'!$A$5:$A$2004,A65,'Estimates'!$H$5:$H$2004,1)-COUNTIFS('Estimates'!$A$5:$A$2004,A65,'Estimates'!$H$5:$H$2004,1,'Estimates'!$F$5:$F$2004,"&lt;&gt;")&gt;0,"Accepted value missing",""))))</x:f>
      </x:c>
    </x:row>
    <x:row r="66">
      <x:c r="A66" s="21"/>
      <x:c r="B66" s="19"/>
      <x:c r="C66" s="13" t="str">
        <x:f>IF(OR(COUNTA($A66)=0,NOT(ISNUMBER('Status'!$E$5))),"",IF(COUNTIFS('Estimates'!$A$5:$A$2004,$A66,'Estimates'!$B$5:$B$2004,"MPS",'Estimates'!$C$5:$C$2004,'Status'!$E$5,'Estimates'!$H$5:$H$2004,1)=0,"",IF(COUNTIFS('Estimates'!$A$5:$A$2004,$A66,'Estimates'!$B$5:$B$2004,"MPS",'Estimates'!$C$5:$C$2004,'Status'!$E$5,'Estimates'!$H$5:$H$2004,1)&gt;1,"DUP",IF(COUNTIFS('Estimates'!$A$5:$A$2004,$A66,'Estimates'!$B$5:$B$2004,"MPS",'Estimates'!$C$5:$C$2004,'Status'!$E$5,'Estimates'!$H$5:$H$2004,1,'Estimates'!$F$5:$F$2004,"&lt;&gt;")=0,"",SUMIFS('Estimates'!$F$5:$F$2004,'Estimates'!$A$5:$A$2004,$A66,'Estimates'!$B$5:$B$2004,"MPS",'Estimates'!$C$5:$C$2004,'Status'!$E$5,'Estimates'!$H$5:$H$2004,1)))))</x:f>
      </x:c>
      <x:c r="D66" s="13" t="str">
        <x:f>IF(OR(COUNTA($A66)=0,NOT(ISNUMBER('Status'!$F$5))),"",IF(COUNTIFS('Estimates'!$A$5:$A$2004,$A66,'Estimates'!$B$5:$B$2004,"MPS",'Estimates'!$C$5:$C$2004,'Status'!$F$5,'Estimates'!$H$5:$H$2004,1)=0,"",IF(COUNTIFS('Estimates'!$A$5:$A$2004,$A66,'Estimates'!$B$5:$B$2004,"MPS",'Estimates'!$C$5:$C$2004,'Status'!$F$5,'Estimates'!$H$5:$H$2004,1)&gt;1,"DUP",IF(COUNTIFS('Estimates'!$A$5:$A$2004,$A66,'Estimates'!$B$5:$B$2004,"MPS",'Estimates'!$C$5:$C$2004,'Status'!$F$5,'Estimates'!$H$5:$H$2004,1,'Estimates'!$F$5:$F$2004,"&lt;&gt;")=0,"",SUMIFS('Estimates'!$F$5:$F$2004,'Estimates'!$A$5:$A$2004,$A66,'Estimates'!$B$5:$B$2004,"MPS",'Estimates'!$C$5:$C$2004,'Status'!$F$5,'Estimates'!$H$5:$H$2004,1)))))</x:f>
      </x:c>
      <x:c r="E66" s="13" t="str">
        <x:f>IF(OR(COUNTA($A66)=0,NOT(ISNUMBER('Status'!$G$5))),"",IF(COUNTIFS('Estimates'!$A$5:$A$2004,$A66,'Estimates'!$B$5:$B$2004,"MPS",'Estimates'!$C$5:$C$2004,'Status'!$G$5,'Estimates'!$H$5:$H$2004,1)=0,"",IF(COUNTIFS('Estimates'!$A$5:$A$2004,$A66,'Estimates'!$B$5:$B$2004,"MPS",'Estimates'!$C$5:$C$2004,'Status'!$G$5,'Estimates'!$H$5:$H$2004,1)&gt;1,"DUP",IF(COUNTIFS('Estimates'!$A$5:$A$2004,$A66,'Estimates'!$B$5:$B$2004,"MPS",'Estimates'!$C$5:$C$2004,'Status'!$G$5,'Estimates'!$H$5:$H$2004,1,'Estimates'!$F$5:$F$2004,"&lt;&gt;")=0,"",SUMIFS('Estimates'!$F$5:$F$2004,'Estimates'!$A$5:$A$2004,$A66,'Estimates'!$B$5:$B$2004,"MPS",'Estimates'!$C$5:$C$2004,'Status'!$G$5,'Estimates'!$H$5:$H$2004,1)))))</x:f>
      </x:c>
      <x:c r="F66" s="13" t="str">
        <x:f>IF(AND(ISNUMBER(C66),ISNUMBER(D66)),D66-C66,"")</x:f>
      </x:c>
      <x:c r="G66" s="13" t="str">
        <x:f>IF(AND(ISNUMBER(D66),ISNUMBER(E66)),E66-D66,"")</x:f>
      </x:c>
      <x:c r="H66" s="13" t="str">
        <x:f>IF(AND(COUNT(C66:E66)=3,COUNT('Status'!$E$5:$G$5)=3,'Status'!$E$5&gt;0,'Status'!$E$5&lt;'Status'!$F$5,'Status'!$F$5&lt;'Status'!$G$5),ABS(E66-(D66+(D66-C66)*((1/'Status'!$G$5)-(1/'Status'!$F$5))/((1/'Status'!$F$5)-(1/'Status'!$E$5)))),"")</x:f>
      </x:c>
      <x:c r="I66" s="13" t="str">
        <x:f>IF(AND(COUNT(C66:E66)=3,COUNT('Status'!$E$5:$G$5)=3,'Status'!$E$5&gt;0,'Status'!$E$5&lt;'Status'!$F$5,'Status'!$F$5&lt;'Status'!$G$5),((1/'Status'!$F$5)*E66-(1/'Status'!$G$5)*D66)/((1/'Status'!$F$5)-(1/'Status'!$G$5)),"")</x:f>
      </x:c>
      <x:c r="J66" s="13" t="str">
        <x:f>IF(OR(COUNTA($A66)=0,NOT(ISNUMBER('Status'!$E$6))),"",IF(COUNTIFS('Estimates'!$A$5:$A$2004,$A66,'Estimates'!$B$5:$B$2004,"PPS",'Estimates'!$D$5:$D$2004,'Status'!$E$6,'Estimates'!$H$5:$H$2004,1,'Estimates'!$E$5:$E$2004,'Status'!$E$7)=0,"",IF(COUNTIFS('Estimates'!$A$5:$A$2004,$A66,'Estimates'!$B$5:$B$2004,"PPS",'Estimates'!$D$5:$D$2004,'Status'!$E$6,'Estimates'!$H$5:$H$2004,1,'Estimates'!$E$5:$E$2004,'Status'!$E$7)&gt;1,"DUP",IF(COUNTIFS('Estimates'!$A$5:$A$2004,$A66,'Estimates'!$B$5:$B$2004,"PPS",'Estimates'!$D$5:$D$2004,'Status'!$E$6,'Estimates'!$H$5:$H$2004,1,'Estimates'!$E$5:$E$2004,'Status'!$E$7,'Estimates'!$F$5:$F$2004,"&lt;&gt;")=0,"",SUMIFS('Estimates'!$F$5:$F$2004,'Estimates'!$A$5:$A$2004,$A66,'Estimates'!$B$5:$B$2004,"PPS",'Estimates'!$D$5:$D$2004,'Status'!$E$6,'Estimates'!$H$5:$H$2004,1,'Estimates'!$E$5:$E$2004,'Status'!$E$7)))))</x:f>
      </x:c>
      <x:c r="K66" s="13" t="str">
        <x:f>IF(OR(COUNTA($A66)=0,NOT(ISNUMBER('Status'!$F$6))),"",IF(COUNTIFS('Estimates'!$A$5:$A$2004,$A66,'Estimates'!$B$5:$B$2004,"PPS",'Estimates'!$D$5:$D$2004,'Status'!$F$6,'Estimates'!$H$5:$H$2004,1,'Estimates'!$E$5:$E$2004,'Status'!$E$7)=0,"",IF(COUNTIFS('Estimates'!$A$5:$A$2004,$A66,'Estimates'!$B$5:$B$2004,"PPS",'Estimates'!$D$5:$D$2004,'Status'!$F$6,'Estimates'!$H$5:$H$2004,1,'Estimates'!$E$5:$E$2004,'Status'!$E$7)&gt;1,"DUP",IF(COUNTIFS('Estimates'!$A$5:$A$2004,$A66,'Estimates'!$B$5:$B$2004,"PPS",'Estimates'!$D$5:$D$2004,'Status'!$F$6,'Estimates'!$H$5:$H$2004,1,'Estimates'!$E$5:$E$2004,'Status'!$E$7,'Estimates'!$F$5:$F$2004,"&lt;&gt;")=0,"",SUMIFS('Estimates'!$F$5:$F$2004,'Estimates'!$A$5:$A$2004,$A66,'Estimates'!$B$5:$B$2004,"PPS",'Estimates'!$D$5:$D$2004,'Status'!$F$6,'Estimates'!$H$5:$H$2004,1,'Estimates'!$E$5:$E$2004,'Status'!$E$7)))))</x:f>
      </x:c>
      <x:c r="L66" s="13" t="str">
        <x:f>IF(OR(COUNTA($A66)=0,NOT(ISNUMBER('Status'!$G$6))),"",IF(COUNTIFS('Estimates'!$A$5:$A$2004,$A66,'Estimates'!$B$5:$B$2004,"PPS",'Estimates'!$D$5:$D$2004,'Status'!$G$6,'Estimates'!$H$5:$H$2004,1,'Estimates'!$E$5:$E$2004,'Status'!$E$7)=0,"",IF(COUNTIFS('Estimates'!$A$5:$A$2004,$A66,'Estimates'!$B$5:$B$2004,"PPS",'Estimates'!$D$5:$D$2004,'Status'!$G$6,'Estimates'!$H$5:$H$2004,1,'Estimates'!$E$5:$E$2004,'Status'!$E$7)&gt;1,"DUP",IF(COUNTIFS('Estimates'!$A$5:$A$2004,$A66,'Estimates'!$B$5:$B$2004,"PPS",'Estimates'!$D$5:$D$2004,'Status'!$G$6,'Estimates'!$H$5:$H$2004,1,'Estimates'!$E$5:$E$2004,'Status'!$E$7,'Estimates'!$F$5:$F$2004,"&lt;&gt;")=0,"",SUMIFS('Estimates'!$F$5:$F$2004,'Estimates'!$A$5:$A$2004,$A66,'Estimates'!$B$5:$B$2004,"PPS",'Estimates'!$D$5:$D$2004,'Status'!$G$6,'Estimates'!$H$5:$H$2004,1,'Estimates'!$E$5:$E$2004,'Status'!$E$7)))))</x:f>
      </x:c>
      <x:c r="M66" s="13" t="str">
        <x:f>IF(AND(ISNUMBER(J66),ISNUMBER(K66)),K66-J66,"")</x:f>
      </x:c>
      <x:c r="N66" s="13" t="str">
        <x:f>IF(AND(ISNUMBER(K66),ISNUMBER(L66)),L66-K66,"")</x:f>
      </x:c>
      <x:c r="O66" s="13" t="str">
        <x:f>IF(AND(COUNT(J66:L66)=3,COUNT('Status'!$E$6:$G$6)=3,'Status'!$E$6&gt;'Status'!$F$6,'Status'!$F$6&gt;'Status'!$G$6,'Status'!$G$6&gt;0),ABS(L66-(K66+(K66-J66)*('Status'!$G$6-'Status'!$F$6)/('Status'!$F$6-'Status'!$E$6))),"")</x:f>
      </x:c>
      <x:c r="P66" s="13" t="str">
        <x:f>IF(AND(COUNT(J66:L66)=3,COUNT('Status'!$E$6:$G$6)=3,'Status'!$E$6&gt;'Status'!$F$6,'Status'!$F$6&gt;'Status'!$G$6,'Status'!$G$6&gt;0),('Status'!$F$6*L66-'Status'!$G$6*K66)/('Status'!$F$6-'Status'!$G$6),"")</x:f>
      </x:c>
      <x:c r="Q66" s="20"/>
      <x:c r="R66" s="13" t="str">
        <x:f>IF(COUNTA($A66)=0,"",IF('Status'!$B$6="MPS 1",IF(ISNUMBER(C66),C66,""),IF('Status'!$B$6="MPS 2",IF(ISNUMBER(D66),D66,""),IF('Status'!$B$6="MPS 3",IF(ISNUMBER(E66),E66,""),IF('Status'!$B$6="MPS extrap",IF(ISNUMBER(I66),I66,""),IF('Status'!$B$6="PPS 1",IF(ISNUMBER(J66),J66,""),IF('Status'!$B$6="PPS 2",IF(ISNUMBER(K66),K66,""),IF('Status'!$B$6="PPS 3",IF(ISNUMBER(L66),L66,""),IF('Status'!$B$6="PPS extrap",IF(ISNUMBER(P66),P66,""),IF('Status'!$B$6="Calibrated",IF(ISNUMBER(Q66),Q66,""),""))))))))))</x:f>
      </x:c>
      <x:c r="S66" s="2" t="str">
        <x:f>IF(COUNTA(A66)=0,"",IF(COUNTIFS('Estimates'!$A$5:$A$2004,A66,'Estimates'!$B$5:$B$2004,"MPS",'Estimates'!$H$5:$H$2004,1)+COUNTIFS('Estimates'!$A$5:$A$2004,A66,'Estimates'!$B$5:$B$2004,"PPS",'Estimates'!$H$5:$H$2004,1)&gt;0,1,0))</x:f>
      </x:c>
      <x:c r="T66" s="2" t="str">
        <x:f>IF(COUNTA(A66)=0,"",IF(COUNTIFS($A$6:$A$165,A66)&gt;1,"Duplicate target",IF(COUNTIFS(C66:E66,"DUP")+COUNTIFS(J66:L66,"DUP")&gt;0,"Duplicate accepted run",IF(COUNTIFS('Estimates'!$A$5:$A$2004,A66,'Estimates'!$H$5:$H$2004,1)-COUNTIFS('Estimates'!$A$5:$A$2004,A66,'Estimates'!$H$5:$H$2004,1,'Estimates'!$F$5:$F$2004,"&lt;&gt;")&gt;0,"Accepted value missing",""))))</x:f>
      </x:c>
    </x:row>
    <x:row r="67">
      <x:c r="A67" s="21"/>
      <x:c r="B67" s="19"/>
      <x:c r="C67" s="13" t="str">
        <x:f>IF(OR(COUNTA($A67)=0,NOT(ISNUMBER('Status'!$E$5))),"",IF(COUNTIFS('Estimates'!$A$5:$A$2004,$A67,'Estimates'!$B$5:$B$2004,"MPS",'Estimates'!$C$5:$C$2004,'Status'!$E$5,'Estimates'!$H$5:$H$2004,1)=0,"",IF(COUNTIFS('Estimates'!$A$5:$A$2004,$A67,'Estimates'!$B$5:$B$2004,"MPS",'Estimates'!$C$5:$C$2004,'Status'!$E$5,'Estimates'!$H$5:$H$2004,1)&gt;1,"DUP",IF(COUNTIFS('Estimates'!$A$5:$A$2004,$A67,'Estimates'!$B$5:$B$2004,"MPS",'Estimates'!$C$5:$C$2004,'Status'!$E$5,'Estimates'!$H$5:$H$2004,1,'Estimates'!$F$5:$F$2004,"&lt;&gt;")=0,"",SUMIFS('Estimates'!$F$5:$F$2004,'Estimates'!$A$5:$A$2004,$A67,'Estimates'!$B$5:$B$2004,"MPS",'Estimates'!$C$5:$C$2004,'Status'!$E$5,'Estimates'!$H$5:$H$2004,1)))))</x:f>
      </x:c>
      <x:c r="D67" s="13" t="str">
        <x:f>IF(OR(COUNTA($A67)=0,NOT(ISNUMBER('Status'!$F$5))),"",IF(COUNTIFS('Estimates'!$A$5:$A$2004,$A67,'Estimates'!$B$5:$B$2004,"MPS",'Estimates'!$C$5:$C$2004,'Status'!$F$5,'Estimates'!$H$5:$H$2004,1)=0,"",IF(COUNTIFS('Estimates'!$A$5:$A$2004,$A67,'Estimates'!$B$5:$B$2004,"MPS",'Estimates'!$C$5:$C$2004,'Status'!$F$5,'Estimates'!$H$5:$H$2004,1)&gt;1,"DUP",IF(COUNTIFS('Estimates'!$A$5:$A$2004,$A67,'Estimates'!$B$5:$B$2004,"MPS",'Estimates'!$C$5:$C$2004,'Status'!$F$5,'Estimates'!$H$5:$H$2004,1,'Estimates'!$F$5:$F$2004,"&lt;&gt;")=0,"",SUMIFS('Estimates'!$F$5:$F$2004,'Estimates'!$A$5:$A$2004,$A67,'Estimates'!$B$5:$B$2004,"MPS",'Estimates'!$C$5:$C$2004,'Status'!$F$5,'Estimates'!$H$5:$H$2004,1)))))</x:f>
      </x:c>
      <x:c r="E67" s="13" t="str">
        <x:f>IF(OR(COUNTA($A67)=0,NOT(ISNUMBER('Status'!$G$5))),"",IF(COUNTIFS('Estimates'!$A$5:$A$2004,$A67,'Estimates'!$B$5:$B$2004,"MPS",'Estimates'!$C$5:$C$2004,'Status'!$G$5,'Estimates'!$H$5:$H$2004,1)=0,"",IF(COUNTIFS('Estimates'!$A$5:$A$2004,$A67,'Estimates'!$B$5:$B$2004,"MPS",'Estimates'!$C$5:$C$2004,'Status'!$G$5,'Estimates'!$H$5:$H$2004,1)&gt;1,"DUP",IF(COUNTIFS('Estimates'!$A$5:$A$2004,$A67,'Estimates'!$B$5:$B$2004,"MPS",'Estimates'!$C$5:$C$2004,'Status'!$G$5,'Estimates'!$H$5:$H$2004,1,'Estimates'!$F$5:$F$2004,"&lt;&gt;")=0,"",SUMIFS('Estimates'!$F$5:$F$2004,'Estimates'!$A$5:$A$2004,$A67,'Estimates'!$B$5:$B$2004,"MPS",'Estimates'!$C$5:$C$2004,'Status'!$G$5,'Estimates'!$H$5:$H$2004,1)))))</x:f>
      </x:c>
      <x:c r="F67" s="13" t="str">
        <x:f>IF(AND(ISNUMBER(C67),ISNUMBER(D67)),D67-C67,"")</x:f>
      </x:c>
      <x:c r="G67" s="13" t="str">
        <x:f>IF(AND(ISNUMBER(D67),ISNUMBER(E67)),E67-D67,"")</x:f>
      </x:c>
      <x:c r="H67" s="13" t="str">
        <x:f>IF(AND(COUNT(C67:E67)=3,COUNT('Status'!$E$5:$G$5)=3,'Status'!$E$5&gt;0,'Status'!$E$5&lt;'Status'!$F$5,'Status'!$F$5&lt;'Status'!$G$5),ABS(E67-(D67+(D67-C67)*((1/'Status'!$G$5)-(1/'Status'!$F$5))/((1/'Status'!$F$5)-(1/'Status'!$E$5)))),"")</x:f>
      </x:c>
      <x:c r="I67" s="13" t="str">
        <x:f>IF(AND(COUNT(C67:E67)=3,COUNT('Status'!$E$5:$G$5)=3,'Status'!$E$5&gt;0,'Status'!$E$5&lt;'Status'!$F$5,'Status'!$F$5&lt;'Status'!$G$5),((1/'Status'!$F$5)*E67-(1/'Status'!$G$5)*D67)/((1/'Status'!$F$5)-(1/'Status'!$G$5)),"")</x:f>
      </x:c>
      <x:c r="J67" s="13" t="str">
        <x:f>IF(OR(COUNTA($A67)=0,NOT(ISNUMBER('Status'!$E$6))),"",IF(COUNTIFS('Estimates'!$A$5:$A$2004,$A67,'Estimates'!$B$5:$B$2004,"PPS",'Estimates'!$D$5:$D$2004,'Status'!$E$6,'Estimates'!$H$5:$H$2004,1,'Estimates'!$E$5:$E$2004,'Status'!$E$7)=0,"",IF(COUNTIFS('Estimates'!$A$5:$A$2004,$A67,'Estimates'!$B$5:$B$2004,"PPS",'Estimates'!$D$5:$D$2004,'Status'!$E$6,'Estimates'!$H$5:$H$2004,1,'Estimates'!$E$5:$E$2004,'Status'!$E$7)&gt;1,"DUP",IF(COUNTIFS('Estimates'!$A$5:$A$2004,$A67,'Estimates'!$B$5:$B$2004,"PPS",'Estimates'!$D$5:$D$2004,'Status'!$E$6,'Estimates'!$H$5:$H$2004,1,'Estimates'!$E$5:$E$2004,'Status'!$E$7,'Estimates'!$F$5:$F$2004,"&lt;&gt;")=0,"",SUMIFS('Estimates'!$F$5:$F$2004,'Estimates'!$A$5:$A$2004,$A67,'Estimates'!$B$5:$B$2004,"PPS",'Estimates'!$D$5:$D$2004,'Status'!$E$6,'Estimates'!$H$5:$H$2004,1,'Estimates'!$E$5:$E$2004,'Status'!$E$7)))))</x:f>
      </x:c>
      <x:c r="K67" s="13" t="str">
        <x:f>IF(OR(COUNTA($A67)=0,NOT(ISNUMBER('Status'!$F$6))),"",IF(COUNTIFS('Estimates'!$A$5:$A$2004,$A67,'Estimates'!$B$5:$B$2004,"PPS",'Estimates'!$D$5:$D$2004,'Status'!$F$6,'Estimates'!$H$5:$H$2004,1,'Estimates'!$E$5:$E$2004,'Status'!$E$7)=0,"",IF(COUNTIFS('Estimates'!$A$5:$A$2004,$A67,'Estimates'!$B$5:$B$2004,"PPS",'Estimates'!$D$5:$D$2004,'Status'!$F$6,'Estimates'!$H$5:$H$2004,1,'Estimates'!$E$5:$E$2004,'Status'!$E$7)&gt;1,"DUP",IF(COUNTIFS('Estimates'!$A$5:$A$2004,$A67,'Estimates'!$B$5:$B$2004,"PPS",'Estimates'!$D$5:$D$2004,'Status'!$F$6,'Estimates'!$H$5:$H$2004,1,'Estimates'!$E$5:$E$2004,'Status'!$E$7,'Estimates'!$F$5:$F$2004,"&lt;&gt;")=0,"",SUMIFS('Estimates'!$F$5:$F$2004,'Estimates'!$A$5:$A$2004,$A67,'Estimates'!$B$5:$B$2004,"PPS",'Estimates'!$D$5:$D$2004,'Status'!$F$6,'Estimates'!$H$5:$H$2004,1,'Estimates'!$E$5:$E$2004,'Status'!$E$7)))))</x:f>
      </x:c>
      <x:c r="L67" s="13" t="str">
        <x:f>IF(OR(COUNTA($A67)=0,NOT(ISNUMBER('Status'!$G$6))),"",IF(COUNTIFS('Estimates'!$A$5:$A$2004,$A67,'Estimates'!$B$5:$B$2004,"PPS",'Estimates'!$D$5:$D$2004,'Status'!$G$6,'Estimates'!$H$5:$H$2004,1,'Estimates'!$E$5:$E$2004,'Status'!$E$7)=0,"",IF(COUNTIFS('Estimates'!$A$5:$A$2004,$A67,'Estimates'!$B$5:$B$2004,"PPS",'Estimates'!$D$5:$D$2004,'Status'!$G$6,'Estimates'!$H$5:$H$2004,1,'Estimates'!$E$5:$E$2004,'Status'!$E$7)&gt;1,"DUP",IF(COUNTIFS('Estimates'!$A$5:$A$2004,$A67,'Estimates'!$B$5:$B$2004,"PPS",'Estimates'!$D$5:$D$2004,'Status'!$G$6,'Estimates'!$H$5:$H$2004,1,'Estimates'!$E$5:$E$2004,'Status'!$E$7,'Estimates'!$F$5:$F$2004,"&lt;&gt;")=0,"",SUMIFS('Estimates'!$F$5:$F$2004,'Estimates'!$A$5:$A$2004,$A67,'Estimates'!$B$5:$B$2004,"PPS",'Estimates'!$D$5:$D$2004,'Status'!$G$6,'Estimates'!$H$5:$H$2004,1,'Estimates'!$E$5:$E$2004,'Status'!$E$7)))))</x:f>
      </x:c>
      <x:c r="M67" s="13" t="str">
        <x:f>IF(AND(ISNUMBER(J67),ISNUMBER(K67)),K67-J67,"")</x:f>
      </x:c>
      <x:c r="N67" s="13" t="str">
        <x:f>IF(AND(ISNUMBER(K67),ISNUMBER(L67)),L67-K67,"")</x:f>
      </x:c>
      <x:c r="O67" s="13" t="str">
        <x:f>IF(AND(COUNT(J67:L67)=3,COUNT('Status'!$E$6:$G$6)=3,'Status'!$E$6&gt;'Status'!$F$6,'Status'!$F$6&gt;'Status'!$G$6,'Status'!$G$6&gt;0),ABS(L67-(K67+(K67-J67)*('Status'!$G$6-'Status'!$F$6)/('Status'!$F$6-'Status'!$E$6))),"")</x:f>
      </x:c>
      <x:c r="P67" s="13" t="str">
        <x:f>IF(AND(COUNT(J67:L67)=3,COUNT('Status'!$E$6:$G$6)=3,'Status'!$E$6&gt;'Status'!$F$6,'Status'!$F$6&gt;'Status'!$G$6,'Status'!$G$6&gt;0),('Status'!$F$6*L67-'Status'!$G$6*K67)/('Status'!$F$6-'Status'!$G$6),"")</x:f>
      </x:c>
      <x:c r="Q67" s="20"/>
      <x:c r="R67" s="13" t="str">
        <x:f>IF(COUNTA($A67)=0,"",IF('Status'!$B$6="MPS 1",IF(ISNUMBER(C67),C67,""),IF('Status'!$B$6="MPS 2",IF(ISNUMBER(D67),D67,""),IF('Status'!$B$6="MPS 3",IF(ISNUMBER(E67),E67,""),IF('Status'!$B$6="MPS extrap",IF(ISNUMBER(I67),I67,""),IF('Status'!$B$6="PPS 1",IF(ISNUMBER(J67),J67,""),IF('Status'!$B$6="PPS 2",IF(ISNUMBER(K67),K67,""),IF('Status'!$B$6="PPS 3",IF(ISNUMBER(L67),L67,""),IF('Status'!$B$6="PPS extrap",IF(ISNUMBER(P67),P67,""),IF('Status'!$B$6="Calibrated",IF(ISNUMBER(Q67),Q67,""),""))))))))))</x:f>
      </x:c>
      <x:c r="S67" s="2" t="str">
        <x:f>IF(COUNTA(A67)=0,"",IF(COUNTIFS('Estimates'!$A$5:$A$2004,A67,'Estimates'!$B$5:$B$2004,"MPS",'Estimates'!$H$5:$H$2004,1)+COUNTIFS('Estimates'!$A$5:$A$2004,A67,'Estimates'!$B$5:$B$2004,"PPS",'Estimates'!$H$5:$H$2004,1)&gt;0,1,0))</x:f>
      </x:c>
      <x:c r="T67" s="2" t="str">
        <x:f>IF(COUNTA(A67)=0,"",IF(COUNTIFS($A$6:$A$165,A67)&gt;1,"Duplicate target",IF(COUNTIFS(C67:E67,"DUP")+COUNTIFS(J67:L67,"DUP")&gt;0,"Duplicate accepted run",IF(COUNTIFS('Estimates'!$A$5:$A$2004,A67,'Estimates'!$H$5:$H$2004,1)-COUNTIFS('Estimates'!$A$5:$A$2004,A67,'Estimates'!$H$5:$H$2004,1,'Estimates'!$F$5:$F$2004,"&lt;&gt;")&gt;0,"Accepted value missing",""))))</x:f>
      </x:c>
    </x:row>
    <x:row r="68">
      <x:c r="A68" s="21"/>
      <x:c r="B68" s="19"/>
      <x:c r="C68" s="13" t="str">
        <x:f>IF(OR(COUNTA($A68)=0,NOT(ISNUMBER('Status'!$E$5))),"",IF(COUNTIFS('Estimates'!$A$5:$A$2004,$A68,'Estimates'!$B$5:$B$2004,"MPS",'Estimates'!$C$5:$C$2004,'Status'!$E$5,'Estimates'!$H$5:$H$2004,1)=0,"",IF(COUNTIFS('Estimates'!$A$5:$A$2004,$A68,'Estimates'!$B$5:$B$2004,"MPS",'Estimates'!$C$5:$C$2004,'Status'!$E$5,'Estimates'!$H$5:$H$2004,1)&gt;1,"DUP",IF(COUNTIFS('Estimates'!$A$5:$A$2004,$A68,'Estimates'!$B$5:$B$2004,"MPS",'Estimates'!$C$5:$C$2004,'Status'!$E$5,'Estimates'!$H$5:$H$2004,1,'Estimates'!$F$5:$F$2004,"&lt;&gt;")=0,"",SUMIFS('Estimates'!$F$5:$F$2004,'Estimates'!$A$5:$A$2004,$A68,'Estimates'!$B$5:$B$2004,"MPS",'Estimates'!$C$5:$C$2004,'Status'!$E$5,'Estimates'!$H$5:$H$2004,1)))))</x:f>
      </x:c>
      <x:c r="D68" s="13" t="str">
        <x:f>IF(OR(COUNTA($A68)=0,NOT(ISNUMBER('Status'!$F$5))),"",IF(COUNTIFS('Estimates'!$A$5:$A$2004,$A68,'Estimates'!$B$5:$B$2004,"MPS",'Estimates'!$C$5:$C$2004,'Status'!$F$5,'Estimates'!$H$5:$H$2004,1)=0,"",IF(COUNTIFS('Estimates'!$A$5:$A$2004,$A68,'Estimates'!$B$5:$B$2004,"MPS",'Estimates'!$C$5:$C$2004,'Status'!$F$5,'Estimates'!$H$5:$H$2004,1)&gt;1,"DUP",IF(COUNTIFS('Estimates'!$A$5:$A$2004,$A68,'Estimates'!$B$5:$B$2004,"MPS",'Estimates'!$C$5:$C$2004,'Status'!$F$5,'Estimates'!$H$5:$H$2004,1,'Estimates'!$F$5:$F$2004,"&lt;&gt;")=0,"",SUMIFS('Estimates'!$F$5:$F$2004,'Estimates'!$A$5:$A$2004,$A68,'Estimates'!$B$5:$B$2004,"MPS",'Estimates'!$C$5:$C$2004,'Status'!$F$5,'Estimates'!$H$5:$H$2004,1)))))</x:f>
      </x:c>
      <x:c r="E68" s="13" t="str">
        <x:f>IF(OR(COUNTA($A68)=0,NOT(ISNUMBER('Status'!$G$5))),"",IF(COUNTIFS('Estimates'!$A$5:$A$2004,$A68,'Estimates'!$B$5:$B$2004,"MPS",'Estimates'!$C$5:$C$2004,'Status'!$G$5,'Estimates'!$H$5:$H$2004,1)=0,"",IF(COUNTIFS('Estimates'!$A$5:$A$2004,$A68,'Estimates'!$B$5:$B$2004,"MPS",'Estimates'!$C$5:$C$2004,'Status'!$G$5,'Estimates'!$H$5:$H$2004,1)&gt;1,"DUP",IF(COUNTIFS('Estimates'!$A$5:$A$2004,$A68,'Estimates'!$B$5:$B$2004,"MPS",'Estimates'!$C$5:$C$2004,'Status'!$G$5,'Estimates'!$H$5:$H$2004,1,'Estimates'!$F$5:$F$2004,"&lt;&gt;")=0,"",SUMIFS('Estimates'!$F$5:$F$2004,'Estimates'!$A$5:$A$2004,$A68,'Estimates'!$B$5:$B$2004,"MPS",'Estimates'!$C$5:$C$2004,'Status'!$G$5,'Estimates'!$H$5:$H$2004,1)))))</x:f>
      </x:c>
      <x:c r="F68" s="13" t="str">
        <x:f>IF(AND(ISNUMBER(C68),ISNUMBER(D68)),D68-C68,"")</x:f>
      </x:c>
      <x:c r="G68" s="13" t="str">
        <x:f>IF(AND(ISNUMBER(D68),ISNUMBER(E68)),E68-D68,"")</x:f>
      </x:c>
      <x:c r="H68" s="13" t="str">
        <x:f>IF(AND(COUNT(C68:E68)=3,COUNT('Status'!$E$5:$G$5)=3,'Status'!$E$5&gt;0,'Status'!$E$5&lt;'Status'!$F$5,'Status'!$F$5&lt;'Status'!$G$5),ABS(E68-(D68+(D68-C68)*((1/'Status'!$G$5)-(1/'Status'!$F$5))/((1/'Status'!$F$5)-(1/'Status'!$E$5)))),"")</x:f>
      </x:c>
      <x:c r="I68" s="13" t="str">
        <x:f>IF(AND(COUNT(C68:E68)=3,COUNT('Status'!$E$5:$G$5)=3,'Status'!$E$5&gt;0,'Status'!$E$5&lt;'Status'!$F$5,'Status'!$F$5&lt;'Status'!$G$5),((1/'Status'!$F$5)*E68-(1/'Status'!$G$5)*D68)/((1/'Status'!$F$5)-(1/'Status'!$G$5)),"")</x:f>
      </x:c>
      <x:c r="J68" s="13" t="str">
        <x:f>IF(OR(COUNTA($A68)=0,NOT(ISNUMBER('Status'!$E$6))),"",IF(COUNTIFS('Estimates'!$A$5:$A$2004,$A68,'Estimates'!$B$5:$B$2004,"PPS",'Estimates'!$D$5:$D$2004,'Status'!$E$6,'Estimates'!$H$5:$H$2004,1,'Estimates'!$E$5:$E$2004,'Status'!$E$7)=0,"",IF(COUNTIFS('Estimates'!$A$5:$A$2004,$A68,'Estimates'!$B$5:$B$2004,"PPS",'Estimates'!$D$5:$D$2004,'Status'!$E$6,'Estimates'!$H$5:$H$2004,1,'Estimates'!$E$5:$E$2004,'Status'!$E$7)&gt;1,"DUP",IF(COUNTIFS('Estimates'!$A$5:$A$2004,$A68,'Estimates'!$B$5:$B$2004,"PPS",'Estimates'!$D$5:$D$2004,'Status'!$E$6,'Estimates'!$H$5:$H$2004,1,'Estimates'!$E$5:$E$2004,'Status'!$E$7,'Estimates'!$F$5:$F$2004,"&lt;&gt;")=0,"",SUMIFS('Estimates'!$F$5:$F$2004,'Estimates'!$A$5:$A$2004,$A68,'Estimates'!$B$5:$B$2004,"PPS",'Estimates'!$D$5:$D$2004,'Status'!$E$6,'Estimates'!$H$5:$H$2004,1,'Estimates'!$E$5:$E$2004,'Status'!$E$7)))))</x:f>
      </x:c>
      <x:c r="K68" s="13" t="str">
        <x:f>IF(OR(COUNTA($A68)=0,NOT(ISNUMBER('Status'!$F$6))),"",IF(COUNTIFS('Estimates'!$A$5:$A$2004,$A68,'Estimates'!$B$5:$B$2004,"PPS",'Estimates'!$D$5:$D$2004,'Status'!$F$6,'Estimates'!$H$5:$H$2004,1,'Estimates'!$E$5:$E$2004,'Status'!$E$7)=0,"",IF(COUNTIFS('Estimates'!$A$5:$A$2004,$A68,'Estimates'!$B$5:$B$2004,"PPS",'Estimates'!$D$5:$D$2004,'Status'!$F$6,'Estimates'!$H$5:$H$2004,1,'Estimates'!$E$5:$E$2004,'Status'!$E$7)&gt;1,"DUP",IF(COUNTIFS('Estimates'!$A$5:$A$2004,$A68,'Estimates'!$B$5:$B$2004,"PPS",'Estimates'!$D$5:$D$2004,'Status'!$F$6,'Estimates'!$H$5:$H$2004,1,'Estimates'!$E$5:$E$2004,'Status'!$E$7,'Estimates'!$F$5:$F$2004,"&lt;&gt;")=0,"",SUMIFS('Estimates'!$F$5:$F$2004,'Estimates'!$A$5:$A$2004,$A68,'Estimates'!$B$5:$B$2004,"PPS",'Estimates'!$D$5:$D$2004,'Status'!$F$6,'Estimates'!$H$5:$H$2004,1,'Estimates'!$E$5:$E$2004,'Status'!$E$7)))))</x:f>
      </x:c>
      <x:c r="L68" s="13" t="str">
        <x:f>IF(OR(COUNTA($A68)=0,NOT(ISNUMBER('Status'!$G$6))),"",IF(COUNTIFS('Estimates'!$A$5:$A$2004,$A68,'Estimates'!$B$5:$B$2004,"PPS",'Estimates'!$D$5:$D$2004,'Status'!$G$6,'Estimates'!$H$5:$H$2004,1,'Estimates'!$E$5:$E$2004,'Status'!$E$7)=0,"",IF(COUNTIFS('Estimates'!$A$5:$A$2004,$A68,'Estimates'!$B$5:$B$2004,"PPS",'Estimates'!$D$5:$D$2004,'Status'!$G$6,'Estimates'!$H$5:$H$2004,1,'Estimates'!$E$5:$E$2004,'Status'!$E$7)&gt;1,"DUP",IF(COUNTIFS('Estimates'!$A$5:$A$2004,$A68,'Estimates'!$B$5:$B$2004,"PPS",'Estimates'!$D$5:$D$2004,'Status'!$G$6,'Estimates'!$H$5:$H$2004,1,'Estimates'!$E$5:$E$2004,'Status'!$E$7,'Estimates'!$F$5:$F$2004,"&lt;&gt;")=0,"",SUMIFS('Estimates'!$F$5:$F$2004,'Estimates'!$A$5:$A$2004,$A68,'Estimates'!$B$5:$B$2004,"PPS",'Estimates'!$D$5:$D$2004,'Status'!$G$6,'Estimates'!$H$5:$H$2004,1,'Estimates'!$E$5:$E$2004,'Status'!$E$7)))))</x:f>
      </x:c>
      <x:c r="M68" s="13" t="str">
        <x:f>IF(AND(ISNUMBER(J68),ISNUMBER(K68)),K68-J68,"")</x:f>
      </x:c>
      <x:c r="N68" s="13" t="str">
        <x:f>IF(AND(ISNUMBER(K68),ISNUMBER(L68)),L68-K68,"")</x:f>
      </x:c>
      <x:c r="O68" s="13" t="str">
        <x:f>IF(AND(COUNT(J68:L68)=3,COUNT('Status'!$E$6:$G$6)=3,'Status'!$E$6&gt;'Status'!$F$6,'Status'!$F$6&gt;'Status'!$G$6,'Status'!$G$6&gt;0),ABS(L68-(K68+(K68-J68)*('Status'!$G$6-'Status'!$F$6)/('Status'!$F$6-'Status'!$E$6))),"")</x:f>
      </x:c>
      <x:c r="P68" s="13" t="str">
        <x:f>IF(AND(COUNT(J68:L68)=3,COUNT('Status'!$E$6:$G$6)=3,'Status'!$E$6&gt;'Status'!$F$6,'Status'!$F$6&gt;'Status'!$G$6,'Status'!$G$6&gt;0),('Status'!$F$6*L68-'Status'!$G$6*K68)/('Status'!$F$6-'Status'!$G$6),"")</x:f>
      </x:c>
      <x:c r="Q68" s="20"/>
      <x:c r="R68" s="13" t="str">
        <x:f>IF(COUNTA($A68)=0,"",IF('Status'!$B$6="MPS 1",IF(ISNUMBER(C68),C68,""),IF('Status'!$B$6="MPS 2",IF(ISNUMBER(D68),D68,""),IF('Status'!$B$6="MPS 3",IF(ISNUMBER(E68),E68,""),IF('Status'!$B$6="MPS extrap",IF(ISNUMBER(I68),I68,""),IF('Status'!$B$6="PPS 1",IF(ISNUMBER(J68),J68,""),IF('Status'!$B$6="PPS 2",IF(ISNUMBER(K68),K68,""),IF('Status'!$B$6="PPS 3",IF(ISNUMBER(L68),L68,""),IF('Status'!$B$6="PPS extrap",IF(ISNUMBER(P68),P68,""),IF('Status'!$B$6="Calibrated",IF(ISNUMBER(Q68),Q68,""),""))))))))))</x:f>
      </x:c>
      <x:c r="S68" s="2" t="str">
        <x:f>IF(COUNTA(A68)=0,"",IF(COUNTIFS('Estimates'!$A$5:$A$2004,A68,'Estimates'!$B$5:$B$2004,"MPS",'Estimates'!$H$5:$H$2004,1)+COUNTIFS('Estimates'!$A$5:$A$2004,A68,'Estimates'!$B$5:$B$2004,"PPS",'Estimates'!$H$5:$H$2004,1)&gt;0,1,0))</x:f>
      </x:c>
      <x:c r="T68" s="2" t="str">
        <x:f>IF(COUNTA(A68)=0,"",IF(COUNTIFS($A$6:$A$165,A68)&gt;1,"Duplicate target",IF(COUNTIFS(C68:E68,"DUP")+COUNTIFS(J68:L68,"DUP")&gt;0,"Duplicate accepted run",IF(COUNTIFS('Estimates'!$A$5:$A$2004,A68,'Estimates'!$H$5:$H$2004,1)-COUNTIFS('Estimates'!$A$5:$A$2004,A68,'Estimates'!$H$5:$H$2004,1,'Estimates'!$F$5:$F$2004,"&lt;&gt;")&gt;0,"Accepted value missing",""))))</x:f>
      </x:c>
    </x:row>
    <x:row r="69">
      <x:c r="A69" s="21"/>
      <x:c r="B69" s="19"/>
      <x:c r="C69" s="13" t="str">
        <x:f>IF(OR(COUNTA($A69)=0,NOT(ISNUMBER('Status'!$E$5))),"",IF(COUNTIFS('Estimates'!$A$5:$A$2004,$A69,'Estimates'!$B$5:$B$2004,"MPS",'Estimates'!$C$5:$C$2004,'Status'!$E$5,'Estimates'!$H$5:$H$2004,1)=0,"",IF(COUNTIFS('Estimates'!$A$5:$A$2004,$A69,'Estimates'!$B$5:$B$2004,"MPS",'Estimates'!$C$5:$C$2004,'Status'!$E$5,'Estimates'!$H$5:$H$2004,1)&gt;1,"DUP",IF(COUNTIFS('Estimates'!$A$5:$A$2004,$A69,'Estimates'!$B$5:$B$2004,"MPS",'Estimates'!$C$5:$C$2004,'Status'!$E$5,'Estimates'!$H$5:$H$2004,1,'Estimates'!$F$5:$F$2004,"&lt;&gt;")=0,"",SUMIFS('Estimates'!$F$5:$F$2004,'Estimates'!$A$5:$A$2004,$A69,'Estimates'!$B$5:$B$2004,"MPS",'Estimates'!$C$5:$C$2004,'Status'!$E$5,'Estimates'!$H$5:$H$2004,1)))))</x:f>
      </x:c>
      <x:c r="D69" s="13" t="str">
        <x:f>IF(OR(COUNTA($A69)=0,NOT(ISNUMBER('Status'!$F$5))),"",IF(COUNTIFS('Estimates'!$A$5:$A$2004,$A69,'Estimates'!$B$5:$B$2004,"MPS",'Estimates'!$C$5:$C$2004,'Status'!$F$5,'Estimates'!$H$5:$H$2004,1)=0,"",IF(COUNTIFS('Estimates'!$A$5:$A$2004,$A69,'Estimates'!$B$5:$B$2004,"MPS",'Estimates'!$C$5:$C$2004,'Status'!$F$5,'Estimates'!$H$5:$H$2004,1)&gt;1,"DUP",IF(COUNTIFS('Estimates'!$A$5:$A$2004,$A69,'Estimates'!$B$5:$B$2004,"MPS",'Estimates'!$C$5:$C$2004,'Status'!$F$5,'Estimates'!$H$5:$H$2004,1,'Estimates'!$F$5:$F$2004,"&lt;&gt;")=0,"",SUMIFS('Estimates'!$F$5:$F$2004,'Estimates'!$A$5:$A$2004,$A69,'Estimates'!$B$5:$B$2004,"MPS",'Estimates'!$C$5:$C$2004,'Status'!$F$5,'Estimates'!$H$5:$H$2004,1)))))</x:f>
      </x:c>
      <x:c r="E69" s="13" t="str">
        <x:f>IF(OR(COUNTA($A69)=0,NOT(ISNUMBER('Status'!$G$5))),"",IF(COUNTIFS('Estimates'!$A$5:$A$2004,$A69,'Estimates'!$B$5:$B$2004,"MPS",'Estimates'!$C$5:$C$2004,'Status'!$G$5,'Estimates'!$H$5:$H$2004,1)=0,"",IF(COUNTIFS('Estimates'!$A$5:$A$2004,$A69,'Estimates'!$B$5:$B$2004,"MPS",'Estimates'!$C$5:$C$2004,'Status'!$G$5,'Estimates'!$H$5:$H$2004,1)&gt;1,"DUP",IF(COUNTIFS('Estimates'!$A$5:$A$2004,$A69,'Estimates'!$B$5:$B$2004,"MPS",'Estimates'!$C$5:$C$2004,'Status'!$G$5,'Estimates'!$H$5:$H$2004,1,'Estimates'!$F$5:$F$2004,"&lt;&gt;")=0,"",SUMIFS('Estimates'!$F$5:$F$2004,'Estimates'!$A$5:$A$2004,$A69,'Estimates'!$B$5:$B$2004,"MPS",'Estimates'!$C$5:$C$2004,'Status'!$G$5,'Estimates'!$H$5:$H$2004,1)))))</x:f>
      </x:c>
      <x:c r="F69" s="13" t="str">
        <x:f>IF(AND(ISNUMBER(C69),ISNUMBER(D69)),D69-C69,"")</x:f>
      </x:c>
      <x:c r="G69" s="13" t="str">
        <x:f>IF(AND(ISNUMBER(D69),ISNUMBER(E69)),E69-D69,"")</x:f>
      </x:c>
      <x:c r="H69" s="13" t="str">
        <x:f>IF(AND(COUNT(C69:E69)=3,COUNT('Status'!$E$5:$G$5)=3,'Status'!$E$5&gt;0,'Status'!$E$5&lt;'Status'!$F$5,'Status'!$F$5&lt;'Status'!$G$5),ABS(E69-(D69+(D69-C69)*((1/'Status'!$G$5)-(1/'Status'!$F$5))/((1/'Status'!$F$5)-(1/'Status'!$E$5)))),"")</x:f>
      </x:c>
      <x:c r="I69" s="13" t="str">
        <x:f>IF(AND(COUNT(C69:E69)=3,COUNT('Status'!$E$5:$G$5)=3,'Status'!$E$5&gt;0,'Status'!$E$5&lt;'Status'!$F$5,'Status'!$F$5&lt;'Status'!$G$5),((1/'Status'!$F$5)*E69-(1/'Status'!$G$5)*D69)/((1/'Status'!$F$5)-(1/'Status'!$G$5)),"")</x:f>
      </x:c>
      <x:c r="J69" s="13" t="str">
        <x:f>IF(OR(COUNTA($A69)=0,NOT(ISNUMBER('Status'!$E$6))),"",IF(COUNTIFS('Estimates'!$A$5:$A$2004,$A69,'Estimates'!$B$5:$B$2004,"PPS",'Estimates'!$D$5:$D$2004,'Status'!$E$6,'Estimates'!$H$5:$H$2004,1,'Estimates'!$E$5:$E$2004,'Status'!$E$7)=0,"",IF(COUNTIFS('Estimates'!$A$5:$A$2004,$A69,'Estimates'!$B$5:$B$2004,"PPS",'Estimates'!$D$5:$D$2004,'Status'!$E$6,'Estimates'!$H$5:$H$2004,1,'Estimates'!$E$5:$E$2004,'Status'!$E$7)&gt;1,"DUP",IF(COUNTIFS('Estimates'!$A$5:$A$2004,$A69,'Estimates'!$B$5:$B$2004,"PPS",'Estimates'!$D$5:$D$2004,'Status'!$E$6,'Estimates'!$H$5:$H$2004,1,'Estimates'!$E$5:$E$2004,'Status'!$E$7,'Estimates'!$F$5:$F$2004,"&lt;&gt;")=0,"",SUMIFS('Estimates'!$F$5:$F$2004,'Estimates'!$A$5:$A$2004,$A69,'Estimates'!$B$5:$B$2004,"PPS",'Estimates'!$D$5:$D$2004,'Status'!$E$6,'Estimates'!$H$5:$H$2004,1,'Estimates'!$E$5:$E$2004,'Status'!$E$7)))))</x:f>
      </x:c>
      <x:c r="K69" s="13" t="str">
        <x:f>IF(OR(COUNTA($A69)=0,NOT(ISNUMBER('Status'!$F$6))),"",IF(COUNTIFS('Estimates'!$A$5:$A$2004,$A69,'Estimates'!$B$5:$B$2004,"PPS",'Estimates'!$D$5:$D$2004,'Status'!$F$6,'Estimates'!$H$5:$H$2004,1,'Estimates'!$E$5:$E$2004,'Status'!$E$7)=0,"",IF(COUNTIFS('Estimates'!$A$5:$A$2004,$A69,'Estimates'!$B$5:$B$2004,"PPS",'Estimates'!$D$5:$D$2004,'Status'!$F$6,'Estimates'!$H$5:$H$2004,1,'Estimates'!$E$5:$E$2004,'Status'!$E$7)&gt;1,"DUP",IF(COUNTIFS('Estimates'!$A$5:$A$2004,$A69,'Estimates'!$B$5:$B$2004,"PPS",'Estimates'!$D$5:$D$2004,'Status'!$F$6,'Estimates'!$H$5:$H$2004,1,'Estimates'!$E$5:$E$2004,'Status'!$E$7,'Estimates'!$F$5:$F$2004,"&lt;&gt;")=0,"",SUMIFS('Estimates'!$F$5:$F$2004,'Estimates'!$A$5:$A$2004,$A69,'Estimates'!$B$5:$B$2004,"PPS",'Estimates'!$D$5:$D$2004,'Status'!$F$6,'Estimates'!$H$5:$H$2004,1,'Estimates'!$E$5:$E$2004,'Status'!$E$7)))))</x:f>
      </x:c>
      <x:c r="L69" s="13" t="str">
        <x:f>IF(OR(COUNTA($A69)=0,NOT(ISNUMBER('Status'!$G$6))),"",IF(COUNTIFS('Estimates'!$A$5:$A$2004,$A69,'Estimates'!$B$5:$B$2004,"PPS",'Estimates'!$D$5:$D$2004,'Status'!$G$6,'Estimates'!$H$5:$H$2004,1,'Estimates'!$E$5:$E$2004,'Status'!$E$7)=0,"",IF(COUNTIFS('Estimates'!$A$5:$A$2004,$A69,'Estimates'!$B$5:$B$2004,"PPS",'Estimates'!$D$5:$D$2004,'Status'!$G$6,'Estimates'!$H$5:$H$2004,1,'Estimates'!$E$5:$E$2004,'Status'!$E$7)&gt;1,"DUP",IF(COUNTIFS('Estimates'!$A$5:$A$2004,$A69,'Estimates'!$B$5:$B$2004,"PPS",'Estimates'!$D$5:$D$2004,'Status'!$G$6,'Estimates'!$H$5:$H$2004,1,'Estimates'!$E$5:$E$2004,'Status'!$E$7,'Estimates'!$F$5:$F$2004,"&lt;&gt;")=0,"",SUMIFS('Estimates'!$F$5:$F$2004,'Estimates'!$A$5:$A$2004,$A69,'Estimates'!$B$5:$B$2004,"PPS",'Estimates'!$D$5:$D$2004,'Status'!$G$6,'Estimates'!$H$5:$H$2004,1,'Estimates'!$E$5:$E$2004,'Status'!$E$7)))))</x:f>
      </x:c>
      <x:c r="M69" s="13" t="str">
        <x:f>IF(AND(ISNUMBER(J69),ISNUMBER(K69)),K69-J69,"")</x:f>
      </x:c>
      <x:c r="N69" s="13" t="str">
        <x:f>IF(AND(ISNUMBER(K69),ISNUMBER(L69)),L69-K69,"")</x:f>
      </x:c>
      <x:c r="O69" s="13" t="str">
        <x:f>IF(AND(COUNT(J69:L69)=3,COUNT('Status'!$E$6:$G$6)=3,'Status'!$E$6&gt;'Status'!$F$6,'Status'!$F$6&gt;'Status'!$G$6,'Status'!$G$6&gt;0),ABS(L69-(K69+(K69-J69)*('Status'!$G$6-'Status'!$F$6)/('Status'!$F$6-'Status'!$E$6))),"")</x:f>
      </x:c>
      <x:c r="P69" s="13" t="str">
        <x:f>IF(AND(COUNT(J69:L69)=3,COUNT('Status'!$E$6:$G$6)=3,'Status'!$E$6&gt;'Status'!$F$6,'Status'!$F$6&gt;'Status'!$G$6,'Status'!$G$6&gt;0),('Status'!$F$6*L69-'Status'!$G$6*K69)/('Status'!$F$6-'Status'!$G$6),"")</x:f>
      </x:c>
      <x:c r="Q69" s="20"/>
      <x:c r="R69" s="13" t="str">
        <x:f>IF(COUNTA($A69)=0,"",IF('Status'!$B$6="MPS 1",IF(ISNUMBER(C69),C69,""),IF('Status'!$B$6="MPS 2",IF(ISNUMBER(D69),D69,""),IF('Status'!$B$6="MPS 3",IF(ISNUMBER(E69),E69,""),IF('Status'!$B$6="MPS extrap",IF(ISNUMBER(I69),I69,""),IF('Status'!$B$6="PPS 1",IF(ISNUMBER(J69),J69,""),IF('Status'!$B$6="PPS 2",IF(ISNUMBER(K69),K69,""),IF('Status'!$B$6="PPS 3",IF(ISNUMBER(L69),L69,""),IF('Status'!$B$6="PPS extrap",IF(ISNUMBER(P69),P69,""),IF('Status'!$B$6="Calibrated",IF(ISNUMBER(Q69),Q69,""),""))))))))))</x:f>
      </x:c>
      <x:c r="S69" s="2" t="str">
        <x:f>IF(COUNTA(A69)=0,"",IF(COUNTIFS('Estimates'!$A$5:$A$2004,A69,'Estimates'!$B$5:$B$2004,"MPS",'Estimates'!$H$5:$H$2004,1)+COUNTIFS('Estimates'!$A$5:$A$2004,A69,'Estimates'!$B$5:$B$2004,"PPS",'Estimates'!$H$5:$H$2004,1)&gt;0,1,0))</x:f>
      </x:c>
      <x:c r="T69" s="2" t="str">
        <x:f>IF(COUNTA(A69)=0,"",IF(COUNTIFS($A$6:$A$165,A69)&gt;1,"Duplicate target",IF(COUNTIFS(C69:E69,"DUP")+COUNTIFS(J69:L69,"DUP")&gt;0,"Duplicate accepted run",IF(COUNTIFS('Estimates'!$A$5:$A$2004,A69,'Estimates'!$H$5:$H$2004,1)-COUNTIFS('Estimates'!$A$5:$A$2004,A69,'Estimates'!$H$5:$H$2004,1,'Estimates'!$F$5:$F$2004,"&lt;&gt;")&gt;0,"Accepted value missing",""))))</x:f>
      </x:c>
    </x:row>
    <x:row r="70">
      <x:c r="A70" s="21"/>
      <x:c r="B70" s="19"/>
      <x:c r="C70" s="13" t="str">
        <x:f>IF(OR(COUNTA($A70)=0,NOT(ISNUMBER('Status'!$E$5))),"",IF(COUNTIFS('Estimates'!$A$5:$A$2004,$A70,'Estimates'!$B$5:$B$2004,"MPS",'Estimates'!$C$5:$C$2004,'Status'!$E$5,'Estimates'!$H$5:$H$2004,1)=0,"",IF(COUNTIFS('Estimates'!$A$5:$A$2004,$A70,'Estimates'!$B$5:$B$2004,"MPS",'Estimates'!$C$5:$C$2004,'Status'!$E$5,'Estimates'!$H$5:$H$2004,1)&gt;1,"DUP",IF(COUNTIFS('Estimates'!$A$5:$A$2004,$A70,'Estimates'!$B$5:$B$2004,"MPS",'Estimates'!$C$5:$C$2004,'Status'!$E$5,'Estimates'!$H$5:$H$2004,1,'Estimates'!$F$5:$F$2004,"&lt;&gt;")=0,"",SUMIFS('Estimates'!$F$5:$F$2004,'Estimates'!$A$5:$A$2004,$A70,'Estimates'!$B$5:$B$2004,"MPS",'Estimates'!$C$5:$C$2004,'Status'!$E$5,'Estimates'!$H$5:$H$2004,1)))))</x:f>
      </x:c>
      <x:c r="D70" s="13" t="str">
        <x:f>IF(OR(COUNTA($A70)=0,NOT(ISNUMBER('Status'!$F$5))),"",IF(COUNTIFS('Estimates'!$A$5:$A$2004,$A70,'Estimates'!$B$5:$B$2004,"MPS",'Estimates'!$C$5:$C$2004,'Status'!$F$5,'Estimates'!$H$5:$H$2004,1)=0,"",IF(COUNTIFS('Estimates'!$A$5:$A$2004,$A70,'Estimates'!$B$5:$B$2004,"MPS",'Estimates'!$C$5:$C$2004,'Status'!$F$5,'Estimates'!$H$5:$H$2004,1)&gt;1,"DUP",IF(COUNTIFS('Estimates'!$A$5:$A$2004,$A70,'Estimates'!$B$5:$B$2004,"MPS",'Estimates'!$C$5:$C$2004,'Status'!$F$5,'Estimates'!$H$5:$H$2004,1,'Estimates'!$F$5:$F$2004,"&lt;&gt;")=0,"",SUMIFS('Estimates'!$F$5:$F$2004,'Estimates'!$A$5:$A$2004,$A70,'Estimates'!$B$5:$B$2004,"MPS",'Estimates'!$C$5:$C$2004,'Status'!$F$5,'Estimates'!$H$5:$H$2004,1)))))</x:f>
      </x:c>
      <x:c r="E70" s="13" t="str">
        <x:f>IF(OR(COUNTA($A70)=0,NOT(ISNUMBER('Status'!$G$5))),"",IF(COUNTIFS('Estimates'!$A$5:$A$2004,$A70,'Estimates'!$B$5:$B$2004,"MPS",'Estimates'!$C$5:$C$2004,'Status'!$G$5,'Estimates'!$H$5:$H$2004,1)=0,"",IF(COUNTIFS('Estimates'!$A$5:$A$2004,$A70,'Estimates'!$B$5:$B$2004,"MPS",'Estimates'!$C$5:$C$2004,'Status'!$G$5,'Estimates'!$H$5:$H$2004,1)&gt;1,"DUP",IF(COUNTIFS('Estimates'!$A$5:$A$2004,$A70,'Estimates'!$B$5:$B$2004,"MPS",'Estimates'!$C$5:$C$2004,'Status'!$G$5,'Estimates'!$H$5:$H$2004,1,'Estimates'!$F$5:$F$2004,"&lt;&gt;")=0,"",SUMIFS('Estimates'!$F$5:$F$2004,'Estimates'!$A$5:$A$2004,$A70,'Estimates'!$B$5:$B$2004,"MPS",'Estimates'!$C$5:$C$2004,'Status'!$G$5,'Estimates'!$H$5:$H$2004,1)))))</x:f>
      </x:c>
      <x:c r="F70" s="13" t="str">
        <x:f>IF(AND(ISNUMBER(C70),ISNUMBER(D70)),D70-C70,"")</x:f>
      </x:c>
      <x:c r="G70" s="13" t="str">
        <x:f>IF(AND(ISNUMBER(D70),ISNUMBER(E70)),E70-D70,"")</x:f>
      </x:c>
      <x:c r="H70" s="13" t="str">
        <x:f>IF(AND(COUNT(C70:E70)=3,COUNT('Status'!$E$5:$G$5)=3,'Status'!$E$5&gt;0,'Status'!$E$5&lt;'Status'!$F$5,'Status'!$F$5&lt;'Status'!$G$5),ABS(E70-(D70+(D70-C70)*((1/'Status'!$G$5)-(1/'Status'!$F$5))/((1/'Status'!$F$5)-(1/'Status'!$E$5)))),"")</x:f>
      </x:c>
      <x:c r="I70" s="13" t="str">
        <x:f>IF(AND(COUNT(C70:E70)=3,COUNT('Status'!$E$5:$G$5)=3,'Status'!$E$5&gt;0,'Status'!$E$5&lt;'Status'!$F$5,'Status'!$F$5&lt;'Status'!$G$5),((1/'Status'!$F$5)*E70-(1/'Status'!$G$5)*D70)/((1/'Status'!$F$5)-(1/'Status'!$G$5)),"")</x:f>
      </x:c>
      <x:c r="J70" s="13" t="str">
        <x:f>IF(OR(COUNTA($A70)=0,NOT(ISNUMBER('Status'!$E$6))),"",IF(COUNTIFS('Estimates'!$A$5:$A$2004,$A70,'Estimates'!$B$5:$B$2004,"PPS",'Estimates'!$D$5:$D$2004,'Status'!$E$6,'Estimates'!$H$5:$H$2004,1,'Estimates'!$E$5:$E$2004,'Status'!$E$7)=0,"",IF(COUNTIFS('Estimates'!$A$5:$A$2004,$A70,'Estimates'!$B$5:$B$2004,"PPS",'Estimates'!$D$5:$D$2004,'Status'!$E$6,'Estimates'!$H$5:$H$2004,1,'Estimates'!$E$5:$E$2004,'Status'!$E$7)&gt;1,"DUP",IF(COUNTIFS('Estimates'!$A$5:$A$2004,$A70,'Estimates'!$B$5:$B$2004,"PPS",'Estimates'!$D$5:$D$2004,'Status'!$E$6,'Estimates'!$H$5:$H$2004,1,'Estimates'!$E$5:$E$2004,'Status'!$E$7,'Estimates'!$F$5:$F$2004,"&lt;&gt;")=0,"",SUMIFS('Estimates'!$F$5:$F$2004,'Estimates'!$A$5:$A$2004,$A70,'Estimates'!$B$5:$B$2004,"PPS",'Estimates'!$D$5:$D$2004,'Status'!$E$6,'Estimates'!$H$5:$H$2004,1,'Estimates'!$E$5:$E$2004,'Status'!$E$7)))))</x:f>
      </x:c>
      <x:c r="K70" s="13" t="str">
        <x:f>IF(OR(COUNTA($A70)=0,NOT(ISNUMBER('Status'!$F$6))),"",IF(COUNTIFS('Estimates'!$A$5:$A$2004,$A70,'Estimates'!$B$5:$B$2004,"PPS",'Estimates'!$D$5:$D$2004,'Status'!$F$6,'Estimates'!$H$5:$H$2004,1,'Estimates'!$E$5:$E$2004,'Status'!$E$7)=0,"",IF(COUNTIFS('Estimates'!$A$5:$A$2004,$A70,'Estimates'!$B$5:$B$2004,"PPS",'Estimates'!$D$5:$D$2004,'Status'!$F$6,'Estimates'!$H$5:$H$2004,1,'Estimates'!$E$5:$E$2004,'Status'!$E$7)&gt;1,"DUP",IF(COUNTIFS('Estimates'!$A$5:$A$2004,$A70,'Estimates'!$B$5:$B$2004,"PPS",'Estimates'!$D$5:$D$2004,'Status'!$F$6,'Estimates'!$H$5:$H$2004,1,'Estimates'!$E$5:$E$2004,'Status'!$E$7,'Estimates'!$F$5:$F$2004,"&lt;&gt;")=0,"",SUMIFS('Estimates'!$F$5:$F$2004,'Estimates'!$A$5:$A$2004,$A70,'Estimates'!$B$5:$B$2004,"PPS",'Estimates'!$D$5:$D$2004,'Status'!$F$6,'Estimates'!$H$5:$H$2004,1,'Estimates'!$E$5:$E$2004,'Status'!$E$7)))))</x:f>
      </x:c>
      <x:c r="L70" s="13" t="str">
        <x:f>IF(OR(COUNTA($A70)=0,NOT(ISNUMBER('Status'!$G$6))),"",IF(COUNTIFS('Estimates'!$A$5:$A$2004,$A70,'Estimates'!$B$5:$B$2004,"PPS",'Estimates'!$D$5:$D$2004,'Status'!$G$6,'Estimates'!$H$5:$H$2004,1,'Estimates'!$E$5:$E$2004,'Status'!$E$7)=0,"",IF(COUNTIFS('Estimates'!$A$5:$A$2004,$A70,'Estimates'!$B$5:$B$2004,"PPS",'Estimates'!$D$5:$D$2004,'Status'!$G$6,'Estimates'!$H$5:$H$2004,1,'Estimates'!$E$5:$E$2004,'Status'!$E$7)&gt;1,"DUP",IF(COUNTIFS('Estimates'!$A$5:$A$2004,$A70,'Estimates'!$B$5:$B$2004,"PPS",'Estimates'!$D$5:$D$2004,'Status'!$G$6,'Estimates'!$H$5:$H$2004,1,'Estimates'!$E$5:$E$2004,'Status'!$E$7,'Estimates'!$F$5:$F$2004,"&lt;&gt;")=0,"",SUMIFS('Estimates'!$F$5:$F$2004,'Estimates'!$A$5:$A$2004,$A70,'Estimates'!$B$5:$B$2004,"PPS",'Estimates'!$D$5:$D$2004,'Status'!$G$6,'Estimates'!$H$5:$H$2004,1,'Estimates'!$E$5:$E$2004,'Status'!$E$7)))))</x:f>
      </x:c>
      <x:c r="M70" s="13" t="str">
        <x:f>IF(AND(ISNUMBER(J70),ISNUMBER(K70)),K70-J70,"")</x:f>
      </x:c>
      <x:c r="N70" s="13" t="str">
        <x:f>IF(AND(ISNUMBER(K70),ISNUMBER(L70)),L70-K70,"")</x:f>
      </x:c>
      <x:c r="O70" s="13" t="str">
        <x:f>IF(AND(COUNT(J70:L70)=3,COUNT('Status'!$E$6:$G$6)=3,'Status'!$E$6&gt;'Status'!$F$6,'Status'!$F$6&gt;'Status'!$G$6,'Status'!$G$6&gt;0),ABS(L70-(K70+(K70-J70)*('Status'!$G$6-'Status'!$F$6)/('Status'!$F$6-'Status'!$E$6))),"")</x:f>
      </x:c>
      <x:c r="P70" s="13" t="str">
        <x:f>IF(AND(COUNT(J70:L70)=3,COUNT('Status'!$E$6:$G$6)=3,'Status'!$E$6&gt;'Status'!$F$6,'Status'!$F$6&gt;'Status'!$G$6,'Status'!$G$6&gt;0),('Status'!$F$6*L70-'Status'!$G$6*K70)/('Status'!$F$6-'Status'!$G$6),"")</x:f>
      </x:c>
      <x:c r="Q70" s="20"/>
      <x:c r="R70" s="13" t="str">
        <x:f>IF(COUNTA($A70)=0,"",IF('Status'!$B$6="MPS 1",IF(ISNUMBER(C70),C70,""),IF('Status'!$B$6="MPS 2",IF(ISNUMBER(D70),D70,""),IF('Status'!$B$6="MPS 3",IF(ISNUMBER(E70),E70,""),IF('Status'!$B$6="MPS extrap",IF(ISNUMBER(I70),I70,""),IF('Status'!$B$6="PPS 1",IF(ISNUMBER(J70),J70,""),IF('Status'!$B$6="PPS 2",IF(ISNUMBER(K70),K70,""),IF('Status'!$B$6="PPS 3",IF(ISNUMBER(L70),L70,""),IF('Status'!$B$6="PPS extrap",IF(ISNUMBER(P70),P70,""),IF('Status'!$B$6="Calibrated",IF(ISNUMBER(Q70),Q70,""),""))))))))))</x:f>
      </x:c>
      <x:c r="S70" s="2" t="str">
        <x:f>IF(COUNTA(A70)=0,"",IF(COUNTIFS('Estimates'!$A$5:$A$2004,A70,'Estimates'!$B$5:$B$2004,"MPS",'Estimates'!$H$5:$H$2004,1)+COUNTIFS('Estimates'!$A$5:$A$2004,A70,'Estimates'!$B$5:$B$2004,"PPS",'Estimates'!$H$5:$H$2004,1)&gt;0,1,0))</x:f>
      </x:c>
      <x:c r="T70" s="2" t="str">
        <x:f>IF(COUNTA(A70)=0,"",IF(COUNTIFS($A$6:$A$165,A70)&gt;1,"Duplicate target",IF(COUNTIFS(C70:E70,"DUP")+COUNTIFS(J70:L70,"DUP")&gt;0,"Duplicate accepted run",IF(COUNTIFS('Estimates'!$A$5:$A$2004,A70,'Estimates'!$H$5:$H$2004,1)-COUNTIFS('Estimates'!$A$5:$A$2004,A70,'Estimates'!$H$5:$H$2004,1,'Estimates'!$F$5:$F$2004,"&lt;&gt;")&gt;0,"Accepted value missing",""))))</x:f>
      </x:c>
    </x:row>
    <x:row r="71">
      <x:c r="A71" s="21"/>
      <x:c r="B71" s="19"/>
      <x:c r="C71" s="13" t="str">
        <x:f>IF(OR(COUNTA($A71)=0,NOT(ISNUMBER('Status'!$E$5))),"",IF(COUNTIFS('Estimates'!$A$5:$A$2004,$A71,'Estimates'!$B$5:$B$2004,"MPS",'Estimates'!$C$5:$C$2004,'Status'!$E$5,'Estimates'!$H$5:$H$2004,1)=0,"",IF(COUNTIFS('Estimates'!$A$5:$A$2004,$A71,'Estimates'!$B$5:$B$2004,"MPS",'Estimates'!$C$5:$C$2004,'Status'!$E$5,'Estimates'!$H$5:$H$2004,1)&gt;1,"DUP",IF(COUNTIFS('Estimates'!$A$5:$A$2004,$A71,'Estimates'!$B$5:$B$2004,"MPS",'Estimates'!$C$5:$C$2004,'Status'!$E$5,'Estimates'!$H$5:$H$2004,1,'Estimates'!$F$5:$F$2004,"&lt;&gt;")=0,"",SUMIFS('Estimates'!$F$5:$F$2004,'Estimates'!$A$5:$A$2004,$A71,'Estimates'!$B$5:$B$2004,"MPS",'Estimates'!$C$5:$C$2004,'Status'!$E$5,'Estimates'!$H$5:$H$2004,1)))))</x:f>
      </x:c>
      <x:c r="D71" s="13" t="str">
        <x:f>IF(OR(COUNTA($A71)=0,NOT(ISNUMBER('Status'!$F$5))),"",IF(COUNTIFS('Estimates'!$A$5:$A$2004,$A71,'Estimates'!$B$5:$B$2004,"MPS",'Estimates'!$C$5:$C$2004,'Status'!$F$5,'Estimates'!$H$5:$H$2004,1)=0,"",IF(COUNTIFS('Estimates'!$A$5:$A$2004,$A71,'Estimates'!$B$5:$B$2004,"MPS",'Estimates'!$C$5:$C$2004,'Status'!$F$5,'Estimates'!$H$5:$H$2004,1)&gt;1,"DUP",IF(COUNTIFS('Estimates'!$A$5:$A$2004,$A71,'Estimates'!$B$5:$B$2004,"MPS",'Estimates'!$C$5:$C$2004,'Status'!$F$5,'Estimates'!$H$5:$H$2004,1,'Estimates'!$F$5:$F$2004,"&lt;&gt;")=0,"",SUMIFS('Estimates'!$F$5:$F$2004,'Estimates'!$A$5:$A$2004,$A71,'Estimates'!$B$5:$B$2004,"MPS",'Estimates'!$C$5:$C$2004,'Status'!$F$5,'Estimates'!$H$5:$H$2004,1)))))</x:f>
      </x:c>
      <x:c r="E71" s="13" t="str">
        <x:f>IF(OR(COUNTA($A71)=0,NOT(ISNUMBER('Status'!$G$5))),"",IF(COUNTIFS('Estimates'!$A$5:$A$2004,$A71,'Estimates'!$B$5:$B$2004,"MPS",'Estimates'!$C$5:$C$2004,'Status'!$G$5,'Estimates'!$H$5:$H$2004,1)=0,"",IF(COUNTIFS('Estimates'!$A$5:$A$2004,$A71,'Estimates'!$B$5:$B$2004,"MPS",'Estimates'!$C$5:$C$2004,'Status'!$G$5,'Estimates'!$H$5:$H$2004,1)&gt;1,"DUP",IF(COUNTIFS('Estimates'!$A$5:$A$2004,$A71,'Estimates'!$B$5:$B$2004,"MPS",'Estimates'!$C$5:$C$2004,'Status'!$G$5,'Estimates'!$H$5:$H$2004,1,'Estimates'!$F$5:$F$2004,"&lt;&gt;")=0,"",SUMIFS('Estimates'!$F$5:$F$2004,'Estimates'!$A$5:$A$2004,$A71,'Estimates'!$B$5:$B$2004,"MPS",'Estimates'!$C$5:$C$2004,'Status'!$G$5,'Estimates'!$H$5:$H$2004,1)))))</x:f>
      </x:c>
      <x:c r="F71" s="13" t="str">
        <x:f>IF(AND(ISNUMBER(C71),ISNUMBER(D71)),D71-C71,"")</x:f>
      </x:c>
      <x:c r="G71" s="13" t="str">
        <x:f>IF(AND(ISNUMBER(D71),ISNUMBER(E71)),E71-D71,"")</x:f>
      </x:c>
      <x:c r="H71" s="13" t="str">
        <x:f>IF(AND(COUNT(C71:E71)=3,COUNT('Status'!$E$5:$G$5)=3,'Status'!$E$5&gt;0,'Status'!$E$5&lt;'Status'!$F$5,'Status'!$F$5&lt;'Status'!$G$5),ABS(E71-(D71+(D71-C71)*((1/'Status'!$G$5)-(1/'Status'!$F$5))/((1/'Status'!$F$5)-(1/'Status'!$E$5)))),"")</x:f>
      </x:c>
      <x:c r="I71" s="13" t="str">
        <x:f>IF(AND(COUNT(C71:E71)=3,COUNT('Status'!$E$5:$G$5)=3,'Status'!$E$5&gt;0,'Status'!$E$5&lt;'Status'!$F$5,'Status'!$F$5&lt;'Status'!$G$5),((1/'Status'!$F$5)*E71-(1/'Status'!$G$5)*D71)/((1/'Status'!$F$5)-(1/'Status'!$G$5)),"")</x:f>
      </x:c>
      <x:c r="J71" s="13" t="str">
        <x:f>IF(OR(COUNTA($A71)=0,NOT(ISNUMBER('Status'!$E$6))),"",IF(COUNTIFS('Estimates'!$A$5:$A$2004,$A71,'Estimates'!$B$5:$B$2004,"PPS",'Estimates'!$D$5:$D$2004,'Status'!$E$6,'Estimates'!$H$5:$H$2004,1,'Estimates'!$E$5:$E$2004,'Status'!$E$7)=0,"",IF(COUNTIFS('Estimates'!$A$5:$A$2004,$A71,'Estimates'!$B$5:$B$2004,"PPS",'Estimates'!$D$5:$D$2004,'Status'!$E$6,'Estimates'!$H$5:$H$2004,1,'Estimates'!$E$5:$E$2004,'Status'!$E$7)&gt;1,"DUP",IF(COUNTIFS('Estimates'!$A$5:$A$2004,$A71,'Estimates'!$B$5:$B$2004,"PPS",'Estimates'!$D$5:$D$2004,'Status'!$E$6,'Estimates'!$H$5:$H$2004,1,'Estimates'!$E$5:$E$2004,'Status'!$E$7,'Estimates'!$F$5:$F$2004,"&lt;&gt;")=0,"",SUMIFS('Estimates'!$F$5:$F$2004,'Estimates'!$A$5:$A$2004,$A71,'Estimates'!$B$5:$B$2004,"PPS",'Estimates'!$D$5:$D$2004,'Status'!$E$6,'Estimates'!$H$5:$H$2004,1,'Estimates'!$E$5:$E$2004,'Status'!$E$7)))))</x:f>
      </x:c>
      <x:c r="K71" s="13" t="str">
        <x:f>IF(OR(COUNTA($A71)=0,NOT(ISNUMBER('Status'!$F$6))),"",IF(COUNTIFS('Estimates'!$A$5:$A$2004,$A71,'Estimates'!$B$5:$B$2004,"PPS",'Estimates'!$D$5:$D$2004,'Status'!$F$6,'Estimates'!$H$5:$H$2004,1,'Estimates'!$E$5:$E$2004,'Status'!$E$7)=0,"",IF(COUNTIFS('Estimates'!$A$5:$A$2004,$A71,'Estimates'!$B$5:$B$2004,"PPS",'Estimates'!$D$5:$D$2004,'Status'!$F$6,'Estimates'!$H$5:$H$2004,1,'Estimates'!$E$5:$E$2004,'Status'!$E$7)&gt;1,"DUP",IF(COUNTIFS('Estimates'!$A$5:$A$2004,$A71,'Estimates'!$B$5:$B$2004,"PPS",'Estimates'!$D$5:$D$2004,'Status'!$F$6,'Estimates'!$H$5:$H$2004,1,'Estimates'!$E$5:$E$2004,'Status'!$E$7,'Estimates'!$F$5:$F$2004,"&lt;&gt;")=0,"",SUMIFS('Estimates'!$F$5:$F$2004,'Estimates'!$A$5:$A$2004,$A71,'Estimates'!$B$5:$B$2004,"PPS",'Estimates'!$D$5:$D$2004,'Status'!$F$6,'Estimates'!$H$5:$H$2004,1,'Estimates'!$E$5:$E$2004,'Status'!$E$7)))))</x:f>
      </x:c>
      <x:c r="L71" s="13" t="str">
        <x:f>IF(OR(COUNTA($A71)=0,NOT(ISNUMBER('Status'!$G$6))),"",IF(COUNTIFS('Estimates'!$A$5:$A$2004,$A71,'Estimates'!$B$5:$B$2004,"PPS",'Estimates'!$D$5:$D$2004,'Status'!$G$6,'Estimates'!$H$5:$H$2004,1,'Estimates'!$E$5:$E$2004,'Status'!$E$7)=0,"",IF(COUNTIFS('Estimates'!$A$5:$A$2004,$A71,'Estimates'!$B$5:$B$2004,"PPS",'Estimates'!$D$5:$D$2004,'Status'!$G$6,'Estimates'!$H$5:$H$2004,1,'Estimates'!$E$5:$E$2004,'Status'!$E$7)&gt;1,"DUP",IF(COUNTIFS('Estimates'!$A$5:$A$2004,$A71,'Estimates'!$B$5:$B$2004,"PPS",'Estimates'!$D$5:$D$2004,'Status'!$G$6,'Estimates'!$H$5:$H$2004,1,'Estimates'!$E$5:$E$2004,'Status'!$E$7,'Estimates'!$F$5:$F$2004,"&lt;&gt;")=0,"",SUMIFS('Estimates'!$F$5:$F$2004,'Estimates'!$A$5:$A$2004,$A71,'Estimates'!$B$5:$B$2004,"PPS",'Estimates'!$D$5:$D$2004,'Status'!$G$6,'Estimates'!$H$5:$H$2004,1,'Estimates'!$E$5:$E$2004,'Status'!$E$7)))))</x:f>
      </x:c>
      <x:c r="M71" s="13" t="str">
        <x:f>IF(AND(ISNUMBER(J71),ISNUMBER(K71)),K71-J71,"")</x:f>
      </x:c>
      <x:c r="N71" s="13" t="str">
        <x:f>IF(AND(ISNUMBER(K71),ISNUMBER(L71)),L71-K71,"")</x:f>
      </x:c>
      <x:c r="O71" s="13" t="str">
        <x:f>IF(AND(COUNT(J71:L71)=3,COUNT('Status'!$E$6:$G$6)=3,'Status'!$E$6&gt;'Status'!$F$6,'Status'!$F$6&gt;'Status'!$G$6,'Status'!$G$6&gt;0),ABS(L71-(K71+(K71-J71)*('Status'!$G$6-'Status'!$F$6)/('Status'!$F$6-'Status'!$E$6))),"")</x:f>
      </x:c>
      <x:c r="P71" s="13" t="str">
        <x:f>IF(AND(COUNT(J71:L71)=3,COUNT('Status'!$E$6:$G$6)=3,'Status'!$E$6&gt;'Status'!$F$6,'Status'!$F$6&gt;'Status'!$G$6,'Status'!$G$6&gt;0),('Status'!$F$6*L71-'Status'!$G$6*K71)/('Status'!$F$6-'Status'!$G$6),"")</x:f>
      </x:c>
      <x:c r="Q71" s="20"/>
      <x:c r="R71" s="13" t="str">
        <x:f>IF(COUNTA($A71)=0,"",IF('Status'!$B$6="MPS 1",IF(ISNUMBER(C71),C71,""),IF('Status'!$B$6="MPS 2",IF(ISNUMBER(D71),D71,""),IF('Status'!$B$6="MPS 3",IF(ISNUMBER(E71),E71,""),IF('Status'!$B$6="MPS extrap",IF(ISNUMBER(I71),I71,""),IF('Status'!$B$6="PPS 1",IF(ISNUMBER(J71),J71,""),IF('Status'!$B$6="PPS 2",IF(ISNUMBER(K71),K71,""),IF('Status'!$B$6="PPS 3",IF(ISNUMBER(L71),L71,""),IF('Status'!$B$6="PPS extrap",IF(ISNUMBER(P71),P71,""),IF('Status'!$B$6="Calibrated",IF(ISNUMBER(Q71),Q71,""),""))))))))))</x:f>
      </x:c>
      <x:c r="S71" s="2" t="str">
        <x:f>IF(COUNTA(A71)=0,"",IF(COUNTIFS('Estimates'!$A$5:$A$2004,A71,'Estimates'!$B$5:$B$2004,"MPS",'Estimates'!$H$5:$H$2004,1)+COUNTIFS('Estimates'!$A$5:$A$2004,A71,'Estimates'!$B$5:$B$2004,"PPS",'Estimates'!$H$5:$H$2004,1)&gt;0,1,0))</x:f>
      </x:c>
      <x:c r="T71" s="2" t="str">
        <x:f>IF(COUNTA(A71)=0,"",IF(COUNTIFS($A$6:$A$165,A71)&gt;1,"Duplicate target",IF(COUNTIFS(C71:E71,"DUP")+COUNTIFS(J71:L71,"DUP")&gt;0,"Duplicate accepted run",IF(COUNTIFS('Estimates'!$A$5:$A$2004,A71,'Estimates'!$H$5:$H$2004,1)-COUNTIFS('Estimates'!$A$5:$A$2004,A71,'Estimates'!$H$5:$H$2004,1,'Estimates'!$F$5:$F$2004,"&lt;&gt;")&gt;0,"Accepted value missing",""))))</x:f>
      </x:c>
    </x:row>
    <x:row r="72">
      <x:c r="A72" s="21"/>
      <x:c r="B72" s="19"/>
      <x:c r="C72" s="13" t="str">
        <x:f>IF(OR(COUNTA($A72)=0,NOT(ISNUMBER('Status'!$E$5))),"",IF(COUNTIFS('Estimates'!$A$5:$A$2004,$A72,'Estimates'!$B$5:$B$2004,"MPS",'Estimates'!$C$5:$C$2004,'Status'!$E$5,'Estimates'!$H$5:$H$2004,1)=0,"",IF(COUNTIFS('Estimates'!$A$5:$A$2004,$A72,'Estimates'!$B$5:$B$2004,"MPS",'Estimates'!$C$5:$C$2004,'Status'!$E$5,'Estimates'!$H$5:$H$2004,1)&gt;1,"DUP",IF(COUNTIFS('Estimates'!$A$5:$A$2004,$A72,'Estimates'!$B$5:$B$2004,"MPS",'Estimates'!$C$5:$C$2004,'Status'!$E$5,'Estimates'!$H$5:$H$2004,1,'Estimates'!$F$5:$F$2004,"&lt;&gt;")=0,"",SUMIFS('Estimates'!$F$5:$F$2004,'Estimates'!$A$5:$A$2004,$A72,'Estimates'!$B$5:$B$2004,"MPS",'Estimates'!$C$5:$C$2004,'Status'!$E$5,'Estimates'!$H$5:$H$2004,1)))))</x:f>
      </x:c>
      <x:c r="D72" s="13" t="str">
        <x:f>IF(OR(COUNTA($A72)=0,NOT(ISNUMBER('Status'!$F$5))),"",IF(COUNTIFS('Estimates'!$A$5:$A$2004,$A72,'Estimates'!$B$5:$B$2004,"MPS",'Estimates'!$C$5:$C$2004,'Status'!$F$5,'Estimates'!$H$5:$H$2004,1)=0,"",IF(COUNTIFS('Estimates'!$A$5:$A$2004,$A72,'Estimates'!$B$5:$B$2004,"MPS",'Estimates'!$C$5:$C$2004,'Status'!$F$5,'Estimates'!$H$5:$H$2004,1)&gt;1,"DUP",IF(COUNTIFS('Estimates'!$A$5:$A$2004,$A72,'Estimates'!$B$5:$B$2004,"MPS",'Estimates'!$C$5:$C$2004,'Status'!$F$5,'Estimates'!$H$5:$H$2004,1,'Estimates'!$F$5:$F$2004,"&lt;&gt;")=0,"",SUMIFS('Estimates'!$F$5:$F$2004,'Estimates'!$A$5:$A$2004,$A72,'Estimates'!$B$5:$B$2004,"MPS",'Estimates'!$C$5:$C$2004,'Status'!$F$5,'Estimates'!$H$5:$H$2004,1)))))</x:f>
      </x:c>
      <x:c r="E72" s="13" t="str">
        <x:f>IF(OR(COUNTA($A72)=0,NOT(ISNUMBER('Status'!$G$5))),"",IF(COUNTIFS('Estimates'!$A$5:$A$2004,$A72,'Estimates'!$B$5:$B$2004,"MPS",'Estimates'!$C$5:$C$2004,'Status'!$G$5,'Estimates'!$H$5:$H$2004,1)=0,"",IF(COUNTIFS('Estimates'!$A$5:$A$2004,$A72,'Estimates'!$B$5:$B$2004,"MPS",'Estimates'!$C$5:$C$2004,'Status'!$G$5,'Estimates'!$H$5:$H$2004,1)&gt;1,"DUP",IF(COUNTIFS('Estimates'!$A$5:$A$2004,$A72,'Estimates'!$B$5:$B$2004,"MPS",'Estimates'!$C$5:$C$2004,'Status'!$G$5,'Estimates'!$H$5:$H$2004,1,'Estimates'!$F$5:$F$2004,"&lt;&gt;")=0,"",SUMIFS('Estimates'!$F$5:$F$2004,'Estimates'!$A$5:$A$2004,$A72,'Estimates'!$B$5:$B$2004,"MPS",'Estimates'!$C$5:$C$2004,'Status'!$G$5,'Estimates'!$H$5:$H$2004,1)))))</x:f>
      </x:c>
      <x:c r="F72" s="13" t="str">
        <x:f>IF(AND(ISNUMBER(C72),ISNUMBER(D72)),D72-C72,"")</x:f>
      </x:c>
      <x:c r="G72" s="13" t="str">
        <x:f>IF(AND(ISNUMBER(D72),ISNUMBER(E72)),E72-D72,"")</x:f>
      </x:c>
      <x:c r="H72" s="13" t="str">
        <x:f>IF(AND(COUNT(C72:E72)=3,COUNT('Status'!$E$5:$G$5)=3,'Status'!$E$5&gt;0,'Status'!$E$5&lt;'Status'!$F$5,'Status'!$F$5&lt;'Status'!$G$5),ABS(E72-(D72+(D72-C72)*((1/'Status'!$G$5)-(1/'Status'!$F$5))/((1/'Status'!$F$5)-(1/'Status'!$E$5)))),"")</x:f>
      </x:c>
      <x:c r="I72" s="13" t="str">
        <x:f>IF(AND(COUNT(C72:E72)=3,COUNT('Status'!$E$5:$G$5)=3,'Status'!$E$5&gt;0,'Status'!$E$5&lt;'Status'!$F$5,'Status'!$F$5&lt;'Status'!$G$5),((1/'Status'!$F$5)*E72-(1/'Status'!$G$5)*D72)/((1/'Status'!$F$5)-(1/'Status'!$G$5)),"")</x:f>
      </x:c>
      <x:c r="J72" s="13" t="str">
        <x:f>IF(OR(COUNTA($A72)=0,NOT(ISNUMBER('Status'!$E$6))),"",IF(COUNTIFS('Estimates'!$A$5:$A$2004,$A72,'Estimates'!$B$5:$B$2004,"PPS",'Estimates'!$D$5:$D$2004,'Status'!$E$6,'Estimates'!$H$5:$H$2004,1,'Estimates'!$E$5:$E$2004,'Status'!$E$7)=0,"",IF(COUNTIFS('Estimates'!$A$5:$A$2004,$A72,'Estimates'!$B$5:$B$2004,"PPS",'Estimates'!$D$5:$D$2004,'Status'!$E$6,'Estimates'!$H$5:$H$2004,1,'Estimates'!$E$5:$E$2004,'Status'!$E$7)&gt;1,"DUP",IF(COUNTIFS('Estimates'!$A$5:$A$2004,$A72,'Estimates'!$B$5:$B$2004,"PPS",'Estimates'!$D$5:$D$2004,'Status'!$E$6,'Estimates'!$H$5:$H$2004,1,'Estimates'!$E$5:$E$2004,'Status'!$E$7,'Estimates'!$F$5:$F$2004,"&lt;&gt;")=0,"",SUMIFS('Estimates'!$F$5:$F$2004,'Estimates'!$A$5:$A$2004,$A72,'Estimates'!$B$5:$B$2004,"PPS",'Estimates'!$D$5:$D$2004,'Status'!$E$6,'Estimates'!$H$5:$H$2004,1,'Estimates'!$E$5:$E$2004,'Status'!$E$7)))))</x:f>
      </x:c>
      <x:c r="K72" s="13" t="str">
        <x:f>IF(OR(COUNTA($A72)=0,NOT(ISNUMBER('Status'!$F$6))),"",IF(COUNTIFS('Estimates'!$A$5:$A$2004,$A72,'Estimates'!$B$5:$B$2004,"PPS",'Estimates'!$D$5:$D$2004,'Status'!$F$6,'Estimates'!$H$5:$H$2004,1,'Estimates'!$E$5:$E$2004,'Status'!$E$7)=0,"",IF(COUNTIFS('Estimates'!$A$5:$A$2004,$A72,'Estimates'!$B$5:$B$2004,"PPS",'Estimates'!$D$5:$D$2004,'Status'!$F$6,'Estimates'!$H$5:$H$2004,1,'Estimates'!$E$5:$E$2004,'Status'!$E$7)&gt;1,"DUP",IF(COUNTIFS('Estimates'!$A$5:$A$2004,$A72,'Estimates'!$B$5:$B$2004,"PPS",'Estimates'!$D$5:$D$2004,'Status'!$F$6,'Estimates'!$H$5:$H$2004,1,'Estimates'!$E$5:$E$2004,'Status'!$E$7,'Estimates'!$F$5:$F$2004,"&lt;&gt;")=0,"",SUMIFS('Estimates'!$F$5:$F$2004,'Estimates'!$A$5:$A$2004,$A72,'Estimates'!$B$5:$B$2004,"PPS",'Estimates'!$D$5:$D$2004,'Status'!$F$6,'Estimates'!$H$5:$H$2004,1,'Estimates'!$E$5:$E$2004,'Status'!$E$7)))))</x:f>
      </x:c>
      <x:c r="L72" s="13" t="str">
        <x:f>IF(OR(COUNTA($A72)=0,NOT(ISNUMBER('Status'!$G$6))),"",IF(COUNTIFS('Estimates'!$A$5:$A$2004,$A72,'Estimates'!$B$5:$B$2004,"PPS",'Estimates'!$D$5:$D$2004,'Status'!$G$6,'Estimates'!$H$5:$H$2004,1,'Estimates'!$E$5:$E$2004,'Status'!$E$7)=0,"",IF(COUNTIFS('Estimates'!$A$5:$A$2004,$A72,'Estimates'!$B$5:$B$2004,"PPS",'Estimates'!$D$5:$D$2004,'Status'!$G$6,'Estimates'!$H$5:$H$2004,1,'Estimates'!$E$5:$E$2004,'Status'!$E$7)&gt;1,"DUP",IF(COUNTIFS('Estimates'!$A$5:$A$2004,$A72,'Estimates'!$B$5:$B$2004,"PPS",'Estimates'!$D$5:$D$2004,'Status'!$G$6,'Estimates'!$H$5:$H$2004,1,'Estimates'!$E$5:$E$2004,'Status'!$E$7,'Estimates'!$F$5:$F$2004,"&lt;&gt;")=0,"",SUMIFS('Estimates'!$F$5:$F$2004,'Estimates'!$A$5:$A$2004,$A72,'Estimates'!$B$5:$B$2004,"PPS",'Estimates'!$D$5:$D$2004,'Status'!$G$6,'Estimates'!$H$5:$H$2004,1,'Estimates'!$E$5:$E$2004,'Status'!$E$7)))))</x:f>
      </x:c>
      <x:c r="M72" s="13" t="str">
        <x:f>IF(AND(ISNUMBER(J72),ISNUMBER(K72)),K72-J72,"")</x:f>
      </x:c>
      <x:c r="N72" s="13" t="str">
        <x:f>IF(AND(ISNUMBER(K72),ISNUMBER(L72)),L72-K72,"")</x:f>
      </x:c>
      <x:c r="O72" s="13" t="str">
        <x:f>IF(AND(COUNT(J72:L72)=3,COUNT('Status'!$E$6:$G$6)=3,'Status'!$E$6&gt;'Status'!$F$6,'Status'!$F$6&gt;'Status'!$G$6,'Status'!$G$6&gt;0),ABS(L72-(K72+(K72-J72)*('Status'!$G$6-'Status'!$F$6)/('Status'!$F$6-'Status'!$E$6))),"")</x:f>
      </x:c>
      <x:c r="P72" s="13" t="str">
        <x:f>IF(AND(COUNT(J72:L72)=3,COUNT('Status'!$E$6:$G$6)=3,'Status'!$E$6&gt;'Status'!$F$6,'Status'!$F$6&gt;'Status'!$G$6,'Status'!$G$6&gt;0),('Status'!$F$6*L72-'Status'!$G$6*K72)/('Status'!$F$6-'Status'!$G$6),"")</x:f>
      </x:c>
      <x:c r="Q72" s="20"/>
      <x:c r="R72" s="13" t="str">
        <x:f>IF(COUNTA($A72)=0,"",IF('Status'!$B$6="MPS 1",IF(ISNUMBER(C72),C72,""),IF('Status'!$B$6="MPS 2",IF(ISNUMBER(D72),D72,""),IF('Status'!$B$6="MPS 3",IF(ISNUMBER(E72),E72,""),IF('Status'!$B$6="MPS extrap",IF(ISNUMBER(I72),I72,""),IF('Status'!$B$6="PPS 1",IF(ISNUMBER(J72),J72,""),IF('Status'!$B$6="PPS 2",IF(ISNUMBER(K72),K72,""),IF('Status'!$B$6="PPS 3",IF(ISNUMBER(L72),L72,""),IF('Status'!$B$6="PPS extrap",IF(ISNUMBER(P72),P72,""),IF('Status'!$B$6="Calibrated",IF(ISNUMBER(Q72),Q72,""),""))))))))))</x:f>
      </x:c>
      <x:c r="S72" s="2" t="str">
        <x:f>IF(COUNTA(A72)=0,"",IF(COUNTIFS('Estimates'!$A$5:$A$2004,A72,'Estimates'!$B$5:$B$2004,"MPS",'Estimates'!$H$5:$H$2004,1)+COUNTIFS('Estimates'!$A$5:$A$2004,A72,'Estimates'!$B$5:$B$2004,"PPS",'Estimates'!$H$5:$H$2004,1)&gt;0,1,0))</x:f>
      </x:c>
      <x:c r="T72" s="2" t="str">
        <x:f>IF(COUNTA(A72)=0,"",IF(COUNTIFS($A$6:$A$165,A72)&gt;1,"Duplicate target",IF(COUNTIFS(C72:E72,"DUP")+COUNTIFS(J72:L72,"DUP")&gt;0,"Duplicate accepted run",IF(COUNTIFS('Estimates'!$A$5:$A$2004,A72,'Estimates'!$H$5:$H$2004,1)-COUNTIFS('Estimates'!$A$5:$A$2004,A72,'Estimates'!$H$5:$H$2004,1,'Estimates'!$F$5:$F$2004,"&lt;&gt;")&gt;0,"Accepted value missing",""))))</x:f>
      </x:c>
    </x:row>
    <x:row r="73">
      <x:c r="A73" s="21"/>
      <x:c r="B73" s="19"/>
      <x:c r="C73" s="13" t="str">
        <x:f>IF(OR(COUNTA($A73)=0,NOT(ISNUMBER('Status'!$E$5))),"",IF(COUNTIFS('Estimates'!$A$5:$A$2004,$A73,'Estimates'!$B$5:$B$2004,"MPS",'Estimates'!$C$5:$C$2004,'Status'!$E$5,'Estimates'!$H$5:$H$2004,1)=0,"",IF(COUNTIFS('Estimates'!$A$5:$A$2004,$A73,'Estimates'!$B$5:$B$2004,"MPS",'Estimates'!$C$5:$C$2004,'Status'!$E$5,'Estimates'!$H$5:$H$2004,1)&gt;1,"DUP",IF(COUNTIFS('Estimates'!$A$5:$A$2004,$A73,'Estimates'!$B$5:$B$2004,"MPS",'Estimates'!$C$5:$C$2004,'Status'!$E$5,'Estimates'!$H$5:$H$2004,1,'Estimates'!$F$5:$F$2004,"&lt;&gt;")=0,"",SUMIFS('Estimates'!$F$5:$F$2004,'Estimates'!$A$5:$A$2004,$A73,'Estimates'!$B$5:$B$2004,"MPS",'Estimates'!$C$5:$C$2004,'Status'!$E$5,'Estimates'!$H$5:$H$2004,1)))))</x:f>
      </x:c>
      <x:c r="D73" s="13" t="str">
        <x:f>IF(OR(COUNTA($A73)=0,NOT(ISNUMBER('Status'!$F$5))),"",IF(COUNTIFS('Estimates'!$A$5:$A$2004,$A73,'Estimates'!$B$5:$B$2004,"MPS",'Estimates'!$C$5:$C$2004,'Status'!$F$5,'Estimates'!$H$5:$H$2004,1)=0,"",IF(COUNTIFS('Estimates'!$A$5:$A$2004,$A73,'Estimates'!$B$5:$B$2004,"MPS",'Estimates'!$C$5:$C$2004,'Status'!$F$5,'Estimates'!$H$5:$H$2004,1)&gt;1,"DUP",IF(COUNTIFS('Estimates'!$A$5:$A$2004,$A73,'Estimates'!$B$5:$B$2004,"MPS",'Estimates'!$C$5:$C$2004,'Status'!$F$5,'Estimates'!$H$5:$H$2004,1,'Estimates'!$F$5:$F$2004,"&lt;&gt;")=0,"",SUMIFS('Estimates'!$F$5:$F$2004,'Estimates'!$A$5:$A$2004,$A73,'Estimates'!$B$5:$B$2004,"MPS",'Estimates'!$C$5:$C$2004,'Status'!$F$5,'Estimates'!$H$5:$H$2004,1)))))</x:f>
      </x:c>
      <x:c r="E73" s="13" t="str">
        <x:f>IF(OR(COUNTA($A73)=0,NOT(ISNUMBER('Status'!$G$5))),"",IF(COUNTIFS('Estimates'!$A$5:$A$2004,$A73,'Estimates'!$B$5:$B$2004,"MPS",'Estimates'!$C$5:$C$2004,'Status'!$G$5,'Estimates'!$H$5:$H$2004,1)=0,"",IF(COUNTIFS('Estimates'!$A$5:$A$2004,$A73,'Estimates'!$B$5:$B$2004,"MPS",'Estimates'!$C$5:$C$2004,'Status'!$G$5,'Estimates'!$H$5:$H$2004,1)&gt;1,"DUP",IF(COUNTIFS('Estimates'!$A$5:$A$2004,$A73,'Estimates'!$B$5:$B$2004,"MPS",'Estimates'!$C$5:$C$2004,'Status'!$G$5,'Estimates'!$H$5:$H$2004,1,'Estimates'!$F$5:$F$2004,"&lt;&gt;")=0,"",SUMIFS('Estimates'!$F$5:$F$2004,'Estimates'!$A$5:$A$2004,$A73,'Estimates'!$B$5:$B$2004,"MPS",'Estimates'!$C$5:$C$2004,'Status'!$G$5,'Estimates'!$H$5:$H$2004,1)))))</x:f>
      </x:c>
      <x:c r="F73" s="13" t="str">
        <x:f>IF(AND(ISNUMBER(C73),ISNUMBER(D73)),D73-C73,"")</x:f>
      </x:c>
      <x:c r="G73" s="13" t="str">
        <x:f>IF(AND(ISNUMBER(D73),ISNUMBER(E73)),E73-D73,"")</x:f>
      </x:c>
      <x:c r="H73" s="13" t="str">
        <x:f>IF(AND(COUNT(C73:E73)=3,COUNT('Status'!$E$5:$G$5)=3,'Status'!$E$5&gt;0,'Status'!$E$5&lt;'Status'!$F$5,'Status'!$F$5&lt;'Status'!$G$5),ABS(E73-(D73+(D73-C73)*((1/'Status'!$G$5)-(1/'Status'!$F$5))/((1/'Status'!$F$5)-(1/'Status'!$E$5)))),"")</x:f>
      </x:c>
      <x:c r="I73" s="13" t="str">
        <x:f>IF(AND(COUNT(C73:E73)=3,COUNT('Status'!$E$5:$G$5)=3,'Status'!$E$5&gt;0,'Status'!$E$5&lt;'Status'!$F$5,'Status'!$F$5&lt;'Status'!$G$5),((1/'Status'!$F$5)*E73-(1/'Status'!$G$5)*D73)/((1/'Status'!$F$5)-(1/'Status'!$G$5)),"")</x:f>
      </x:c>
      <x:c r="J73" s="13" t="str">
        <x:f>IF(OR(COUNTA($A73)=0,NOT(ISNUMBER('Status'!$E$6))),"",IF(COUNTIFS('Estimates'!$A$5:$A$2004,$A73,'Estimates'!$B$5:$B$2004,"PPS",'Estimates'!$D$5:$D$2004,'Status'!$E$6,'Estimates'!$H$5:$H$2004,1,'Estimates'!$E$5:$E$2004,'Status'!$E$7)=0,"",IF(COUNTIFS('Estimates'!$A$5:$A$2004,$A73,'Estimates'!$B$5:$B$2004,"PPS",'Estimates'!$D$5:$D$2004,'Status'!$E$6,'Estimates'!$H$5:$H$2004,1,'Estimates'!$E$5:$E$2004,'Status'!$E$7)&gt;1,"DUP",IF(COUNTIFS('Estimates'!$A$5:$A$2004,$A73,'Estimates'!$B$5:$B$2004,"PPS",'Estimates'!$D$5:$D$2004,'Status'!$E$6,'Estimates'!$H$5:$H$2004,1,'Estimates'!$E$5:$E$2004,'Status'!$E$7,'Estimates'!$F$5:$F$2004,"&lt;&gt;")=0,"",SUMIFS('Estimates'!$F$5:$F$2004,'Estimates'!$A$5:$A$2004,$A73,'Estimates'!$B$5:$B$2004,"PPS",'Estimates'!$D$5:$D$2004,'Status'!$E$6,'Estimates'!$H$5:$H$2004,1,'Estimates'!$E$5:$E$2004,'Status'!$E$7)))))</x:f>
      </x:c>
      <x:c r="K73" s="13" t="str">
        <x:f>IF(OR(COUNTA($A73)=0,NOT(ISNUMBER('Status'!$F$6))),"",IF(COUNTIFS('Estimates'!$A$5:$A$2004,$A73,'Estimates'!$B$5:$B$2004,"PPS",'Estimates'!$D$5:$D$2004,'Status'!$F$6,'Estimates'!$H$5:$H$2004,1,'Estimates'!$E$5:$E$2004,'Status'!$E$7)=0,"",IF(COUNTIFS('Estimates'!$A$5:$A$2004,$A73,'Estimates'!$B$5:$B$2004,"PPS",'Estimates'!$D$5:$D$2004,'Status'!$F$6,'Estimates'!$H$5:$H$2004,1,'Estimates'!$E$5:$E$2004,'Status'!$E$7)&gt;1,"DUP",IF(COUNTIFS('Estimates'!$A$5:$A$2004,$A73,'Estimates'!$B$5:$B$2004,"PPS",'Estimates'!$D$5:$D$2004,'Status'!$F$6,'Estimates'!$H$5:$H$2004,1,'Estimates'!$E$5:$E$2004,'Status'!$E$7,'Estimates'!$F$5:$F$2004,"&lt;&gt;")=0,"",SUMIFS('Estimates'!$F$5:$F$2004,'Estimates'!$A$5:$A$2004,$A73,'Estimates'!$B$5:$B$2004,"PPS",'Estimates'!$D$5:$D$2004,'Status'!$F$6,'Estimates'!$H$5:$H$2004,1,'Estimates'!$E$5:$E$2004,'Status'!$E$7)))))</x:f>
      </x:c>
      <x:c r="L73" s="13" t="str">
        <x:f>IF(OR(COUNTA($A73)=0,NOT(ISNUMBER('Status'!$G$6))),"",IF(COUNTIFS('Estimates'!$A$5:$A$2004,$A73,'Estimates'!$B$5:$B$2004,"PPS",'Estimates'!$D$5:$D$2004,'Status'!$G$6,'Estimates'!$H$5:$H$2004,1,'Estimates'!$E$5:$E$2004,'Status'!$E$7)=0,"",IF(COUNTIFS('Estimates'!$A$5:$A$2004,$A73,'Estimates'!$B$5:$B$2004,"PPS",'Estimates'!$D$5:$D$2004,'Status'!$G$6,'Estimates'!$H$5:$H$2004,1,'Estimates'!$E$5:$E$2004,'Status'!$E$7)&gt;1,"DUP",IF(COUNTIFS('Estimates'!$A$5:$A$2004,$A73,'Estimates'!$B$5:$B$2004,"PPS",'Estimates'!$D$5:$D$2004,'Status'!$G$6,'Estimates'!$H$5:$H$2004,1,'Estimates'!$E$5:$E$2004,'Status'!$E$7,'Estimates'!$F$5:$F$2004,"&lt;&gt;")=0,"",SUMIFS('Estimates'!$F$5:$F$2004,'Estimates'!$A$5:$A$2004,$A73,'Estimates'!$B$5:$B$2004,"PPS",'Estimates'!$D$5:$D$2004,'Status'!$G$6,'Estimates'!$H$5:$H$2004,1,'Estimates'!$E$5:$E$2004,'Status'!$E$7)))))</x:f>
      </x:c>
      <x:c r="M73" s="13" t="str">
        <x:f>IF(AND(ISNUMBER(J73),ISNUMBER(K73)),K73-J73,"")</x:f>
      </x:c>
      <x:c r="N73" s="13" t="str">
        <x:f>IF(AND(ISNUMBER(K73),ISNUMBER(L73)),L73-K73,"")</x:f>
      </x:c>
      <x:c r="O73" s="13" t="str">
        <x:f>IF(AND(COUNT(J73:L73)=3,COUNT('Status'!$E$6:$G$6)=3,'Status'!$E$6&gt;'Status'!$F$6,'Status'!$F$6&gt;'Status'!$G$6,'Status'!$G$6&gt;0),ABS(L73-(K73+(K73-J73)*('Status'!$G$6-'Status'!$F$6)/('Status'!$F$6-'Status'!$E$6))),"")</x:f>
      </x:c>
      <x:c r="P73" s="13" t="str">
        <x:f>IF(AND(COUNT(J73:L73)=3,COUNT('Status'!$E$6:$G$6)=3,'Status'!$E$6&gt;'Status'!$F$6,'Status'!$F$6&gt;'Status'!$G$6,'Status'!$G$6&gt;0),('Status'!$F$6*L73-'Status'!$G$6*K73)/('Status'!$F$6-'Status'!$G$6),"")</x:f>
      </x:c>
      <x:c r="Q73" s="20"/>
      <x:c r="R73" s="13" t="str">
        <x:f>IF(COUNTA($A73)=0,"",IF('Status'!$B$6="MPS 1",IF(ISNUMBER(C73),C73,""),IF('Status'!$B$6="MPS 2",IF(ISNUMBER(D73),D73,""),IF('Status'!$B$6="MPS 3",IF(ISNUMBER(E73),E73,""),IF('Status'!$B$6="MPS extrap",IF(ISNUMBER(I73),I73,""),IF('Status'!$B$6="PPS 1",IF(ISNUMBER(J73),J73,""),IF('Status'!$B$6="PPS 2",IF(ISNUMBER(K73),K73,""),IF('Status'!$B$6="PPS 3",IF(ISNUMBER(L73),L73,""),IF('Status'!$B$6="PPS extrap",IF(ISNUMBER(P73),P73,""),IF('Status'!$B$6="Calibrated",IF(ISNUMBER(Q73),Q73,""),""))))))))))</x:f>
      </x:c>
      <x:c r="S73" s="2" t="str">
        <x:f>IF(COUNTA(A73)=0,"",IF(COUNTIFS('Estimates'!$A$5:$A$2004,A73,'Estimates'!$B$5:$B$2004,"MPS",'Estimates'!$H$5:$H$2004,1)+COUNTIFS('Estimates'!$A$5:$A$2004,A73,'Estimates'!$B$5:$B$2004,"PPS",'Estimates'!$H$5:$H$2004,1)&gt;0,1,0))</x:f>
      </x:c>
      <x:c r="T73" s="2" t="str">
        <x:f>IF(COUNTA(A73)=0,"",IF(COUNTIFS($A$6:$A$165,A73)&gt;1,"Duplicate target",IF(COUNTIFS(C73:E73,"DUP")+COUNTIFS(J73:L73,"DUP")&gt;0,"Duplicate accepted run",IF(COUNTIFS('Estimates'!$A$5:$A$2004,A73,'Estimates'!$H$5:$H$2004,1)-COUNTIFS('Estimates'!$A$5:$A$2004,A73,'Estimates'!$H$5:$H$2004,1,'Estimates'!$F$5:$F$2004,"&lt;&gt;")&gt;0,"Accepted value missing",""))))</x:f>
      </x:c>
    </x:row>
    <x:row r="74">
      <x:c r="A74" s="21"/>
      <x:c r="B74" s="19"/>
      <x:c r="C74" s="13" t="str">
        <x:f>IF(OR(COUNTA($A74)=0,NOT(ISNUMBER('Status'!$E$5))),"",IF(COUNTIFS('Estimates'!$A$5:$A$2004,$A74,'Estimates'!$B$5:$B$2004,"MPS",'Estimates'!$C$5:$C$2004,'Status'!$E$5,'Estimates'!$H$5:$H$2004,1)=0,"",IF(COUNTIFS('Estimates'!$A$5:$A$2004,$A74,'Estimates'!$B$5:$B$2004,"MPS",'Estimates'!$C$5:$C$2004,'Status'!$E$5,'Estimates'!$H$5:$H$2004,1)&gt;1,"DUP",IF(COUNTIFS('Estimates'!$A$5:$A$2004,$A74,'Estimates'!$B$5:$B$2004,"MPS",'Estimates'!$C$5:$C$2004,'Status'!$E$5,'Estimates'!$H$5:$H$2004,1,'Estimates'!$F$5:$F$2004,"&lt;&gt;")=0,"",SUMIFS('Estimates'!$F$5:$F$2004,'Estimates'!$A$5:$A$2004,$A74,'Estimates'!$B$5:$B$2004,"MPS",'Estimates'!$C$5:$C$2004,'Status'!$E$5,'Estimates'!$H$5:$H$2004,1)))))</x:f>
      </x:c>
      <x:c r="D74" s="13" t="str">
        <x:f>IF(OR(COUNTA($A74)=0,NOT(ISNUMBER('Status'!$F$5))),"",IF(COUNTIFS('Estimates'!$A$5:$A$2004,$A74,'Estimates'!$B$5:$B$2004,"MPS",'Estimates'!$C$5:$C$2004,'Status'!$F$5,'Estimates'!$H$5:$H$2004,1)=0,"",IF(COUNTIFS('Estimates'!$A$5:$A$2004,$A74,'Estimates'!$B$5:$B$2004,"MPS",'Estimates'!$C$5:$C$2004,'Status'!$F$5,'Estimates'!$H$5:$H$2004,1)&gt;1,"DUP",IF(COUNTIFS('Estimates'!$A$5:$A$2004,$A74,'Estimates'!$B$5:$B$2004,"MPS",'Estimates'!$C$5:$C$2004,'Status'!$F$5,'Estimates'!$H$5:$H$2004,1,'Estimates'!$F$5:$F$2004,"&lt;&gt;")=0,"",SUMIFS('Estimates'!$F$5:$F$2004,'Estimates'!$A$5:$A$2004,$A74,'Estimates'!$B$5:$B$2004,"MPS",'Estimates'!$C$5:$C$2004,'Status'!$F$5,'Estimates'!$H$5:$H$2004,1)))))</x:f>
      </x:c>
      <x:c r="E74" s="13" t="str">
        <x:f>IF(OR(COUNTA($A74)=0,NOT(ISNUMBER('Status'!$G$5))),"",IF(COUNTIFS('Estimates'!$A$5:$A$2004,$A74,'Estimates'!$B$5:$B$2004,"MPS",'Estimates'!$C$5:$C$2004,'Status'!$G$5,'Estimates'!$H$5:$H$2004,1)=0,"",IF(COUNTIFS('Estimates'!$A$5:$A$2004,$A74,'Estimates'!$B$5:$B$2004,"MPS",'Estimates'!$C$5:$C$2004,'Status'!$G$5,'Estimates'!$H$5:$H$2004,1)&gt;1,"DUP",IF(COUNTIFS('Estimates'!$A$5:$A$2004,$A74,'Estimates'!$B$5:$B$2004,"MPS",'Estimates'!$C$5:$C$2004,'Status'!$G$5,'Estimates'!$H$5:$H$2004,1,'Estimates'!$F$5:$F$2004,"&lt;&gt;")=0,"",SUMIFS('Estimates'!$F$5:$F$2004,'Estimates'!$A$5:$A$2004,$A74,'Estimates'!$B$5:$B$2004,"MPS",'Estimates'!$C$5:$C$2004,'Status'!$G$5,'Estimates'!$H$5:$H$2004,1)))))</x:f>
      </x:c>
      <x:c r="F74" s="13" t="str">
        <x:f>IF(AND(ISNUMBER(C74),ISNUMBER(D74)),D74-C74,"")</x:f>
      </x:c>
      <x:c r="G74" s="13" t="str">
        <x:f>IF(AND(ISNUMBER(D74),ISNUMBER(E74)),E74-D74,"")</x:f>
      </x:c>
      <x:c r="H74" s="13" t="str">
        <x:f>IF(AND(COUNT(C74:E74)=3,COUNT('Status'!$E$5:$G$5)=3,'Status'!$E$5&gt;0,'Status'!$E$5&lt;'Status'!$F$5,'Status'!$F$5&lt;'Status'!$G$5),ABS(E74-(D74+(D74-C74)*((1/'Status'!$G$5)-(1/'Status'!$F$5))/((1/'Status'!$F$5)-(1/'Status'!$E$5)))),"")</x:f>
      </x:c>
      <x:c r="I74" s="13" t="str">
        <x:f>IF(AND(COUNT(C74:E74)=3,COUNT('Status'!$E$5:$G$5)=3,'Status'!$E$5&gt;0,'Status'!$E$5&lt;'Status'!$F$5,'Status'!$F$5&lt;'Status'!$G$5),((1/'Status'!$F$5)*E74-(1/'Status'!$G$5)*D74)/((1/'Status'!$F$5)-(1/'Status'!$G$5)),"")</x:f>
      </x:c>
      <x:c r="J74" s="13" t="str">
        <x:f>IF(OR(COUNTA($A74)=0,NOT(ISNUMBER('Status'!$E$6))),"",IF(COUNTIFS('Estimates'!$A$5:$A$2004,$A74,'Estimates'!$B$5:$B$2004,"PPS",'Estimates'!$D$5:$D$2004,'Status'!$E$6,'Estimates'!$H$5:$H$2004,1,'Estimates'!$E$5:$E$2004,'Status'!$E$7)=0,"",IF(COUNTIFS('Estimates'!$A$5:$A$2004,$A74,'Estimates'!$B$5:$B$2004,"PPS",'Estimates'!$D$5:$D$2004,'Status'!$E$6,'Estimates'!$H$5:$H$2004,1,'Estimates'!$E$5:$E$2004,'Status'!$E$7)&gt;1,"DUP",IF(COUNTIFS('Estimates'!$A$5:$A$2004,$A74,'Estimates'!$B$5:$B$2004,"PPS",'Estimates'!$D$5:$D$2004,'Status'!$E$6,'Estimates'!$H$5:$H$2004,1,'Estimates'!$E$5:$E$2004,'Status'!$E$7,'Estimates'!$F$5:$F$2004,"&lt;&gt;")=0,"",SUMIFS('Estimates'!$F$5:$F$2004,'Estimates'!$A$5:$A$2004,$A74,'Estimates'!$B$5:$B$2004,"PPS",'Estimates'!$D$5:$D$2004,'Status'!$E$6,'Estimates'!$H$5:$H$2004,1,'Estimates'!$E$5:$E$2004,'Status'!$E$7)))))</x:f>
      </x:c>
      <x:c r="K74" s="13" t="str">
        <x:f>IF(OR(COUNTA($A74)=0,NOT(ISNUMBER('Status'!$F$6))),"",IF(COUNTIFS('Estimates'!$A$5:$A$2004,$A74,'Estimates'!$B$5:$B$2004,"PPS",'Estimates'!$D$5:$D$2004,'Status'!$F$6,'Estimates'!$H$5:$H$2004,1,'Estimates'!$E$5:$E$2004,'Status'!$E$7)=0,"",IF(COUNTIFS('Estimates'!$A$5:$A$2004,$A74,'Estimates'!$B$5:$B$2004,"PPS",'Estimates'!$D$5:$D$2004,'Status'!$F$6,'Estimates'!$H$5:$H$2004,1,'Estimates'!$E$5:$E$2004,'Status'!$E$7)&gt;1,"DUP",IF(COUNTIFS('Estimates'!$A$5:$A$2004,$A74,'Estimates'!$B$5:$B$2004,"PPS",'Estimates'!$D$5:$D$2004,'Status'!$F$6,'Estimates'!$H$5:$H$2004,1,'Estimates'!$E$5:$E$2004,'Status'!$E$7,'Estimates'!$F$5:$F$2004,"&lt;&gt;")=0,"",SUMIFS('Estimates'!$F$5:$F$2004,'Estimates'!$A$5:$A$2004,$A74,'Estimates'!$B$5:$B$2004,"PPS",'Estimates'!$D$5:$D$2004,'Status'!$F$6,'Estimates'!$H$5:$H$2004,1,'Estimates'!$E$5:$E$2004,'Status'!$E$7)))))</x:f>
      </x:c>
      <x:c r="L74" s="13" t="str">
        <x:f>IF(OR(COUNTA($A74)=0,NOT(ISNUMBER('Status'!$G$6))),"",IF(COUNTIFS('Estimates'!$A$5:$A$2004,$A74,'Estimates'!$B$5:$B$2004,"PPS",'Estimates'!$D$5:$D$2004,'Status'!$G$6,'Estimates'!$H$5:$H$2004,1,'Estimates'!$E$5:$E$2004,'Status'!$E$7)=0,"",IF(COUNTIFS('Estimates'!$A$5:$A$2004,$A74,'Estimates'!$B$5:$B$2004,"PPS",'Estimates'!$D$5:$D$2004,'Status'!$G$6,'Estimates'!$H$5:$H$2004,1,'Estimates'!$E$5:$E$2004,'Status'!$E$7)&gt;1,"DUP",IF(COUNTIFS('Estimates'!$A$5:$A$2004,$A74,'Estimates'!$B$5:$B$2004,"PPS",'Estimates'!$D$5:$D$2004,'Status'!$G$6,'Estimates'!$H$5:$H$2004,1,'Estimates'!$E$5:$E$2004,'Status'!$E$7,'Estimates'!$F$5:$F$2004,"&lt;&gt;")=0,"",SUMIFS('Estimates'!$F$5:$F$2004,'Estimates'!$A$5:$A$2004,$A74,'Estimates'!$B$5:$B$2004,"PPS",'Estimates'!$D$5:$D$2004,'Status'!$G$6,'Estimates'!$H$5:$H$2004,1,'Estimates'!$E$5:$E$2004,'Status'!$E$7)))))</x:f>
      </x:c>
      <x:c r="M74" s="13" t="str">
        <x:f>IF(AND(ISNUMBER(J74),ISNUMBER(K74)),K74-J74,"")</x:f>
      </x:c>
      <x:c r="N74" s="13" t="str">
        <x:f>IF(AND(ISNUMBER(K74),ISNUMBER(L74)),L74-K74,"")</x:f>
      </x:c>
      <x:c r="O74" s="13" t="str">
        <x:f>IF(AND(COUNT(J74:L74)=3,COUNT('Status'!$E$6:$G$6)=3,'Status'!$E$6&gt;'Status'!$F$6,'Status'!$F$6&gt;'Status'!$G$6,'Status'!$G$6&gt;0),ABS(L74-(K74+(K74-J74)*('Status'!$G$6-'Status'!$F$6)/('Status'!$F$6-'Status'!$E$6))),"")</x:f>
      </x:c>
      <x:c r="P74" s="13" t="str">
        <x:f>IF(AND(COUNT(J74:L74)=3,COUNT('Status'!$E$6:$G$6)=3,'Status'!$E$6&gt;'Status'!$F$6,'Status'!$F$6&gt;'Status'!$G$6,'Status'!$G$6&gt;0),('Status'!$F$6*L74-'Status'!$G$6*K74)/('Status'!$F$6-'Status'!$G$6),"")</x:f>
      </x:c>
      <x:c r="Q74" s="20"/>
      <x:c r="R74" s="13" t="str">
        <x:f>IF(COUNTA($A74)=0,"",IF('Status'!$B$6="MPS 1",IF(ISNUMBER(C74),C74,""),IF('Status'!$B$6="MPS 2",IF(ISNUMBER(D74),D74,""),IF('Status'!$B$6="MPS 3",IF(ISNUMBER(E74),E74,""),IF('Status'!$B$6="MPS extrap",IF(ISNUMBER(I74),I74,""),IF('Status'!$B$6="PPS 1",IF(ISNUMBER(J74),J74,""),IF('Status'!$B$6="PPS 2",IF(ISNUMBER(K74),K74,""),IF('Status'!$B$6="PPS 3",IF(ISNUMBER(L74),L74,""),IF('Status'!$B$6="PPS extrap",IF(ISNUMBER(P74),P74,""),IF('Status'!$B$6="Calibrated",IF(ISNUMBER(Q74),Q74,""),""))))))))))</x:f>
      </x:c>
      <x:c r="S74" s="2" t="str">
        <x:f>IF(COUNTA(A74)=0,"",IF(COUNTIFS('Estimates'!$A$5:$A$2004,A74,'Estimates'!$B$5:$B$2004,"MPS",'Estimates'!$H$5:$H$2004,1)+COUNTIFS('Estimates'!$A$5:$A$2004,A74,'Estimates'!$B$5:$B$2004,"PPS",'Estimates'!$H$5:$H$2004,1)&gt;0,1,0))</x:f>
      </x:c>
      <x:c r="T74" s="2" t="str">
        <x:f>IF(COUNTA(A74)=0,"",IF(COUNTIFS($A$6:$A$165,A74)&gt;1,"Duplicate target",IF(COUNTIFS(C74:E74,"DUP")+COUNTIFS(J74:L74,"DUP")&gt;0,"Duplicate accepted run",IF(COUNTIFS('Estimates'!$A$5:$A$2004,A74,'Estimates'!$H$5:$H$2004,1)-COUNTIFS('Estimates'!$A$5:$A$2004,A74,'Estimates'!$H$5:$H$2004,1,'Estimates'!$F$5:$F$2004,"&lt;&gt;")&gt;0,"Accepted value missing",""))))</x:f>
      </x:c>
    </x:row>
    <x:row r="75">
      <x:c r="A75" s="21"/>
      <x:c r="B75" s="19"/>
      <x:c r="C75" s="13" t="str">
        <x:f>IF(OR(COUNTA($A75)=0,NOT(ISNUMBER('Status'!$E$5))),"",IF(COUNTIFS('Estimates'!$A$5:$A$2004,$A75,'Estimates'!$B$5:$B$2004,"MPS",'Estimates'!$C$5:$C$2004,'Status'!$E$5,'Estimates'!$H$5:$H$2004,1)=0,"",IF(COUNTIFS('Estimates'!$A$5:$A$2004,$A75,'Estimates'!$B$5:$B$2004,"MPS",'Estimates'!$C$5:$C$2004,'Status'!$E$5,'Estimates'!$H$5:$H$2004,1)&gt;1,"DUP",IF(COUNTIFS('Estimates'!$A$5:$A$2004,$A75,'Estimates'!$B$5:$B$2004,"MPS",'Estimates'!$C$5:$C$2004,'Status'!$E$5,'Estimates'!$H$5:$H$2004,1,'Estimates'!$F$5:$F$2004,"&lt;&gt;")=0,"",SUMIFS('Estimates'!$F$5:$F$2004,'Estimates'!$A$5:$A$2004,$A75,'Estimates'!$B$5:$B$2004,"MPS",'Estimates'!$C$5:$C$2004,'Status'!$E$5,'Estimates'!$H$5:$H$2004,1)))))</x:f>
      </x:c>
      <x:c r="D75" s="13" t="str">
        <x:f>IF(OR(COUNTA($A75)=0,NOT(ISNUMBER('Status'!$F$5))),"",IF(COUNTIFS('Estimates'!$A$5:$A$2004,$A75,'Estimates'!$B$5:$B$2004,"MPS",'Estimates'!$C$5:$C$2004,'Status'!$F$5,'Estimates'!$H$5:$H$2004,1)=0,"",IF(COUNTIFS('Estimates'!$A$5:$A$2004,$A75,'Estimates'!$B$5:$B$2004,"MPS",'Estimates'!$C$5:$C$2004,'Status'!$F$5,'Estimates'!$H$5:$H$2004,1)&gt;1,"DUP",IF(COUNTIFS('Estimates'!$A$5:$A$2004,$A75,'Estimates'!$B$5:$B$2004,"MPS",'Estimates'!$C$5:$C$2004,'Status'!$F$5,'Estimates'!$H$5:$H$2004,1,'Estimates'!$F$5:$F$2004,"&lt;&gt;")=0,"",SUMIFS('Estimates'!$F$5:$F$2004,'Estimates'!$A$5:$A$2004,$A75,'Estimates'!$B$5:$B$2004,"MPS",'Estimates'!$C$5:$C$2004,'Status'!$F$5,'Estimates'!$H$5:$H$2004,1)))))</x:f>
      </x:c>
      <x:c r="E75" s="13" t="str">
        <x:f>IF(OR(COUNTA($A75)=0,NOT(ISNUMBER('Status'!$G$5))),"",IF(COUNTIFS('Estimates'!$A$5:$A$2004,$A75,'Estimates'!$B$5:$B$2004,"MPS",'Estimates'!$C$5:$C$2004,'Status'!$G$5,'Estimates'!$H$5:$H$2004,1)=0,"",IF(COUNTIFS('Estimates'!$A$5:$A$2004,$A75,'Estimates'!$B$5:$B$2004,"MPS",'Estimates'!$C$5:$C$2004,'Status'!$G$5,'Estimates'!$H$5:$H$2004,1)&gt;1,"DUP",IF(COUNTIFS('Estimates'!$A$5:$A$2004,$A75,'Estimates'!$B$5:$B$2004,"MPS",'Estimates'!$C$5:$C$2004,'Status'!$G$5,'Estimates'!$H$5:$H$2004,1,'Estimates'!$F$5:$F$2004,"&lt;&gt;")=0,"",SUMIFS('Estimates'!$F$5:$F$2004,'Estimates'!$A$5:$A$2004,$A75,'Estimates'!$B$5:$B$2004,"MPS",'Estimates'!$C$5:$C$2004,'Status'!$G$5,'Estimates'!$H$5:$H$2004,1)))))</x:f>
      </x:c>
      <x:c r="F75" s="13" t="str">
        <x:f>IF(AND(ISNUMBER(C75),ISNUMBER(D75)),D75-C75,"")</x:f>
      </x:c>
      <x:c r="G75" s="13" t="str">
        <x:f>IF(AND(ISNUMBER(D75),ISNUMBER(E75)),E75-D75,"")</x:f>
      </x:c>
      <x:c r="H75" s="13" t="str">
        <x:f>IF(AND(COUNT(C75:E75)=3,COUNT('Status'!$E$5:$G$5)=3,'Status'!$E$5&gt;0,'Status'!$E$5&lt;'Status'!$F$5,'Status'!$F$5&lt;'Status'!$G$5),ABS(E75-(D75+(D75-C75)*((1/'Status'!$G$5)-(1/'Status'!$F$5))/((1/'Status'!$F$5)-(1/'Status'!$E$5)))),"")</x:f>
      </x:c>
      <x:c r="I75" s="13" t="str">
        <x:f>IF(AND(COUNT(C75:E75)=3,COUNT('Status'!$E$5:$G$5)=3,'Status'!$E$5&gt;0,'Status'!$E$5&lt;'Status'!$F$5,'Status'!$F$5&lt;'Status'!$G$5),((1/'Status'!$F$5)*E75-(1/'Status'!$G$5)*D75)/((1/'Status'!$F$5)-(1/'Status'!$G$5)),"")</x:f>
      </x:c>
      <x:c r="J75" s="13" t="str">
        <x:f>IF(OR(COUNTA($A75)=0,NOT(ISNUMBER('Status'!$E$6))),"",IF(COUNTIFS('Estimates'!$A$5:$A$2004,$A75,'Estimates'!$B$5:$B$2004,"PPS",'Estimates'!$D$5:$D$2004,'Status'!$E$6,'Estimates'!$H$5:$H$2004,1,'Estimates'!$E$5:$E$2004,'Status'!$E$7)=0,"",IF(COUNTIFS('Estimates'!$A$5:$A$2004,$A75,'Estimates'!$B$5:$B$2004,"PPS",'Estimates'!$D$5:$D$2004,'Status'!$E$6,'Estimates'!$H$5:$H$2004,1,'Estimates'!$E$5:$E$2004,'Status'!$E$7)&gt;1,"DUP",IF(COUNTIFS('Estimates'!$A$5:$A$2004,$A75,'Estimates'!$B$5:$B$2004,"PPS",'Estimates'!$D$5:$D$2004,'Status'!$E$6,'Estimates'!$H$5:$H$2004,1,'Estimates'!$E$5:$E$2004,'Status'!$E$7,'Estimates'!$F$5:$F$2004,"&lt;&gt;")=0,"",SUMIFS('Estimates'!$F$5:$F$2004,'Estimates'!$A$5:$A$2004,$A75,'Estimates'!$B$5:$B$2004,"PPS",'Estimates'!$D$5:$D$2004,'Status'!$E$6,'Estimates'!$H$5:$H$2004,1,'Estimates'!$E$5:$E$2004,'Status'!$E$7)))))</x:f>
      </x:c>
      <x:c r="K75" s="13" t="str">
        <x:f>IF(OR(COUNTA($A75)=0,NOT(ISNUMBER('Status'!$F$6))),"",IF(COUNTIFS('Estimates'!$A$5:$A$2004,$A75,'Estimates'!$B$5:$B$2004,"PPS",'Estimates'!$D$5:$D$2004,'Status'!$F$6,'Estimates'!$H$5:$H$2004,1,'Estimates'!$E$5:$E$2004,'Status'!$E$7)=0,"",IF(COUNTIFS('Estimates'!$A$5:$A$2004,$A75,'Estimates'!$B$5:$B$2004,"PPS",'Estimates'!$D$5:$D$2004,'Status'!$F$6,'Estimates'!$H$5:$H$2004,1,'Estimates'!$E$5:$E$2004,'Status'!$E$7)&gt;1,"DUP",IF(COUNTIFS('Estimates'!$A$5:$A$2004,$A75,'Estimates'!$B$5:$B$2004,"PPS",'Estimates'!$D$5:$D$2004,'Status'!$F$6,'Estimates'!$H$5:$H$2004,1,'Estimates'!$E$5:$E$2004,'Status'!$E$7,'Estimates'!$F$5:$F$2004,"&lt;&gt;")=0,"",SUMIFS('Estimates'!$F$5:$F$2004,'Estimates'!$A$5:$A$2004,$A75,'Estimates'!$B$5:$B$2004,"PPS",'Estimates'!$D$5:$D$2004,'Status'!$F$6,'Estimates'!$H$5:$H$2004,1,'Estimates'!$E$5:$E$2004,'Status'!$E$7)))))</x:f>
      </x:c>
      <x:c r="L75" s="13" t="str">
        <x:f>IF(OR(COUNTA($A75)=0,NOT(ISNUMBER('Status'!$G$6))),"",IF(COUNTIFS('Estimates'!$A$5:$A$2004,$A75,'Estimates'!$B$5:$B$2004,"PPS",'Estimates'!$D$5:$D$2004,'Status'!$G$6,'Estimates'!$H$5:$H$2004,1,'Estimates'!$E$5:$E$2004,'Status'!$E$7)=0,"",IF(COUNTIFS('Estimates'!$A$5:$A$2004,$A75,'Estimates'!$B$5:$B$2004,"PPS",'Estimates'!$D$5:$D$2004,'Status'!$G$6,'Estimates'!$H$5:$H$2004,1,'Estimates'!$E$5:$E$2004,'Status'!$E$7)&gt;1,"DUP",IF(COUNTIFS('Estimates'!$A$5:$A$2004,$A75,'Estimates'!$B$5:$B$2004,"PPS",'Estimates'!$D$5:$D$2004,'Status'!$G$6,'Estimates'!$H$5:$H$2004,1,'Estimates'!$E$5:$E$2004,'Status'!$E$7,'Estimates'!$F$5:$F$2004,"&lt;&gt;")=0,"",SUMIFS('Estimates'!$F$5:$F$2004,'Estimates'!$A$5:$A$2004,$A75,'Estimates'!$B$5:$B$2004,"PPS",'Estimates'!$D$5:$D$2004,'Status'!$G$6,'Estimates'!$H$5:$H$2004,1,'Estimates'!$E$5:$E$2004,'Status'!$E$7)))))</x:f>
      </x:c>
      <x:c r="M75" s="13" t="str">
        <x:f>IF(AND(ISNUMBER(J75),ISNUMBER(K75)),K75-J75,"")</x:f>
      </x:c>
      <x:c r="N75" s="13" t="str">
        <x:f>IF(AND(ISNUMBER(K75),ISNUMBER(L75)),L75-K75,"")</x:f>
      </x:c>
      <x:c r="O75" s="13" t="str">
        <x:f>IF(AND(COUNT(J75:L75)=3,COUNT('Status'!$E$6:$G$6)=3,'Status'!$E$6&gt;'Status'!$F$6,'Status'!$F$6&gt;'Status'!$G$6,'Status'!$G$6&gt;0),ABS(L75-(K75+(K75-J75)*('Status'!$G$6-'Status'!$F$6)/('Status'!$F$6-'Status'!$E$6))),"")</x:f>
      </x:c>
      <x:c r="P75" s="13" t="str">
        <x:f>IF(AND(COUNT(J75:L75)=3,COUNT('Status'!$E$6:$G$6)=3,'Status'!$E$6&gt;'Status'!$F$6,'Status'!$F$6&gt;'Status'!$G$6,'Status'!$G$6&gt;0),('Status'!$F$6*L75-'Status'!$G$6*K75)/('Status'!$F$6-'Status'!$G$6),"")</x:f>
      </x:c>
      <x:c r="Q75" s="20"/>
      <x:c r="R75" s="13" t="str">
        <x:f>IF(COUNTA($A75)=0,"",IF('Status'!$B$6="MPS 1",IF(ISNUMBER(C75),C75,""),IF('Status'!$B$6="MPS 2",IF(ISNUMBER(D75),D75,""),IF('Status'!$B$6="MPS 3",IF(ISNUMBER(E75),E75,""),IF('Status'!$B$6="MPS extrap",IF(ISNUMBER(I75),I75,""),IF('Status'!$B$6="PPS 1",IF(ISNUMBER(J75),J75,""),IF('Status'!$B$6="PPS 2",IF(ISNUMBER(K75),K75,""),IF('Status'!$B$6="PPS 3",IF(ISNUMBER(L75),L75,""),IF('Status'!$B$6="PPS extrap",IF(ISNUMBER(P75),P75,""),IF('Status'!$B$6="Calibrated",IF(ISNUMBER(Q75),Q75,""),""))))))))))</x:f>
      </x:c>
      <x:c r="S75" s="2" t="str">
        <x:f>IF(COUNTA(A75)=0,"",IF(COUNTIFS('Estimates'!$A$5:$A$2004,A75,'Estimates'!$B$5:$B$2004,"MPS",'Estimates'!$H$5:$H$2004,1)+COUNTIFS('Estimates'!$A$5:$A$2004,A75,'Estimates'!$B$5:$B$2004,"PPS",'Estimates'!$H$5:$H$2004,1)&gt;0,1,0))</x:f>
      </x:c>
      <x:c r="T75" s="2" t="str">
        <x:f>IF(COUNTA(A75)=0,"",IF(COUNTIFS($A$6:$A$165,A75)&gt;1,"Duplicate target",IF(COUNTIFS(C75:E75,"DUP")+COUNTIFS(J75:L75,"DUP")&gt;0,"Duplicate accepted run",IF(COUNTIFS('Estimates'!$A$5:$A$2004,A75,'Estimates'!$H$5:$H$2004,1)-COUNTIFS('Estimates'!$A$5:$A$2004,A75,'Estimates'!$H$5:$H$2004,1,'Estimates'!$F$5:$F$2004,"&lt;&gt;")&gt;0,"Accepted value missing",""))))</x:f>
      </x:c>
    </x:row>
    <x:row r="76">
      <x:c r="A76" s="21"/>
      <x:c r="B76" s="19"/>
      <x:c r="C76" s="13" t="str">
        <x:f>IF(OR(COUNTA($A76)=0,NOT(ISNUMBER('Status'!$E$5))),"",IF(COUNTIFS('Estimates'!$A$5:$A$2004,$A76,'Estimates'!$B$5:$B$2004,"MPS",'Estimates'!$C$5:$C$2004,'Status'!$E$5,'Estimates'!$H$5:$H$2004,1)=0,"",IF(COUNTIFS('Estimates'!$A$5:$A$2004,$A76,'Estimates'!$B$5:$B$2004,"MPS",'Estimates'!$C$5:$C$2004,'Status'!$E$5,'Estimates'!$H$5:$H$2004,1)&gt;1,"DUP",IF(COUNTIFS('Estimates'!$A$5:$A$2004,$A76,'Estimates'!$B$5:$B$2004,"MPS",'Estimates'!$C$5:$C$2004,'Status'!$E$5,'Estimates'!$H$5:$H$2004,1,'Estimates'!$F$5:$F$2004,"&lt;&gt;")=0,"",SUMIFS('Estimates'!$F$5:$F$2004,'Estimates'!$A$5:$A$2004,$A76,'Estimates'!$B$5:$B$2004,"MPS",'Estimates'!$C$5:$C$2004,'Status'!$E$5,'Estimates'!$H$5:$H$2004,1)))))</x:f>
      </x:c>
      <x:c r="D76" s="13" t="str">
        <x:f>IF(OR(COUNTA($A76)=0,NOT(ISNUMBER('Status'!$F$5))),"",IF(COUNTIFS('Estimates'!$A$5:$A$2004,$A76,'Estimates'!$B$5:$B$2004,"MPS",'Estimates'!$C$5:$C$2004,'Status'!$F$5,'Estimates'!$H$5:$H$2004,1)=0,"",IF(COUNTIFS('Estimates'!$A$5:$A$2004,$A76,'Estimates'!$B$5:$B$2004,"MPS",'Estimates'!$C$5:$C$2004,'Status'!$F$5,'Estimates'!$H$5:$H$2004,1)&gt;1,"DUP",IF(COUNTIFS('Estimates'!$A$5:$A$2004,$A76,'Estimates'!$B$5:$B$2004,"MPS",'Estimates'!$C$5:$C$2004,'Status'!$F$5,'Estimates'!$H$5:$H$2004,1,'Estimates'!$F$5:$F$2004,"&lt;&gt;")=0,"",SUMIFS('Estimates'!$F$5:$F$2004,'Estimates'!$A$5:$A$2004,$A76,'Estimates'!$B$5:$B$2004,"MPS",'Estimates'!$C$5:$C$2004,'Status'!$F$5,'Estimates'!$H$5:$H$2004,1)))))</x:f>
      </x:c>
      <x:c r="E76" s="13" t="str">
        <x:f>IF(OR(COUNTA($A76)=0,NOT(ISNUMBER('Status'!$G$5))),"",IF(COUNTIFS('Estimates'!$A$5:$A$2004,$A76,'Estimates'!$B$5:$B$2004,"MPS",'Estimates'!$C$5:$C$2004,'Status'!$G$5,'Estimates'!$H$5:$H$2004,1)=0,"",IF(COUNTIFS('Estimates'!$A$5:$A$2004,$A76,'Estimates'!$B$5:$B$2004,"MPS",'Estimates'!$C$5:$C$2004,'Status'!$G$5,'Estimates'!$H$5:$H$2004,1)&gt;1,"DUP",IF(COUNTIFS('Estimates'!$A$5:$A$2004,$A76,'Estimates'!$B$5:$B$2004,"MPS",'Estimates'!$C$5:$C$2004,'Status'!$G$5,'Estimates'!$H$5:$H$2004,1,'Estimates'!$F$5:$F$2004,"&lt;&gt;")=0,"",SUMIFS('Estimates'!$F$5:$F$2004,'Estimates'!$A$5:$A$2004,$A76,'Estimates'!$B$5:$B$2004,"MPS",'Estimates'!$C$5:$C$2004,'Status'!$G$5,'Estimates'!$H$5:$H$2004,1)))))</x:f>
      </x:c>
      <x:c r="F76" s="13" t="str">
        <x:f>IF(AND(ISNUMBER(C76),ISNUMBER(D76)),D76-C76,"")</x:f>
      </x:c>
      <x:c r="G76" s="13" t="str">
        <x:f>IF(AND(ISNUMBER(D76),ISNUMBER(E76)),E76-D76,"")</x:f>
      </x:c>
      <x:c r="H76" s="13" t="str">
        <x:f>IF(AND(COUNT(C76:E76)=3,COUNT('Status'!$E$5:$G$5)=3,'Status'!$E$5&gt;0,'Status'!$E$5&lt;'Status'!$F$5,'Status'!$F$5&lt;'Status'!$G$5),ABS(E76-(D76+(D76-C76)*((1/'Status'!$G$5)-(1/'Status'!$F$5))/((1/'Status'!$F$5)-(1/'Status'!$E$5)))),"")</x:f>
      </x:c>
      <x:c r="I76" s="13" t="str">
        <x:f>IF(AND(COUNT(C76:E76)=3,COUNT('Status'!$E$5:$G$5)=3,'Status'!$E$5&gt;0,'Status'!$E$5&lt;'Status'!$F$5,'Status'!$F$5&lt;'Status'!$G$5),((1/'Status'!$F$5)*E76-(1/'Status'!$G$5)*D76)/((1/'Status'!$F$5)-(1/'Status'!$G$5)),"")</x:f>
      </x:c>
      <x:c r="J76" s="13" t="str">
        <x:f>IF(OR(COUNTA($A76)=0,NOT(ISNUMBER('Status'!$E$6))),"",IF(COUNTIFS('Estimates'!$A$5:$A$2004,$A76,'Estimates'!$B$5:$B$2004,"PPS",'Estimates'!$D$5:$D$2004,'Status'!$E$6,'Estimates'!$H$5:$H$2004,1,'Estimates'!$E$5:$E$2004,'Status'!$E$7)=0,"",IF(COUNTIFS('Estimates'!$A$5:$A$2004,$A76,'Estimates'!$B$5:$B$2004,"PPS",'Estimates'!$D$5:$D$2004,'Status'!$E$6,'Estimates'!$H$5:$H$2004,1,'Estimates'!$E$5:$E$2004,'Status'!$E$7)&gt;1,"DUP",IF(COUNTIFS('Estimates'!$A$5:$A$2004,$A76,'Estimates'!$B$5:$B$2004,"PPS",'Estimates'!$D$5:$D$2004,'Status'!$E$6,'Estimates'!$H$5:$H$2004,1,'Estimates'!$E$5:$E$2004,'Status'!$E$7,'Estimates'!$F$5:$F$2004,"&lt;&gt;")=0,"",SUMIFS('Estimates'!$F$5:$F$2004,'Estimates'!$A$5:$A$2004,$A76,'Estimates'!$B$5:$B$2004,"PPS",'Estimates'!$D$5:$D$2004,'Status'!$E$6,'Estimates'!$H$5:$H$2004,1,'Estimates'!$E$5:$E$2004,'Status'!$E$7)))))</x:f>
      </x:c>
      <x:c r="K76" s="13" t="str">
        <x:f>IF(OR(COUNTA($A76)=0,NOT(ISNUMBER('Status'!$F$6))),"",IF(COUNTIFS('Estimates'!$A$5:$A$2004,$A76,'Estimates'!$B$5:$B$2004,"PPS",'Estimates'!$D$5:$D$2004,'Status'!$F$6,'Estimates'!$H$5:$H$2004,1,'Estimates'!$E$5:$E$2004,'Status'!$E$7)=0,"",IF(COUNTIFS('Estimates'!$A$5:$A$2004,$A76,'Estimates'!$B$5:$B$2004,"PPS",'Estimates'!$D$5:$D$2004,'Status'!$F$6,'Estimates'!$H$5:$H$2004,1,'Estimates'!$E$5:$E$2004,'Status'!$E$7)&gt;1,"DUP",IF(COUNTIFS('Estimates'!$A$5:$A$2004,$A76,'Estimates'!$B$5:$B$2004,"PPS",'Estimates'!$D$5:$D$2004,'Status'!$F$6,'Estimates'!$H$5:$H$2004,1,'Estimates'!$E$5:$E$2004,'Status'!$E$7,'Estimates'!$F$5:$F$2004,"&lt;&gt;")=0,"",SUMIFS('Estimates'!$F$5:$F$2004,'Estimates'!$A$5:$A$2004,$A76,'Estimates'!$B$5:$B$2004,"PPS",'Estimates'!$D$5:$D$2004,'Status'!$F$6,'Estimates'!$H$5:$H$2004,1,'Estimates'!$E$5:$E$2004,'Status'!$E$7)))))</x:f>
      </x:c>
      <x:c r="L76" s="13" t="str">
        <x:f>IF(OR(COUNTA($A76)=0,NOT(ISNUMBER('Status'!$G$6))),"",IF(COUNTIFS('Estimates'!$A$5:$A$2004,$A76,'Estimates'!$B$5:$B$2004,"PPS",'Estimates'!$D$5:$D$2004,'Status'!$G$6,'Estimates'!$H$5:$H$2004,1,'Estimates'!$E$5:$E$2004,'Status'!$E$7)=0,"",IF(COUNTIFS('Estimates'!$A$5:$A$2004,$A76,'Estimates'!$B$5:$B$2004,"PPS",'Estimates'!$D$5:$D$2004,'Status'!$G$6,'Estimates'!$H$5:$H$2004,1,'Estimates'!$E$5:$E$2004,'Status'!$E$7)&gt;1,"DUP",IF(COUNTIFS('Estimates'!$A$5:$A$2004,$A76,'Estimates'!$B$5:$B$2004,"PPS",'Estimates'!$D$5:$D$2004,'Status'!$G$6,'Estimates'!$H$5:$H$2004,1,'Estimates'!$E$5:$E$2004,'Status'!$E$7,'Estimates'!$F$5:$F$2004,"&lt;&gt;")=0,"",SUMIFS('Estimates'!$F$5:$F$2004,'Estimates'!$A$5:$A$2004,$A76,'Estimates'!$B$5:$B$2004,"PPS",'Estimates'!$D$5:$D$2004,'Status'!$G$6,'Estimates'!$H$5:$H$2004,1,'Estimates'!$E$5:$E$2004,'Status'!$E$7)))))</x:f>
      </x:c>
      <x:c r="M76" s="13" t="str">
        <x:f>IF(AND(ISNUMBER(J76),ISNUMBER(K76)),K76-J76,"")</x:f>
      </x:c>
      <x:c r="N76" s="13" t="str">
        <x:f>IF(AND(ISNUMBER(K76),ISNUMBER(L76)),L76-K76,"")</x:f>
      </x:c>
      <x:c r="O76" s="13" t="str">
        <x:f>IF(AND(COUNT(J76:L76)=3,COUNT('Status'!$E$6:$G$6)=3,'Status'!$E$6&gt;'Status'!$F$6,'Status'!$F$6&gt;'Status'!$G$6,'Status'!$G$6&gt;0),ABS(L76-(K76+(K76-J76)*('Status'!$G$6-'Status'!$F$6)/('Status'!$F$6-'Status'!$E$6))),"")</x:f>
      </x:c>
      <x:c r="P76" s="13" t="str">
        <x:f>IF(AND(COUNT(J76:L76)=3,COUNT('Status'!$E$6:$G$6)=3,'Status'!$E$6&gt;'Status'!$F$6,'Status'!$F$6&gt;'Status'!$G$6,'Status'!$G$6&gt;0),('Status'!$F$6*L76-'Status'!$G$6*K76)/('Status'!$F$6-'Status'!$G$6),"")</x:f>
      </x:c>
      <x:c r="Q76" s="20"/>
      <x:c r="R76" s="13" t="str">
        <x:f>IF(COUNTA($A76)=0,"",IF('Status'!$B$6="MPS 1",IF(ISNUMBER(C76),C76,""),IF('Status'!$B$6="MPS 2",IF(ISNUMBER(D76),D76,""),IF('Status'!$B$6="MPS 3",IF(ISNUMBER(E76),E76,""),IF('Status'!$B$6="MPS extrap",IF(ISNUMBER(I76),I76,""),IF('Status'!$B$6="PPS 1",IF(ISNUMBER(J76),J76,""),IF('Status'!$B$6="PPS 2",IF(ISNUMBER(K76),K76,""),IF('Status'!$B$6="PPS 3",IF(ISNUMBER(L76),L76,""),IF('Status'!$B$6="PPS extrap",IF(ISNUMBER(P76),P76,""),IF('Status'!$B$6="Calibrated",IF(ISNUMBER(Q76),Q76,""),""))))))))))</x:f>
      </x:c>
      <x:c r="S76" s="2" t="str">
        <x:f>IF(COUNTA(A76)=0,"",IF(COUNTIFS('Estimates'!$A$5:$A$2004,A76,'Estimates'!$B$5:$B$2004,"MPS",'Estimates'!$H$5:$H$2004,1)+COUNTIFS('Estimates'!$A$5:$A$2004,A76,'Estimates'!$B$5:$B$2004,"PPS",'Estimates'!$H$5:$H$2004,1)&gt;0,1,0))</x:f>
      </x:c>
      <x:c r="T76" s="2" t="str">
        <x:f>IF(COUNTA(A76)=0,"",IF(COUNTIFS($A$6:$A$165,A76)&gt;1,"Duplicate target",IF(COUNTIFS(C76:E76,"DUP")+COUNTIFS(J76:L76,"DUP")&gt;0,"Duplicate accepted run",IF(COUNTIFS('Estimates'!$A$5:$A$2004,A76,'Estimates'!$H$5:$H$2004,1)-COUNTIFS('Estimates'!$A$5:$A$2004,A76,'Estimates'!$H$5:$H$2004,1,'Estimates'!$F$5:$F$2004,"&lt;&gt;")&gt;0,"Accepted value missing",""))))</x:f>
      </x:c>
    </x:row>
    <x:row r="77">
      <x:c r="A77" s="21"/>
      <x:c r="B77" s="19"/>
      <x:c r="C77" s="13" t="str">
        <x:f>IF(OR(COUNTA($A77)=0,NOT(ISNUMBER('Status'!$E$5))),"",IF(COUNTIFS('Estimates'!$A$5:$A$2004,$A77,'Estimates'!$B$5:$B$2004,"MPS",'Estimates'!$C$5:$C$2004,'Status'!$E$5,'Estimates'!$H$5:$H$2004,1)=0,"",IF(COUNTIFS('Estimates'!$A$5:$A$2004,$A77,'Estimates'!$B$5:$B$2004,"MPS",'Estimates'!$C$5:$C$2004,'Status'!$E$5,'Estimates'!$H$5:$H$2004,1)&gt;1,"DUP",IF(COUNTIFS('Estimates'!$A$5:$A$2004,$A77,'Estimates'!$B$5:$B$2004,"MPS",'Estimates'!$C$5:$C$2004,'Status'!$E$5,'Estimates'!$H$5:$H$2004,1,'Estimates'!$F$5:$F$2004,"&lt;&gt;")=0,"",SUMIFS('Estimates'!$F$5:$F$2004,'Estimates'!$A$5:$A$2004,$A77,'Estimates'!$B$5:$B$2004,"MPS",'Estimates'!$C$5:$C$2004,'Status'!$E$5,'Estimates'!$H$5:$H$2004,1)))))</x:f>
      </x:c>
      <x:c r="D77" s="13" t="str">
        <x:f>IF(OR(COUNTA($A77)=0,NOT(ISNUMBER('Status'!$F$5))),"",IF(COUNTIFS('Estimates'!$A$5:$A$2004,$A77,'Estimates'!$B$5:$B$2004,"MPS",'Estimates'!$C$5:$C$2004,'Status'!$F$5,'Estimates'!$H$5:$H$2004,1)=0,"",IF(COUNTIFS('Estimates'!$A$5:$A$2004,$A77,'Estimates'!$B$5:$B$2004,"MPS",'Estimates'!$C$5:$C$2004,'Status'!$F$5,'Estimates'!$H$5:$H$2004,1)&gt;1,"DUP",IF(COUNTIFS('Estimates'!$A$5:$A$2004,$A77,'Estimates'!$B$5:$B$2004,"MPS",'Estimates'!$C$5:$C$2004,'Status'!$F$5,'Estimates'!$H$5:$H$2004,1,'Estimates'!$F$5:$F$2004,"&lt;&gt;")=0,"",SUMIFS('Estimates'!$F$5:$F$2004,'Estimates'!$A$5:$A$2004,$A77,'Estimates'!$B$5:$B$2004,"MPS",'Estimates'!$C$5:$C$2004,'Status'!$F$5,'Estimates'!$H$5:$H$2004,1)))))</x:f>
      </x:c>
      <x:c r="E77" s="13" t="str">
        <x:f>IF(OR(COUNTA($A77)=0,NOT(ISNUMBER('Status'!$G$5))),"",IF(COUNTIFS('Estimates'!$A$5:$A$2004,$A77,'Estimates'!$B$5:$B$2004,"MPS",'Estimates'!$C$5:$C$2004,'Status'!$G$5,'Estimates'!$H$5:$H$2004,1)=0,"",IF(COUNTIFS('Estimates'!$A$5:$A$2004,$A77,'Estimates'!$B$5:$B$2004,"MPS",'Estimates'!$C$5:$C$2004,'Status'!$G$5,'Estimates'!$H$5:$H$2004,1)&gt;1,"DUP",IF(COUNTIFS('Estimates'!$A$5:$A$2004,$A77,'Estimates'!$B$5:$B$2004,"MPS",'Estimates'!$C$5:$C$2004,'Status'!$G$5,'Estimates'!$H$5:$H$2004,1,'Estimates'!$F$5:$F$2004,"&lt;&gt;")=0,"",SUMIFS('Estimates'!$F$5:$F$2004,'Estimates'!$A$5:$A$2004,$A77,'Estimates'!$B$5:$B$2004,"MPS",'Estimates'!$C$5:$C$2004,'Status'!$G$5,'Estimates'!$H$5:$H$2004,1)))))</x:f>
      </x:c>
      <x:c r="F77" s="13" t="str">
        <x:f>IF(AND(ISNUMBER(C77),ISNUMBER(D77)),D77-C77,"")</x:f>
      </x:c>
      <x:c r="G77" s="13" t="str">
        <x:f>IF(AND(ISNUMBER(D77),ISNUMBER(E77)),E77-D77,"")</x:f>
      </x:c>
      <x:c r="H77" s="13" t="str">
        <x:f>IF(AND(COUNT(C77:E77)=3,COUNT('Status'!$E$5:$G$5)=3,'Status'!$E$5&gt;0,'Status'!$E$5&lt;'Status'!$F$5,'Status'!$F$5&lt;'Status'!$G$5),ABS(E77-(D77+(D77-C77)*((1/'Status'!$G$5)-(1/'Status'!$F$5))/((1/'Status'!$F$5)-(1/'Status'!$E$5)))),"")</x:f>
      </x:c>
      <x:c r="I77" s="13" t="str">
        <x:f>IF(AND(COUNT(C77:E77)=3,COUNT('Status'!$E$5:$G$5)=3,'Status'!$E$5&gt;0,'Status'!$E$5&lt;'Status'!$F$5,'Status'!$F$5&lt;'Status'!$G$5),((1/'Status'!$F$5)*E77-(1/'Status'!$G$5)*D77)/((1/'Status'!$F$5)-(1/'Status'!$G$5)),"")</x:f>
      </x:c>
      <x:c r="J77" s="13" t="str">
        <x:f>IF(OR(COUNTA($A77)=0,NOT(ISNUMBER('Status'!$E$6))),"",IF(COUNTIFS('Estimates'!$A$5:$A$2004,$A77,'Estimates'!$B$5:$B$2004,"PPS",'Estimates'!$D$5:$D$2004,'Status'!$E$6,'Estimates'!$H$5:$H$2004,1,'Estimates'!$E$5:$E$2004,'Status'!$E$7)=0,"",IF(COUNTIFS('Estimates'!$A$5:$A$2004,$A77,'Estimates'!$B$5:$B$2004,"PPS",'Estimates'!$D$5:$D$2004,'Status'!$E$6,'Estimates'!$H$5:$H$2004,1,'Estimates'!$E$5:$E$2004,'Status'!$E$7)&gt;1,"DUP",IF(COUNTIFS('Estimates'!$A$5:$A$2004,$A77,'Estimates'!$B$5:$B$2004,"PPS",'Estimates'!$D$5:$D$2004,'Status'!$E$6,'Estimates'!$H$5:$H$2004,1,'Estimates'!$E$5:$E$2004,'Status'!$E$7,'Estimates'!$F$5:$F$2004,"&lt;&gt;")=0,"",SUMIFS('Estimates'!$F$5:$F$2004,'Estimates'!$A$5:$A$2004,$A77,'Estimates'!$B$5:$B$2004,"PPS",'Estimates'!$D$5:$D$2004,'Status'!$E$6,'Estimates'!$H$5:$H$2004,1,'Estimates'!$E$5:$E$2004,'Status'!$E$7)))))</x:f>
      </x:c>
      <x:c r="K77" s="13" t="str">
        <x:f>IF(OR(COUNTA($A77)=0,NOT(ISNUMBER('Status'!$F$6))),"",IF(COUNTIFS('Estimates'!$A$5:$A$2004,$A77,'Estimates'!$B$5:$B$2004,"PPS",'Estimates'!$D$5:$D$2004,'Status'!$F$6,'Estimates'!$H$5:$H$2004,1,'Estimates'!$E$5:$E$2004,'Status'!$E$7)=0,"",IF(COUNTIFS('Estimates'!$A$5:$A$2004,$A77,'Estimates'!$B$5:$B$2004,"PPS",'Estimates'!$D$5:$D$2004,'Status'!$F$6,'Estimates'!$H$5:$H$2004,1,'Estimates'!$E$5:$E$2004,'Status'!$E$7)&gt;1,"DUP",IF(COUNTIFS('Estimates'!$A$5:$A$2004,$A77,'Estimates'!$B$5:$B$2004,"PPS",'Estimates'!$D$5:$D$2004,'Status'!$F$6,'Estimates'!$H$5:$H$2004,1,'Estimates'!$E$5:$E$2004,'Status'!$E$7,'Estimates'!$F$5:$F$2004,"&lt;&gt;")=0,"",SUMIFS('Estimates'!$F$5:$F$2004,'Estimates'!$A$5:$A$2004,$A77,'Estimates'!$B$5:$B$2004,"PPS",'Estimates'!$D$5:$D$2004,'Status'!$F$6,'Estimates'!$H$5:$H$2004,1,'Estimates'!$E$5:$E$2004,'Status'!$E$7)))))</x:f>
      </x:c>
      <x:c r="L77" s="13" t="str">
        <x:f>IF(OR(COUNTA($A77)=0,NOT(ISNUMBER('Status'!$G$6))),"",IF(COUNTIFS('Estimates'!$A$5:$A$2004,$A77,'Estimates'!$B$5:$B$2004,"PPS",'Estimates'!$D$5:$D$2004,'Status'!$G$6,'Estimates'!$H$5:$H$2004,1,'Estimates'!$E$5:$E$2004,'Status'!$E$7)=0,"",IF(COUNTIFS('Estimates'!$A$5:$A$2004,$A77,'Estimates'!$B$5:$B$2004,"PPS",'Estimates'!$D$5:$D$2004,'Status'!$G$6,'Estimates'!$H$5:$H$2004,1,'Estimates'!$E$5:$E$2004,'Status'!$E$7)&gt;1,"DUP",IF(COUNTIFS('Estimates'!$A$5:$A$2004,$A77,'Estimates'!$B$5:$B$2004,"PPS",'Estimates'!$D$5:$D$2004,'Status'!$G$6,'Estimates'!$H$5:$H$2004,1,'Estimates'!$E$5:$E$2004,'Status'!$E$7,'Estimates'!$F$5:$F$2004,"&lt;&gt;")=0,"",SUMIFS('Estimates'!$F$5:$F$2004,'Estimates'!$A$5:$A$2004,$A77,'Estimates'!$B$5:$B$2004,"PPS",'Estimates'!$D$5:$D$2004,'Status'!$G$6,'Estimates'!$H$5:$H$2004,1,'Estimates'!$E$5:$E$2004,'Status'!$E$7)))))</x:f>
      </x:c>
      <x:c r="M77" s="13" t="str">
        <x:f>IF(AND(ISNUMBER(J77),ISNUMBER(K77)),K77-J77,"")</x:f>
      </x:c>
      <x:c r="N77" s="13" t="str">
        <x:f>IF(AND(ISNUMBER(K77),ISNUMBER(L77)),L77-K77,"")</x:f>
      </x:c>
      <x:c r="O77" s="13" t="str">
        <x:f>IF(AND(COUNT(J77:L77)=3,COUNT('Status'!$E$6:$G$6)=3,'Status'!$E$6&gt;'Status'!$F$6,'Status'!$F$6&gt;'Status'!$G$6,'Status'!$G$6&gt;0),ABS(L77-(K77+(K77-J77)*('Status'!$G$6-'Status'!$F$6)/('Status'!$F$6-'Status'!$E$6))),"")</x:f>
      </x:c>
      <x:c r="P77" s="13" t="str">
        <x:f>IF(AND(COUNT(J77:L77)=3,COUNT('Status'!$E$6:$G$6)=3,'Status'!$E$6&gt;'Status'!$F$6,'Status'!$F$6&gt;'Status'!$G$6,'Status'!$G$6&gt;0),('Status'!$F$6*L77-'Status'!$G$6*K77)/('Status'!$F$6-'Status'!$G$6),"")</x:f>
      </x:c>
      <x:c r="Q77" s="20"/>
      <x:c r="R77" s="13" t="str">
        <x:f>IF(COUNTA($A77)=0,"",IF('Status'!$B$6="MPS 1",IF(ISNUMBER(C77),C77,""),IF('Status'!$B$6="MPS 2",IF(ISNUMBER(D77),D77,""),IF('Status'!$B$6="MPS 3",IF(ISNUMBER(E77),E77,""),IF('Status'!$B$6="MPS extrap",IF(ISNUMBER(I77),I77,""),IF('Status'!$B$6="PPS 1",IF(ISNUMBER(J77),J77,""),IF('Status'!$B$6="PPS 2",IF(ISNUMBER(K77),K77,""),IF('Status'!$B$6="PPS 3",IF(ISNUMBER(L77),L77,""),IF('Status'!$B$6="PPS extrap",IF(ISNUMBER(P77),P77,""),IF('Status'!$B$6="Calibrated",IF(ISNUMBER(Q77),Q77,""),""))))))))))</x:f>
      </x:c>
      <x:c r="S77" s="2" t="str">
        <x:f>IF(COUNTA(A77)=0,"",IF(COUNTIFS('Estimates'!$A$5:$A$2004,A77,'Estimates'!$B$5:$B$2004,"MPS",'Estimates'!$H$5:$H$2004,1)+COUNTIFS('Estimates'!$A$5:$A$2004,A77,'Estimates'!$B$5:$B$2004,"PPS",'Estimates'!$H$5:$H$2004,1)&gt;0,1,0))</x:f>
      </x:c>
      <x:c r="T77" s="2" t="str">
        <x:f>IF(COUNTA(A77)=0,"",IF(COUNTIFS($A$6:$A$165,A77)&gt;1,"Duplicate target",IF(COUNTIFS(C77:E77,"DUP")+COUNTIFS(J77:L77,"DUP")&gt;0,"Duplicate accepted run",IF(COUNTIFS('Estimates'!$A$5:$A$2004,A77,'Estimates'!$H$5:$H$2004,1)-COUNTIFS('Estimates'!$A$5:$A$2004,A77,'Estimates'!$H$5:$H$2004,1,'Estimates'!$F$5:$F$2004,"&lt;&gt;")&gt;0,"Accepted value missing",""))))</x:f>
      </x:c>
    </x:row>
    <x:row r="78">
      <x:c r="A78" s="21"/>
      <x:c r="B78" s="19"/>
      <x:c r="C78" s="13" t="str">
        <x:f>IF(OR(COUNTA($A78)=0,NOT(ISNUMBER('Status'!$E$5))),"",IF(COUNTIFS('Estimates'!$A$5:$A$2004,$A78,'Estimates'!$B$5:$B$2004,"MPS",'Estimates'!$C$5:$C$2004,'Status'!$E$5,'Estimates'!$H$5:$H$2004,1)=0,"",IF(COUNTIFS('Estimates'!$A$5:$A$2004,$A78,'Estimates'!$B$5:$B$2004,"MPS",'Estimates'!$C$5:$C$2004,'Status'!$E$5,'Estimates'!$H$5:$H$2004,1)&gt;1,"DUP",IF(COUNTIFS('Estimates'!$A$5:$A$2004,$A78,'Estimates'!$B$5:$B$2004,"MPS",'Estimates'!$C$5:$C$2004,'Status'!$E$5,'Estimates'!$H$5:$H$2004,1,'Estimates'!$F$5:$F$2004,"&lt;&gt;")=0,"",SUMIFS('Estimates'!$F$5:$F$2004,'Estimates'!$A$5:$A$2004,$A78,'Estimates'!$B$5:$B$2004,"MPS",'Estimates'!$C$5:$C$2004,'Status'!$E$5,'Estimates'!$H$5:$H$2004,1)))))</x:f>
      </x:c>
      <x:c r="D78" s="13" t="str">
        <x:f>IF(OR(COUNTA($A78)=0,NOT(ISNUMBER('Status'!$F$5))),"",IF(COUNTIFS('Estimates'!$A$5:$A$2004,$A78,'Estimates'!$B$5:$B$2004,"MPS",'Estimates'!$C$5:$C$2004,'Status'!$F$5,'Estimates'!$H$5:$H$2004,1)=0,"",IF(COUNTIFS('Estimates'!$A$5:$A$2004,$A78,'Estimates'!$B$5:$B$2004,"MPS",'Estimates'!$C$5:$C$2004,'Status'!$F$5,'Estimates'!$H$5:$H$2004,1)&gt;1,"DUP",IF(COUNTIFS('Estimates'!$A$5:$A$2004,$A78,'Estimates'!$B$5:$B$2004,"MPS",'Estimates'!$C$5:$C$2004,'Status'!$F$5,'Estimates'!$H$5:$H$2004,1,'Estimates'!$F$5:$F$2004,"&lt;&gt;")=0,"",SUMIFS('Estimates'!$F$5:$F$2004,'Estimates'!$A$5:$A$2004,$A78,'Estimates'!$B$5:$B$2004,"MPS",'Estimates'!$C$5:$C$2004,'Status'!$F$5,'Estimates'!$H$5:$H$2004,1)))))</x:f>
      </x:c>
      <x:c r="E78" s="13" t="str">
        <x:f>IF(OR(COUNTA($A78)=0,NOT(ISNUMBER('Status'!$G$5))),"",IF(COUNTIFS('Estimates'!$A$5:$A$2004,$A78,'Estimates'!$B$5:$B$2004,"MPS",'Estimates'!$C$5:$C$2004,'Status'!$G$5,'Estimates'!$H$5:$H$2004,1)=0,"",IF(COUNTIFS('Estimates'!$A$5:$A$2004,$A78,'Estimates'!$B$5:$B$2004,"MPS",'Estimates'!$C$5:$C$2004,'Status'!$G$5,'Estimates'!$H$5:$H$2004,1)&gt;1,"DUP",IF(COUNTIFS('Estimates'!$A$5:$A$2004,$A78,'Estimates'!$B$5:$B$2004,"MPS",'Estimates'!$C$5:$C$2004,'Status'!$G$5,'Estimates'!$H$5:$H$2004,1,'Estimates'!$F$5:$F$2004,"&lt;&gt;")=0,"",SUMIFS('Estimates'!$F$5:$F$2004,'Estimates'!$A$5:$A$2004,$A78,'Estimates'!$B$5:$B$2004,"MPS",'Estimates'!$C$5:$C$2004,'Status'!$G$5,'Estimates'!$H$5:$H$2004,1)))))</x:f>
      </x:c>
      <x:c r="F78" s="13" t="str">
        <x:f>IF(AND(ISNUMBER(C78),ISNUMBER(D78)),D78-C78,"")</x:f>
      </x:c>
      <x:c r="G78" s="13" t="str">
        <x:f>IF(AND(ISNUMBER(D78),ISNUMBER(E78)),E78-D78,"")</x:f>
      </x:c>
      <x:c r="H78" s="13" t="str">
        <x:f>IF(AND(COUNT(C78:E78)=3,COUNT('Status'!$E$5:$G$5)=3,'Status'!$E$5&gt;0,'Status'!$E$5&lt;'Status'!$F$5,'Status'!$F$5&lt;'Status'!$G$5),ABS(E78-(D78+(D78-C78)*((1/'Status'!$G$5)-(1/'Status'!$F$5))/((1/'Status'!$F$5)-(1/'Status'!$E$5)))),"")</x:f>
      </x:c>
      <x:c r="I78" s="13" t="str">
        <x:f>IF(AND(COUNT(C78:E78)=3,COUNT('Status'!$E$5:$G$5)=3,'Status'!$E$5&gt;0,'Status'!$E$5&lt;'Status'!$F$5,'Status'!$F$5&lt;'Status'!$G$5),((1/'Status'!$F$5)*E78-(1/'Status'!$G$5)*D78)/((1/'Status'!$F$5)-(1/'Status'!$G$5)),"")</x:f>
      </x:c>
      <x:c r="J78" s="13" t="str">
        <x:f>IF(OR(COUNTA($A78)=0,NOT(ISNUMBER('Status'!$E$6))),"",IF(COUNTIFS('Estimates'!$A$5:$A$2004,$A78,'Estimates'!$B$5:$B$2004,"PPS",'Estimates'!$D$5:$D$2004,'Status'!$E$6,'Estimates'!$H$5:$H$2004,1,'Estimates'!$E$5:$E$2004,'Status'!$E$7)=0,"",IF(COUNTIFS('Estimates'!$A$5:$A$2004,$A78,'Estimates'!$B$5:$B$2004,"PPS",'Estimates'!$D$5:$D$2004,'Status'!$E$6,'Estimates'!$H$5:$H$2004,1,'Estimates'!$E$5:$E$2004,'Status'!$E$7)&gt;1,"DUP",IF(COUNTIFS('Estimates'!$A$5:$A$2004,$A78,'Estimates'!$B$5:$B$2004,"PPS",'Estimates'!$D$5:$D$2004,'Status'!$E$6,'Estimates'!$H$5:$H$2004,1,'Estimates'!$E$5:$E$2004,'Status'!$E$7,'Estimates'!$F$5:$F$2004,"&lt;&gt;")=0,"",SUMIFS('Estimates'!$F$5:$F$2004,'Estimates'!$A$5:$A$2004,$A78,'Estimates'!$B$5:$B$2004,"PPS",'Estimates'!$D$5:$D$2004,'Status'!$E$6,'Estimates'!$H$5:$H$2004,1,'Estimates'!$E$5:$E$2004,'Status'!$E$7)))))</x:f>
      </x:c>
      <x:c r="K78" s="13" t="str">
        <x:f>IF(OR(COUNTA($A78)=0,NOT(ISNUMBER('Status'!$F$6))),"",IF(COUNTIFS('Estimates'!$A$5:$A$2004,$A78,'Estimates'!$B$5:$B$2004,"PPS",'Estimates'!$D$5:$D$2004,'Status'!$F$6,'Estimates'!$H$5:$H$2004,1,'Estimates'!$E$5:$E$2004,'Status'!$E$7)=0,"",IF(COUNTIFS('Estimates'!$A$5:$A$2004,$A78,'Estimates'!$B$5:$B$2004,"PPS",'Estimates'!$D$5:$D$2004,'Status'!$F$6,'Estimates'!$H$5:$H$2004,1,'Estimates'!$E$5:$E$2004,'Status'!$E$7)&gt;1,"DUP",IF(COUNTIFS('Estimates'!$A$5:$A$2004,$A78,'Estimates'!$B$5:$B$2004,"PPS",'Estimates'!$D$5:$D$2004,'Status'!$F$6,'Estimates'!$H$5:$H$2004,1,'Estimates'!$E$5:$E$2004,'Status'!$E$7,'Estimates'!$F$5:$F$2004,"&lt;&gt;")=0,"",SUMIFS('Estimates'!$F$5:$F$2004,'Estimates'!$A$5:$A$2004,$A78,'Estimates'!$B$5:$B$2004,"PPS",'Estimates'!$D$5:$D$2004,'Status'!$F$6,'Estimates'!$H$5:$H$2004,1,'Estimates'!$E$5:$E$2004,'Status'!$E$7)))))</x:f>
      </x:c>
      <x:c r="L78" s="13" t="str">
        <x:f>IF(OR(COUNTA($A78)=0,NOT(ISNUMBER('Status'!$G$6))),"",IF(COUNTIFS('Estimates'!$A$5:$A$2004,$A78,'Estimates'!$B$5:$B$2004,"PPS",'Estimates'!$D$5:$D$2004,'Status'!$G$6,'Estimates'!$H$5:$H$2004,1,'Estimates'!$E$5:$E$2004,'Status'!$E$7)=0,"",IF(COUNTIFS('Estimates'!$A$5:$A$2004,$A78,'Estimates'!$B$5:$B$2004,"PPS",'Estimates'!$D$5:$D$2004,'Status'!$G$6,'Estimates'!$H$5:$H$2004,1,'Estimates'!$E$5:$E$2004,'Status'!$E$7)&gt;1,"DUP",IF(COUNTIFS('Estimates'!$A$5:$A$2004,$A78,'Estimates'!$B$5:$B$2004,"PPS",'Estimates'!$D$5:$D$2004,'Status'!$G$6,'Estimates'!$H$5:$H$2004,1,'Estimates'!$E$5:$E$2004,'Status'!$E$7,'Estimates'!$F$5:$F$2004,"&lt;&gt;")=0,"",SUMIFS('Estimates'!$F$5:$F$2004,'Estimates'!$A$5:$A$2004,$A78,'Estimates'!$B$5:$B$2004,"PPS",'Estimates'!$D$5:$D$2004,'Status'!$G$6,'Estimates'!$H$5:$H$2004,1,'Estimates'!$E$5:$E$2004,'Status'!$E$7)))))</x:f>
      </x:c>
      <x:c r="M78" s="13" t="str">
        <x:f>IF(AND(ISNUMBER(J78),ISNUMBER(K78)),K78-J78,"")</x:f>
      </x:c>
      <x:c r="N78" s="13" t="str">
        <x:f>IF(AND(ISNUMBER(K78),ISNUMBER(L78)),L78-K78,"")</x:f>
      </x:c>
      <x:c r="O78" s="13" t="str">
        <x:f>IF(AND(COUNT(J78:L78)=3,COUNT('Status'!$E$6:$G$6)=3,'Status'!$E$6&gt;'Status'!$F$6,'Status'!$F$6&gt;'Status'!$G$6,'Status'!$G$6&gt;0),ABS(L78-(K78+(K78-J78)*('Status'!$G$6-'Status'!$F$6)/('Status'!$F$6-'Status'!$E$6))),"")</x:f>
      </x:c>
      <x:c r="P78" s="13" t="str">
        <x:f>IF(AND(COUNT(J78:L78)=3,COUNT('Status'!$E$6:$G$6)=3,'Status'!$E$6&gt;'Status'!$F$6,'Status'!$F$6&gt;'Status'!$G$6,'Status'!$G$6&gt;0),('Status'!$F$6*L78-'Status'!$G$6*K78)/('Status'!$F$6-'Status'!$G$6),"")</x:f>
      </x:c>
      <x:c r="Q78" s="20"/>
      <x:c r="R78" s="13" t="str">
        <x:f>IF(COUNTA($A78)=0,"",IF('Status'!$B$6="MPS 1",IF(ISNUMBER(C78),C78,""),IF('Status'!$B$6="MPS 2",IF(ISNUMBER(D78),D78,""),IF('Status'!$B$6="MPS 3",IF(ISNUMBER(E78),E78,""),IF('Status'!$B$6="MPS extrap",IF(ISNUMBER(I78),I78,""),IF('Status'!$B$6="PPS 1",IF(ISNUMBER(J78),J78,""),IF('Status'!$B$6="PPS 2",IF(ISNUMBER(K78),K78,""),IF('Status'!$B$6="PPS 3",IF(ISNUMBER(L78),L78,""),IF('Status'!$B$6="PPS extrap",IF(ISNUMBER(P78),P78,""),IF('Status'!$B$6="Calibrated",IF(ISNUMBER(Q78),Q78,""),""))))))))))</x:f>
      </x:c>
      <x:c r="S78" s="2" t="str">
        <x:f>IF(COUNTA(A78)=0,"",IF(COUNTIFS('Estimates'!$A$5:$A$2004,A78,'Estimates'!$B$5:$B$2004,"MPS",'Estimates'!$H$5:$H$2004,1)+COUNTIFS('Estimates'!$A$5:$A$2004,A78,'Estimates'!$B$5:$B$2004,"PPS",'Estimates'!$H$5:$H$2004,1)&gt;0,1,0))</x:f>
      </x:c>
      <x:c r="T78" s="2" t="str">
        <x:f>IF(COUNTA(A78)=0,"",IF(COUNTIFS($A$6:$A$165,A78)&gt;1,"Duplicate target",IF(COUNTIFS(C78:E78,"DUP")+COUNTIFS(J78:L78,"DUP")&gt;0,"Duplicate accepted run",IF(COUNTIFS('Estimates'!$A$5:$A$2004,A78,'Estimates'!$H$5:$H$2004,1)-COUNTIFS('Estimates'!$A$5:$A$2004,A78,'Estimates'!$H$5:$H$2004,1,'Estimates'!$F$5:$F$2004,"&lt;&gt;")&gt;0,"Accepted value missing",""))))</x:f>
      </x:c>
    </x:row>
    <x:row r="79">
      <x:c r="A79" s="21"/>
      <x:c r="B79" s="19"/>
      <x:c r="C79" s="13" t="str">
        <x:f>IF(OR(COUNTA($A79)=0,NOT(ISNUMBER('Status'!$E$5))),"",IF(COUNTIFS('Estimates'!$A$5:$A$2004,$A79,'Estimates'!$B$5:$B$2004,"MPS",'Estimates'!$C$5:$C$2004,'Status'!$E$5,'Estimates'!$H$5:$H$2004,1)=0,"",IF(COUNTIFS('Estimates'!$A$5:$A$2004,$A79,'Estimates'!$B$5:$B$2004,"MPS",'Estimates'!$C$5:$C$2004,'Status'!$E$5,'Estimates'!$H$5:$H$2004,1)&gt;1,"DUP",IF(COUNTIFS('Estimates'!$A$5:$A$2004,$A79,'Estimates'!$B$5:$B$2004,"MPS",'Estimates'!$C$5:$C$2004,'Status'!$E$5,'Estimates'!$H$5:$H$2004,1,'Estimates'!$F$5:$F$2004,"&lt;&gt;")=0,"",SUMIFS('Estimates'!$F$5:$F$2004,'Estimates'!$A$5:$A$2004,$A79,'Estimates'!$B$5:$B$2004,"MPS",'Estimates'!$C$5:$C$2004,'Status'!$E$5,'Estimates'!$H$5:$H$2004,1)))))</x:f>
      </x:c>
      <x:c r="D79" s="13" t="str">
        <x:f>IF(OR(COUNTA($A79)=0,NOT(ISNUMBER('Status'!$F$5))),"",IF(COUNTIFS('Estimates'!$A$5:$A$2004,$A79,'Estimates'!$B$5:$B$2004,"MPS",'Estimates'!$C$5:$C$2004,'Status'!$F$5,'Estimates'!$H$5:$H$2004,1)=0,"",IF(COUNTIFS('Estimates'!$A$5:$A$2004,$A79,'Estimates'!$B$5:$B$2004,"MPS",'Estimates'!$C$5:$C$2004,'Status'!$F$5,'Estimates'!$H$5:$H$2004,1)&gt;1,"DUP",IF(COUNTIFS('Estimates'!$A$5:$A$2004,$A79,'Estimates'!$B$5:$B$2004,"MPS",'Estimates'!$C$5:$C$2004,'Status'!$F$5,'Estimates'!$H$5:$H$2004,1,'Estimates'!$F$5:$F$2004,"&lt;&gt;")=0,"",SUMIFS('Estimates'!$F$5:$F$2004,'Estimates'!$A$5:$A$2004,$A79,'Estimates'!$B$5:$B$2004,"MPS",'Estimates'!$C$5:$C$2004,'Status'!$F$5,'Estimates'!$H$5:$H$2004,1)))))</x:f>
      </x:c>
      <x:c r="E79" s="13" t="str">
        <x:f>IF(OR(COUNTA($A79)=0,NOT(ISNUMBER('Status'!$G$5))),"",IF(COUNTIFS('Estimates'!$A$5:$A$2004,$A79,'Estimates'!$B$5:$B$2004,"MPS",'Estimates'!$C$5:$C$2004,'Status'!$G$5,'Estimates'!$H$5:$H$2004,1)=0,"",IF(COUNTIFS('Estimates'!$A$5:$A$2004,$A79,'Estimates'!$B$5:$B$2004,"MPS",'Estimates'!$C$5:$C$2004,'Status'!$G$5,'Estimates'!$H$5:$H$2004,1)&gt;1,"DUP",IF(COUNTIFS('Estimates'!$A$5:$A$2004,$A79,'Estimates'!$B$5:$B$2004,"MPS",'Estimates'!$C$5:$C$2004,'Status'!$G$5,'Estimates'!$H$5:$H$2004,1,'Estimates'!$F$5:$F$2004,"&lt;&gt;")=0,"",SUMIFS('Estimates'!$F$5:$F$2004,'Estimates'!$A$5:$A$2004,$A79,'Estimates'!$B$5:$B$2004,"MPS",'Estimates'!$C$5:$C$2004,'Status'!$G$5,'Estimates'!$H$5:$H$2004,1)))))</x:f>
      </x:c>
      <x:c r="F79" s="13" t="str">
        <x:f>IF(AND(ISNUMBER(C79),ISNUMBER(D79)),D79-C79,"")</x:f>
      </x:c>
      <x:c r="G79" s="13" t="str">
        <x:f>IF(AND(ISNUMBER(D79),ISNUMBER(E79)),E79-D79,"")</x:f>
      </x:c>
      <x:c r="H79" s="13" t="str">
        <x:f>IF(AND(COUNT(C79:E79)=3,COUNT('Status'!$E$5:$G$5)=3,'Status'!$E$5&gt;0,'Status'!$E$5&lt;'Status'!$F$5,'Status'!$F$5&lt;'Status'!$G$5),ABS(E79-(D79+(D79-C79)*((1/'Status'!$G$5)-(1/'Status'!$F$5))/((1/'Status'!$F$5)-(1/'Status'!$E$5)))),"")</x:f>
      </x:c>
      <x:c r="I79" s="13" t="str">
        <x:f>IF(AND(COUNT(C79:E79)=3,COUNT('Status'!$E$5:$G$5)=3,'Status'!$E$5&gt;0,'Status'!$E$5&lt;'Status'!$F$5,'Status'!$F$5&lt;'Status'!$G$5),((1/'Status'!$F$5)*E79-(1/'Status'!$G$5)*D79)/((1/'Status'!$F$5)-(1/'Status'!$G$5)),"")</x:f>
      </x:c>
      <x:c r="J79" s="13" t="str">
        <x:f>IF(OR(COUNTA($A79)=0,NOT(ISNUMBER('Status'!$E$6))),"",IF(COUNTIFS('Estimates'!$A$5:$A$2004,$A79,'Estimates'!$B$5:$B$2004,"PPS",'Estimates'!$D$5:$D$2004,'Status'!$E$6,'Estimates'!$H$5:$H$2004,1,'Estimates'!$E$5:$E$2004,'Status'!$E$7)=0,"",IF(COUNTIFS('Estimates'!$A$5:$A$2004,$A79,'Estimates'!$B$5:$B$2004,"PPS",'Estimates'!$D$5:$D$2004,'Status'!$E$6,'Estimates'!$H$5:$H$2004,1,'Estimates'!$E$5:$E$2004,'Status'!$E$7)&gt;1,"DUP",IF(COUNTIFS('Estimates'!$A$5:$A$2004,$A79,'Estimates'!$B$5:$B$2004,"PPS",'Estimates'!$D$5:$D$2004,'Status'!$E$6,'Estimates'!$H$5:$H$2004,1,'Estimates'!$E$5:$E$2004,'Status'!$E$7,'Estimates'!$F$5:$F$2004,"&lt;&gt;")=0,"",SUMIFS('Estimates'!$F$5:$F$2004,'Estimates'!$A$5:$A$2004,$A79,'Estimates'!$B$5:$B$2004,"PPS",'Estimates'!$D$5:$D$2004,'Status'!$E$6,'Estimates'!$H$5:$H$2004,1,'Estimates'!$E$5:$E$2004,'Status'!$E$7)))))</x:f>
      </x:c>
      <x:c r="K79" s="13" t="str">
        <x:f>IF(OR(COUNTA($A79)=0,NOT(ISNUMBER('Status'!$F$6))),"",IF(COUNTIFS('Estimates'!$A$5:$A$2004,$A79,'Estimates'!$B$5:$B$2004,"PPS",'Estimates'!$D$5:$D$2004,'Status'!$F$6,'Estimates'!$H$5:$H$2004,1,'Estimates'!$E$5:$E$2004,'Status'!$E$7)=0,"",IF(COUNTIFS('Estimates'!$A$5:$A$2004,$A79,'Estimates'!$B$5:$B$2004,"PPS",'Estimates'!$D$5:$D$2004,'Status'!$F$6,'Estimates'!$H$5:$H$2004,1,'Estimates'!$E$5:$E$2004,'Status'!$E$7)&gt;1,"DUP",IF(COUNTIFS('Estimates'!$A$5:$A$2004,$A79,'Estimates'!$B$5:$B$2004,"PPS",'Estimates'!$D$5:$D$2004,'Status'!$F$6,'Estimates'!$H$5:$H$2004,1,'Estimates'!$E$5:$E$2004,'Status'!$E$7,'Estimates'!$F$5:$F$2004,"&lt;&gt;")=0,"",SUMIFS('Estimates'!$F$5:$F$2004,'Estimates'!$A$5:$A$2004,$A79,'Estimates'!$B$5:$B$2004,"PPS",'Estimates'!$D$5:$D$2004,'Status'!$F$6,'Estimates'!$H$5:$H$2004,1,'Estimates'!$E$5:$E$2004,'Status'!$E$7)))))</x:f>
      </x:c>
      <x:c r="L79" s="13" t="str">
        <x:f>IF(OR(COUNTA($A79)=0,NOT(ISNUMBER('Status'!$G$6))),"",IF(COUNTIFS('Estimates'!$A$5:$A$2004,$A79,'Estimates'!$B$5:$B$2004,"PPS",'Estimates'!$D$5:$D$2004,'Status'!$G$6,'Estimates'!$H$5:$H$2004,1,'Estimates'!$E$5:$E$2004,'Status'!$E$7)=0,"",IF(COUNTIFS('Estimates'!$A$5:$A$2004,$A79,'Estimates'!$B$5:$B$2004,"PPS",'Estimates'!$D$5:$D$2004,'Status'!$G$6,'Estimates'!$H$5:$H$2004,1,'Estimates'!$E$5:$E$2004,'Status'!$E$7)&gt;1,"DUP",IF(COUNTIFS('Estimates'!$A$5:$A$2004,$A79,'Estimates'!$B$5:$B$2004,"PPS",'Estimates'!$D$5:$D$2004,'Status'!$G$6,'Estimates'!$H$5:$H$2004,1,'Estimates'!$E$5:$E$2004,'Status'!$E$7,'Estimates'!$F$5:$F$2004,"&lt;&gt;")=0,"",SUMIFS('Estimates'!$F$5:$F$2004,'Estimates'!$A$5:$A$2004,$A79,'Estimates'!$B$5:$B$2004,"PPS",'Estimates'!$D$5:$D$2004,'Status'!$G$6,'Estimates'!$H$5:$H$2004,1,'Estimates'!$E$5:$E$2004,'Status'!$E$7)))))</x:f>
      </x:c>
      <x:c r="M79" s="13" t="str">
        <x:f>IF(AND(ISNUMBER(J79),ISNUMBER(K79)),K79-J79,"")</x:f>
      </x:c>
      <x:c r="N79" s="13" t="str">
        <x:f>IF(AND(ISNUMBER(K79),ISNUMBER(L79)),L79-K79,"")</x:f>
      </x:c>
      <x:c r="O79" s="13" t="str">
        <x:f>IF(AND(COUNT(J79:L79)=3,COUNT('Status'!$E$6:$G$6)=3,'Status'!$E$6&gt;'Status'!$F$6,'Status'!$F$6&gt;'Status'!$G$6,'Status'!$G$6&gt;0),ABS(L79-(K79+(K79-J79)*('Status'!$G$6-'Status'!$F$6)/('Status'!$F$6-'Status'!$E$6))),"")</x:f>
      </x:c>
      <x:c r="P79" s="13" t="str">
        <x:f>IF(AND(COUNT(J79:L79)=3,COUNT('Status'!$E$6:$G$6)=3,'Status'!$E$6&gt;'Status'!$F$6,'Status'!$F$6&gt;'Status'!$G$6,'Status'!$G$6&gt;0),('Status'!$F$6*L79-'Status'!$G$6*K79)/('Status'!$F$6-'Status'!$G$6),"")</x:f>
      </x:c>
      <x:c r="Q79" s="20"/>
      <x:c r="R79" s="13" t="str">
        <x:f>IF(COUNTA($A79)=0,"",IF('Status'!$B$6="MPS 1",IF(ISNUMBER(C79),C79,""),IF('Status'!$B$6="MPS 2",IF(ISNUMBER(D79),D79,""),IF('Status'!$B$6="MPS 3",IF(ISNUMBER(E79),E79,""),IF('Status'!$B$6="MPS extrap",IF(ISNUMBER(I79),I79,""),IF('Status'!$B$6="PPS 1",IF(ISNUMBER(J79),J79,""),IF('Status'!$B$6="PPS 2",IF(ISNUMBER(K79),K79,""),IF('Status'!$B$6="PPS 3",IF(ISNUMBER(L79),L79,""),IF('Status'!$B$6="PPS extrap",IF(ISNUMBER(P79),P79,""),IF('Status'!$B$6="Calibrated",IF(ISNUMBER(Q79),Q79,""),""))))))))))</x:f>
      </x:c>
      <x:c r="S79" s="2" t="str">
        <x:f>IF(COUNTA(A79)=0,"",IF(COUNTIFS('Estimates'!$A$5:$A$2004,A79,'Estimates'!$B$5:$B$2004,"MPS",'Estimates'!$H$5:$H$2004,1)+COUNTIFS('Estimates'!$A$5:$A$2004,A79,'Estimates'!$B$5:$B$2004,"PPS",'Estimates'!$H$5:$H$2004,1)&gt;0,1,0))</x:f>
      </x:c>
      <x:c r="T79" s="2" t="str">
        <x:f>IF(COUNTA(A79)=0,"",IF(COUNTIFS($A$6:$A$165,A79)&gt;1,"Duplicate target",IF(COUNTIFS(C79:E79,"DUP")+COUNTIFS(J79:L79,"DUP")&gt;0,"Duplicate accepted run",IF(COUNTIFS('Estimates'!$A$5:$A$2004,A79,'Estimates'!$H$5:$H$2004,1)-COUNTIFS('Estimates'!$A$5:$A$2004,A79,'Estimates'!$H$5:$H$2004,1,'Estimates'!$F$5:$F$2004,"&lt;&gt;")&gt;0,"Accepted value missing",""))))</x:f>
      </x:c>
    </x:row>
    <x:row r="80">
      <x:c r="A80" s="21"/>
      <x:c r="B80" s="19"/>
      <x:c r="C80" s="13" t="str">
        <x:f>IF(OR(COUNTA($A80)=0,NOT(ISNUMBER('Status'!$E$5))),"",IF(COUNTIFS('Estimates'!$A$5:$A$2004,$A80,'Estimates'!$B$5:$B$2004,"MPS",'Estimates'!$C$5:$C$2004,'Status'!$E$5,'Estimates'!$H$5:$H$2004,1)=0,"",IF(COUNTIFS('Estimates'!$A$5:$A$2004,$A80,'Estimates'!$B$5:$B$2004,"MPS",'Estimates'!$C$5:$C$2004,'Status'!$E$5,'Estimates'!$H$5:$H$2004,1)&gt;1,"DUP",IF(COUNTIFS('Estimates'!$A$5:$A$2004,$A80,'Estimates'!$B$5:$B$2004,"MPS",'Estimates'!$C$5:$C$2004,'Status'!$E$5,'Estimates'!$H$5:$H$2004,1,'Estimates'!$F$5:$F$2004,"&lt;&gt;")=0,"",SUMIFS('Estimates'!$F$5:$F$2004,'Estimates'!$A$5:$A$2004,$A80,'Estimates'!$B$5:$B$2004,"MPS",'Estimates'!$C$5:$C$2004,'Status'!$E$5,'Estimates'!$H$5:$H$2004,1)))))</x:f>
      </x:c>
      <x:c r="D80" s="13" t="str">
        <x:f>IF(OR(COUNTA($A80)=0,NOT(ISNUMBER('Status'!$F$5))),"",IF(COUNTIFS('Estimates'!$A$5:$A$2004,$A80,'Estimates'!$B$5:$B$2004,"MPS",'Estimates'!$C$5:$C$2004,'Status'!$F$5,'Estimates'!$H$5:$H$2004,1)=0,"",IF(COUNTIFS('Estimates'!$A$5:$A$2004,$A80,'Estimates'!$B$5:$B$2004,"MPS",'Estimates'!$C$5:$C$2004,'Status'!$F$5,'Estimates'!$H$5:$H$2004,1)&gt;1,"DUP",IF(COUNTIFS('Estimates'!$A$5:$A$2004,$A80,'Estimates'!$B$5:$B$2004,"MPS",'Estimates'!$C$5:$C$2004,'Status'!$F$5,'Estimates'!$H$5:$H$2004,1,'Estimates'!$F$5:$F$2004,"&lt;&gt;")=0,"",SUMIFS('Estimates'!$F$5:$F$2004,'Estimates'!$A$5:$A$2004,$A80,'Estimates'!$B$5:$B$2004,"MPS",'Estimates'!$C$5:$C$2004,'Status'!$F$5,'Estimates'!$H$5:$H$2004,1)))))</x:f>
      </x:c>
      <x:c r="E80" s="13" t="str">
        <x:f>IF(OR(COUNTA($A80)=0,NOT(ISNUMBER('Status'!$G$5))),"",IF(COUNTIFS('Estimates'!$A$5:$A$2004,$A80,'Estimates'!$B$5:$B$2004,"MPS",'Estimates'!$C$5:$C$2004,'Status'!$G$5,'Estimates'!$H$5:$H$2004,1)=0,"",IF(COUNTIFS('Estimates'!$A$5:$A$2004,$A80,'Estimates'!$B$5:$B$2004,"MPS",'Estimates'!$C$5:$C$2004,'Status'!$G$5,'Estimates'!$H$5:$H$2004,1)&gt;1,"DUP",IF(COUNTIFS('Estimates'!$A$5:$A$2004,$A80,'Estimates'!$B$5:$B$2004,"MPS",'Estimates'!$C$5:$C$2004,'Status'!$G$5,'Estimates'!$H$5:$H$2004,1,'Estimates'!$F$5:$F$2004,"&lt;&gt;")=0,"",SUMIFS('Estimates'!$F$5:$F$2004,'Estimates'!$A$5:$A$2004,$A80,'Estimates'!$B$5:$B$2004,"MPS",'Estimates'!$C$5:$C$2004,'Status'!$G$5,'Estimates'!$H$5:$H$2004,1)))))</x:f>
      </x:c>
      <x:c r="F80" s="13" t="str">
        <x:f>IF(AND(ISNUMBER(C80),ISNUMBER(D80)),D80-C80,"")</x:f>
      </x:c>
      <x:c r="G80" s="13" t="str">
        <x:f>IF(AND(ISNUMBER(D80),ISNUMBER(E80)),E80-D80,"")</x:f>
      </x:c>
      <x:c r="H80" s="13" t="str">
        <x:f>IF(AND(COUNT(C80:E80)=3,COUNT('Status'!$E$5:$G$5)=3,'Status'!$E$5&gt;0,'Status'!$E$5&lt;'Status'!$F$5,'Status'!$F$5&lt;'Status'!$G$5),ABS(E80-(D80+(D80-C80)*((1/'Status'!$G$5)-(1/'Status'!$F$5))/((1/'Status'!$F$5)-(1/'Status'!$E$5)))),"")</x:f>
      </x:c>
      <x:c r="I80" s="13" t="str">
        <x:f>IF(AND(COUNT(C80:E80)=3,COUNT('Status'!$E$5:$G$5)=3,'Status'!$E$5&gt;0,'Status'!$E$5&lt;'Status'!$F$5,'Status'!$F$5&lt;'Status'!$G$5),((1/'Status'!$F$5)*E80-(1/'Status'!$G$5)*D80)/((1/'Status'!$F$5)-(1/'Status'!$G$5)),"")</x:f>
      </x:c>
      <x:c r="J80" s="13" t="str">
        <x:f>IF(OR(COUNTA($A80)=0,NOT(ISNUMBER('Status'!$E$6))),"",IF(COUNTIFS('Estimates'!$A$5:$A$2004,$A80,'Estimates'!$B$5:$B$2004,"PPS",'Estimates'!$D$5:$D$2004,'Status'!$E$6,'Estimates'!$H$5:$H$2004,1,'Estimates'!$E$5:$E$2004,'Status'!$E$7)=0,"",IF(COUNTIFS('Estimates'!$A$5:$A$2004,$A80,'Estimates'!$B$5:$B$2004,"PPS",'Estimates'!$D$5:$D$2004,'Status'!$E$6,'Estimates'!$H$5:$H$2004,1,'Estimates'!$E$5:$E$2004,'Status'!$E$7)&gt;1,"DUP",IF(COUNTIFS('Estimates'!$A$5:$A$2004,$A80,'Estimates'!$B$5:$B$2004,"PPS",'Estimates'!$D$5:$D$2004,'Status'!$E$6,'Estimates'!$H$5:$H$2004,1,'Estimates'!$E$5:$E$2004,'Status'!$E$7,'Estimates'!$F$5:$F$2004,"&lt;&gt;")=0,"",SUMIFS('Estimates'!$F$5:$F$2004,'Estimates'!$A$5:$A$2004,$A80,'Estimates'!$B$5:$B$2004,"PPS",'Estimates'!$D$5:$D$2004,'Status'!$E$6,'Estimates'!$H$5:$H$2004,1,'Estimates'!$E$5:$E$2004,'Status'!$E$7)))))</x:f>
      </x:c>
      <x:c r="K80" s="13" t="str">
        <x:f>IF(OR(COUNTA($A80)=0,NOT(ISNUMBER('Status'!$F$6))),"",IF(COUNTIFS('Estimates'!$A$5:$A$2004,$A80,'Estimates'!$B$5:$B$2004,"PPS",'Estimates'!$D$5:$D$2004,'Status'!$F$6,'Estimates'!$H$5:$H$2004,1,'Estimates'!$E$5:$E$2004,'Status'!$E$7)=0,"",IF(COUNTIFS('Estimates'!$A$5:$A$2004,$A80,'Estimates'!$B$5:$B$2004,"PPS",'Estimates'!$D$5:$D$2004,'Status'!$F$6,'Estimates'!$H$5:$H$2004,1,'Estimates'!$E$5:$E$2004,'Status'!$E$7)&gt;1,"DUP",IF(COUNTIFS('Estimates'!$A$5:$A$2004,$A80,'Estimates'!$B$5:$B$2004,"PPS",'Estimates'!$D$5:$D$2004,'Status'!$F$6,'Estimates'!$H$5:$H$2004,1,'Estimates'!$E$5:$E$2004,'Status'!$E$7,'Estimates'!$F$5:$F$2004,"&lt;&gt;")=0,"",SUMIFS('Estimates'!$F$5:$F$2004,'Estimates'!$A$5:$A$2004,$A80,'Estimates'!$B$5:$B$2004,"PPS",'Estimates'!$D$5:$D$2004,'Status'!$F$6,'Estimates'!$H$5:$H$2004,1,'Estimates'!$E$5:$E$2004,'Status'!$E$7)))))</x:f>
      </x:c>
      <x:c r="L80" s="13" t="str">
        <x:f>IF(OR(COUNTA($A80)=0,NOT(ISNUMBER('Status'!$G$6))),"",IF(COUNTIFS('Estimates'!$A$5:$A$2004,$A80,'Estimates'!$B$5:$B$2004,"PPS",'Estimates'!$D$5:$D$2004,'Status'!$G$6,'Estimates'!$H$5:$H$2004,1,'Estimates'!$E$5:$E$2004,'Status'!$E$7)=0,"",IF(COUNTIFS('Estimates'!$A$5:$A$2004,$A80,'Estimates'!$B$5:$B$2004,"PPS",'Estimates'!$D$5:$D$2004,'Status'!$G$6,'Estimates'!$H$5:$H$2004,1,'Estimates'!$E$5:$E$2004,'Status'!$E$7)&gt;1,"DUP",IF(COUNTIFS('Estimates'!$A$5:$A$2004,$A80,'Estimates'!$B$5:$B$2004,"PPS",'Estimates'!$D$5:$D$2004,'Status'!$G$6,'Estimates'!$H$5:$H$2004,1,'Estimates'!$E$5:$E$2004,'Status'!$E$7,'Estimates'!$F$5:$F$2004,"&lt;&gt;")=0,"",SUMIFS('Estimates'!$F$5:$F$2004,'Estimates'!$A$5:$A$2004,$A80,'Estimates'!$B$5:$B$2004,"PPS",'Estimates'!$D$5:$D$2004,'Status'!$G$6,'Estimates'!$H$5:$H$2004,1,'Estimates'!$E$5:$E$2004,'Status'!$E$7)))))</x:f>
      </x:c>
      <x:c r="M80" s="13" t="str">
        <x:f>IF(AND(ISNUMBER(J80),ISNUMBER(K80)),K80-J80,"")</x:f>
      </x:c>
      <x:c r="N80" s="13" t="str">
        <x:f>IF(AND(ISNUMBER(K80),ISNUMBER(L80)),L80-K80,"")</x:f>
      </x:c>
      <x:c r="O80" s="13" t="str">
        <x:f>IF(AND(COUNT(J80:L80)=3,COUNT('Status'!$E$6:$G$6)=3,'Status'!$E$6&gt;'Status'!$F$6,'Status'!$F$6&gt;'Status'!$G$6,'Status'!$G$6&gt;0),ABS(L80-(K80+(K80-J80)*('Status'!$G$6-'Status'!$F$6)/('Status'!$F$6-'Status'!$E$6))),"")</x:f>
      </x:c>
      <x:c r="P80" s="13" t="str">
        <x:f>IF(AND(COUNT(J80:L80)=3,COUNT('Status'!$E$6:$G$6)=3,'Status'!$E$6&gt;'Status'!$F$6,'Status'!$F$6&gt;'Status'!$G$6,'Status'!$G$6&gt;0),('Status'!$F$6*L80-'Status'!$G$6*K80)/('Status'!$F$6-'Status'!$G$6),"")</x:f>
      </x:c>
      <x:c r="Q80" s="20"/>
      <x:c r="R80" s="13" t="str">
        <x:f>IF(COUNTA($A80)=0,"",IF('Status'!$B$6="MPS 1",IF(ISNUMBER(C80),C80,""),IF('Status'!$B$6="MPS 2",IF(ISNUMBER(D80),D80,""),IF('Status'!$B$6="MPS 3",IF(ISNUMBER(E80),E80,""),IF('Status'!$B$6="MPS extrap",IF(ISNUMBER(I80),I80,""),IF('Status'!$B$6="PPS 1",IF(ISNUMBER(J80),J80,""),IF('Status'!$B$6="PPS 2",IF(ISNUMBER(K80),K80,""),IF('Status'!$B$6="PPS 3",IF(ISNUMBER(L80),L80,""),IF('Status'!$B$6="PPS extrap",IF(ISNUMBER(P80),P80,""),IF('Status'!$B$6="Calibrated",IF(ISNUMBER(Q80),Q80,""),""))))))))))</x:f>
      </x:c>
      <x:c r="S80" s="2" t="str">
        <x:f>IF(COUNTA(A80)=0,"",IF(COUNTIFS('Estimates'!$A$5:$A$2004,A80,'Estimates'!$B$5:$B$2004,"MPS",'Estimates'!$H$5:$H$2004,1)+COUNTIFS('Estimates'!$A$5:$A$2004,A80,'Estimates'!$B$5:$B$2004,"PPS",'Estimates'!$H$5:$H$2004,1)&gt;0,1,0))</x:f>
      </x:c>
      <x:c r="T80" s="2" t="str">
        <x:f>IF(COUNTA(A80)=0,"",IF(COUNTIFS($A$6:$A$165,A80)&gt;1,"Duplicate target",IF(COUNTIFS(C80:E80,"DUP")+COUNTIFS(J80:L80,"DUP")&gt;0,"Duplicate accepted run",IF(COUNTIFS('Estimates'!$A$5:$A$2004,A80,'Estimates'!$H$5:$H$2004,1)-COUNTIFS('Estimates'!$A$5:$A$2004,A80,'Estimates'!$H$5:$H$2004,1,'Estimates'!$F$5:$F$2004,"&lt;&gt;")&gt;0,"Accepted value missing",""))))</x:f>
      </x:c>
    </x:row>
    <x:row r="81">
      <x:c r="A81" s="21"/>
      <x:c r="B81" s="19"/>
      <x:c r="C81" s="13" t="str">
        <x:f>IF(OR(COUNTA($A81)=0,NOT(ISNUMBER('Status'!$E$5))),"",IF(COUNTIFS('Estimates'!$A$5:$A$2004,$A81,'Estimates'!$B$5:$B$2004,"MPS",'Estimates'!$C$5:$C$2004,'Status'!$E$5,'Estimates'!$H$5:$H$2004,1)=0,"",IF(COUNTIFS('Estimates'!$A$5:$A$2004,$A81,'Estimates'!$B$5:$B$2004,"MPS",'Estimates'!$C$5:$C$2004,'Status'!$E$5,'Estimates'!$H$5:$H$2004,1)&gt;1,"DUP",IF(COUNTIFS('Estimates'!$A$5:$A$2004,$A81,'Estimates'!$B$5:$B$2004,"MPS",'Estimates'!$C$5:$C$2004,'Status'!$E$5,'Estimates'!$H$5:$H$2004,1,'Estimates'!$F$5:$F$2004,"&lt;&gt;")=0,"",SUMIFS('Estimates'!$F$5:$F$2004,'Estimates'!$A$5:$A$2004,$A81,'Estimates'!$B$5:$B$2004,"MPS",'Estimates'!$C$5:$C$2004,'Status'!$E$5,'Estimates'!$H$5:$H$2004,1)))))</x:f>
      </x:c>
      <x:c r="D81" s="13" t="str">
        <x:f>IF(OR(COUNTA($A81)=0,NOT(ISNUMBER('Status'!$F$5))),"",IF(COUNTIFS('Estimates'!$A$5:$A$2004,$A81,'Estimates'!$B$5:$B$2004,"MPS",'Estimates'!$C$5:$C$2004,'Status'!$F$5,'Estimates'!$H$5:$H$2004,1)=0,"",IF(COUNTIFS('Estimates'!$A$5:$A$2004,$A81,'Estimates'!$B$5:$B$2004,"MPS",'Estimates'!$C$5:$C$2004,'Status'!$F$5,'Estimates'!$H$5:$H$2004,1)&gt;1,"DUP",IF(COUNTIFS('Estimates'!$A$5:$A$2004,$A81,'Estimates'!$B$5:$B$2004,"MPS",'Estimates'!$C$5:$C$2004,'Status'!$F$5,'Estimates'!$H$5:$H$2004,1,'Estimates'!$F$5:$F$2004,"&lt;&gt;")=0,"",SUMIFS('Estimates'!$F$5:$F$2004,'Estimates'!$A$5:$A$2004,$A81,'Estimates'!$B$5:$B$2004,"MPS",'Estimates'!$C$5:$C$2004,'Status'!$F$5,'Estimates'!$H$5:$H$2004,1)))))</x:f>
      </x:c>
      <x:c r="E81" s="13" t="str">
        <x:f>IF(OR(COUNTA($A81)=0,NOT(ISNUMBER('Status'!$G$5))),"",IF(COUNTIFS('Estimates'!$A$5:$A$2004,$A81,'Estimates'!$B$5:$B$2004,"MPS",'Estimates'!$C$5:$C$2004,'Status'!$G$5,'Estimates'!$H$5:$H$2004,1)=0,"",IF(COUNTIFS('Estimates'!$A$5:$A$2004,$A81,'Estimates'!$B$5:$B$2004,"MPS",'Estimates'!$C$5:$C$2004,'Status'!$G$5,'Estimates'!$H$5:$H$2004,1)&gt;1,"DUP",IF(COUNTIFS('Estimates'!$A$5:$A$2004,$A81,'Estimates'!$B$5:$B$2004,"MPS",'Estimates'!$C$5:$C$2004,'Status'!$G$5,'Estimates'!$H$5:$H$2004,1,'Estimates'!$F$5:$F$2004,"&lt;&gt;")=0,"",SUMIFS('Estimates'!$F$5:$F$2004,'Estimates'!$A$5:$A$2004,$A81,'Estimates'!$B$5:$B$2004,"MPS",'Estimates'!$C$5:$C$2004,'Status'!$G$5,'Estimates'!$H$5:$H$2004,1)))))</x:f>
      </x:c>
      <x:c r="F81" s="13" t="str">
        <x:f>IF(AND(ISNUMBER(C81),ISNUMBER(D81)),D81-C81,"")</x:f>
      </x:c>
      <x:c r="G81" s="13" t="str">
        <x:f>IF(AND(ISNUMBER(D81),ISNUMBER(E81)),E81-D81,"")</x:f>
      </x:c>
      <x:c r="H81" s="13" t="str">
        <x:f>IF(AND(COUNT(C81:E81)=3,COUNT('Status'!$E$5:$G$5)=3,'Status'!$E$5&gt;0,'Status'!$E$5&lt;'Status'!$F$5,'Status'!$F$5&lt;'Status'!$G$5),ABS(E81-(D81+(D81-C81)*((1/'Status'!$G$5)-(1/'Status'!$F$5))/((1/'Status'!$F$5)-(1/'Status'!$E$5)))),"")</x:f>
      </x:c>
      <x:c r="I81" s="13" t="str">
        <x:f>IF(AND(COUNT(C81:E81)=3,COUNT('Status'!$E$5:$G$5)=3,'Status'!$E$5&gt;0,'Status'!$E$5&lt;'Status'!$F$5,'Status'!$F$5&lt;'Status'!$G$5),((1/'Status'!$F$5)*E81-(1/'Status'!$G$5)*D81)/((1/'Status'!$F$5)-(1/'Status'!$G$5)),"")</x:f>
      </x:c>
      <x:c r="J81" s="13" t="str">
        <x:f>IF(OR(COUNTA($A81)=0,NOT(ISNUMBER('Status'!$E$6))),"",IF(COUNTIFS('Estimates'!$A$5:$A$2004,$A81,'Estimates'!$B$5:$B$2004,"PPS",'Estimates'!$D$5:$D$2004,'Status'!$E$6,'Estimates'!$H$5:$H$2004,1,'Estimates'!$E$5:$E$2004,'Status'!$E$7)=0,"",IF(COUNTIFS('Estimates'!$A$5:$A$2004,$A81,'Estimates'!$B$5:$B$2004,"PPS",'Estimates'!$D$5:$D$2004,'Status'!$E$6,'Estimates'!$H$5:$H$2004,1,'Estimates'!$E$5:$E$2004,'Status'!$E$7)&gt;1,"DUP",IF(COUNTIFS('Estimates'!$A$5:$A$2004,$A81,'Estimates'!$B$5:$B$2004,"PPS",'Estimates'!$D$5:$D$2004,'Status'!$E$6,'Estimates'!$H$5:$H$2004,1,'Estimates'!$E$5:$E$2004,'Status'!$E$7,'Estimates'!$F$5:$F$2004,"&lt;&gt;")=0,"",SUMIFS('Estimates'!$F$5:$F$2004,'Estimates'!$A$5:$A$2004,$A81,'Estimates'!$B$5:$B$2004,"PPS",'Estimates'!$D$5:$D$2004,'Status'!$E$6,'Estimates'!$H$5:$H$2004,1,'Estimates'!$E$5:$E$2004,'Status'!$E$7)))))</x:f>
      </x:c>
      <x:c r="K81" s="13" t="str">
        <x:f>IF(OR(COUNTA($A81)=0,NOT(ISNUMBER('Status'!$F$6))),"",IF(COUNTIFS('Estimates'!$A$5:$A$2004,$A81,'Estimates'!$B$5:$B$2004,"PPS",'Estimates'!$D$5:$D$2004,'Status'!$F$6,'Estimates'!$H$5:$H$2004,1,'Estimates'!$E$5:$E$2004,'Status'!$E$7)=0,"",IF(COUNTIFS('Estimates'!$A$5:$A$2004,$A81,'Estimates'!$B$5:$B$2004,"PPS",'Estimates'!$D$5:$D$2004,'Status'!$F$6,'Estimates'!$H$5:$H$2004,1,'Estimates'!$E$5:$E$2004,'Status'!$E$7)&gt;1,"DUP",IF(COUNTIFS('Estimates'!$A$5:$A$2004,$A81,'Estimates'!$B$5:$B$2004,"PPS",'Estimates'!$D$5:$D$2004,'Status'!$F$6,'Estimates'!$H$5:$H$2004,1,'Estimates'!$E$5:$E$2004,'Status'!$E$7,'Estimates'!$F$5:$F$2004,"&lt;&gt;")=0,"",SUMIFS('Estimates'!$F$5:$F$2004,'Estimates'!$A$5:$A$2004,$A81,'Estimates'!$B$5:$B$2004,"PPS",'Estimates'!$D$5:$D$2004,'Status'!$F$6,'Estimates'!$H$5:$H$2004,1,'Estimates'!$E$5:$E$2004,'Status'!$E$7)))))</x:f>
      </x:c>
      <x:c r="L81" s="13" t="str">
        <x:f>IF(OR(COUNTA($A81)=0,NOT(ISNUMBER('Status'!$G$6))),"",IF(COUNTIFS('Estimates'!$A$5:$A$2004,$A81,'Estimates'!$B$5:$B$2004,"PPS",'Estimates'!$D$5:$D$2004,'Status'!$G$6,'Estimates'!$H$5:$H$2004,1,'Estimates'!$E$5:$E$2004,'Status'!$E$7)=0,"",IF(COUNTIFS('Estimates'!$A$5:$A$2004,$A81,'Estimates'!$B$5:$B$2004,"PPS",'Estimates'!$D$5:$D$2004,'Status'!$G$6,'Estimates'!$H$5:$H$2004,1,'Estimates'!$E$5:$E$2004,'Status'!$E$7)&gt;1,"DUP",IF(COUNTIFS('Estimates'!$A$5:$A$2004,$A81,'Estimates'!$B$5:$B$2004,"PPS",'Estimates'!$D$5:$D$2004,'Status'!$G$6,'Estimates'!$H$5:$H$2004,1,'Estimates'!$E$5:$E$2004,'Status'!$E$7,'Estimates'!$F$5:$F$2004,"&lt;&gt;")=0,"",SUMIFS('Estimates'!$F$5:$F$2004,'Estimates'!$A$5:$A$2004,$A81,'Estimates'!$B$5:$B$2004,"PPS",'Estimates'!$D$5:$D$2004,'Status'!$G$6,'Estimates'!$H$5:$H$2004,1,'Estimates'!$E$5:$E$2004,'Status'!$E$7)))))</x:f>
      </x:c>
      <x:c r="M81" s="13" t="str">
        <x:f>IF(AND(ISNUMBER(J81),ISNUMBER(K81)),K81-J81,"")</x:f>
      </x:c>
      <x:c r="N81" s="13" t="str">
        <x:f>IF(AND(ISNUMBER(K81),ISNUMBER(L81)),L81-K81,"")</x:f>
      </x:c>
      <x:c r="O81" s="13" t="str">
        <x:f>IF(AND(COUNT(J81:L81)=3,COUNT('Status'!$E$6:$G$6)=3,'Status'!$E$6&gt;'Status'!$F$6,'Status'!$F$6&gt;'Status'!$G$6,'Status'!$G$6&gt;0),ABS(L81-(K81+(K81-J81)*('Status'!$G$6-'Status'!$F$6)/('Status'!$F$6-'Status'!$E$6))),"")</x:f>
      </x:c>
      <x:c r="P81" s="13" t="str">
        <x:f>IF(AND(COUNT(J81:L81)=3,COUNT('Status'!$E$6:$G$6)=3,'Status'!$E$6&gt;'Status'!$F$6,'Status'!$F$6&gt;'Status'!$G$6,'Status'!$G$6&gt;0),('Status'!$F$6*L81-'Status'!$G$6*K81)/('Status'!$F$6-'Status'!$G$6),"")</x:f>
      </x:c>
      <x:c r="Q81" s="20"/>
      <x:c r="R81" s="13" t="str">
        <x:f>IF(COUNTA($A81)=0,"",IF('Status'!$B$6="MPS 1",IF(ISNUMBER(C81),C81,""),IF('Status'!$B$6="MPS 2",IF(ISNUMBER(D81),D81,""),IF('Status'!$B$6="MPS 3",IF(ISNUMBER(E81),E81,""),IF('Status'!$B$6="MPS extrap",IF(ISNUMBER(I81),I81,""),IF('Status'!$B$6="PPS 1",IF(ISNUMBER(J81),J81,""),IF('Status'!$B$6="PPS 2",IF(ISNUMBER(K81),K81,""),IF('Status'!$B$6="PPS 3",IF(ISNUMBER(L81),L81,""),IF('Status'!$B$6="PPS extrap",IF(ISNUMBER(P81),P81,""),IF('Status'!$B$6="Calibrated",IF(ISNUMBER(Q81),Q81,""),""))))))))))</x:f>
      </x:c>
      <x:c r="S81" s="2" t="str">
        <x:f>IF(COUNTA(A81)=0,"",IF(COUNTIFS('Estimates'!$A$5:$A$2004,A81,'Estimates'!$B$5:$B$2004,"MPS",'Estimates'!$H$5:$H$2004,1)+COUNTIFS('Estimates'!$A$5:$A$2004,A81,'Estimates'!$B$5:$B$2004,"PPS",'Estimates'!$H$5:$H$2004,1)&gt;0,1,0))</x:f>
      </x:c>
      <x:c r="T81" s="2" t="str">
        <x:f>IF(COUNTA(A81)=0,"",IF(COUNTIFS($A$6:$A$165,A81)&gt;1,"Duplicate target",IF(COUNTIFS(C81:E81,"DUP")+COUNTIFS(J81:L81,"DUP")&gt;0,"Duplicate accepted run",IF(COUNTIFS('Estimates'!$A$5:$A$2004,A81,'Estimates'!$H$5:$H$2004,1)-COUNTIFS('Estimates'!$A$5:$A$2004,A81,'Estimates'!$H$5:$H$2004,1,'Estimates'!$F$5:$F$2004,"&lt;&gt;")&gt;0,"Accepted value missing",""))))</x:f>
      </x:c>
    </x:row>
    <x:row r="82">
      <x:c r="A82" s="21"/>
      <x:c r="B82" s="19"/>
      <x:c r="C82" s="13" t="str">
        <x:f>IF(OR(COUNTA($A82)=0,NOT(ISNUMBER('Status'!$E$5))),"",IF(COUNTIFS('Estimates'!$A$5:$A$2004,$A82,'Estimates'!$B$5:$B$2004,"MPS",'Estimates'!$C$5:$C$2004,'Status'!$E$5,'Estimates'!$H$5:$H$2004,1)=0,"",IF(COUNTIFS('Estimates'!$A$5:$A$2004,$A82,'Estimates'!$B$5:$B$2004,"MPS",'Estimates'!$C$5:$C$2004,'Status'!$E$5,'Estimates'!$H$5:$H$2004,1)&gt;1,"DUP",IF(COUNTIFS('Estimates'!$A$5:$A$2004,$A82,'Estimates'!$B$5:$B$2004,"MPS",'Estimates'!$C$5:$C$2004,'Status'!$E$5,'Estimates'!$H$5:$H$2004,1,'Estimates'!$F$5:$F$2004,"&lt;&gt;")=0,"",SUMIFS('Estimates'!$F$5:$F$2004,'Estimates'!$A$5:$A$2004,$A82,'Estimates'!$B$5:$B$2004,"MPS",'Estimates'!$C$5:$C$2004,'Status'!$E$5,'Estimates'!$H$5:$H$2004,1)))))</x:f>
      </x:c>
      <x:c r="D82" s="13" t="str">
        <x:f>IF(OR(COUNTA($A82)=0,NOT(ISNUMBER('Status'!$F$5))),"",IF(COUNTIFS('Estimates'!$A$5:$A$2004,$A82,'Estimates'!$B$5:$B$2004,"MPS",'Estimates'!$C$5:$C$2004,'Status'!$F$5,'Estimates'!$H$5:$H$2004,1)=0,"",IF(COUNTIFS('Estimates'!$A$5:$A$2004,$A82,'Estimates'!$B$5:$B$2004,"MPS",'Estimates'!$C$5:$C$2004,'Status'!$F$5,'Estimates'!$H$5:$H$2004,1)&gt;1,"DUP",IF(COUNTIFS('Estimates'!$A$5:$A$2004,$A82,'Estimates'!$B$5:$B$2004,"MPS",'Estimates'!$C$5:$C$2004,'Status'!$F$5,'Estimates'!$H$5:$H$2004,1,'Estimates'!$F$5:$F$2004,"&lt;&gt;")=0,"",SUMIFS('Estimates'!$F$5:$F$2004,'Estimates'!$A$5:$A$2004,$A82,'Estimates'!$B$5:$B$2004,"MPS",'Estimates'!$C$5:$C$2004,'Status'!$F$5,'Estimates'!$H$5:$H$2004,1)))))</x:f>
      </x:c>
      <x:c r="E82" s="13" t="str">
        <x:f>IF(OR(COUNTA($A82)=0,NOT(ISNUMBER('Status'!$G$5))),"",IF(COUNTIFS('Estimates'!$A$5:$A$2004,$A82,'Estimates'!$B$5:$B$2004,"MPS",'Estimates'!$C$5:$C$2004,'Status'!$G$5,'Estimates'!$H$5:$H$2004,1)=0,"",IF(COUNTIFS('Estimates'!$A$5:$A$2004,$A82,'Estimates'!$B$5:$B$2004,"MPS",'Estimates'!$C$5:$C$2004,'Status'!$G$5,'Estimates'!$H$5:$H$2004,1)&gt;1,"DUP",IF(COUNTIFS('Estimates'!$A$5:$A$2004,$A82,'Estimates'!$B$5:$B$2004,"MPS",'Estimates'!$C$5:$C$2004,'Status'!$G$5,'Estimates'!$H$5:$H$2004,1,'Estimates'!$F$5:$F$2004,"&lt;&gt;")=0,"",SUMIFS('Estimates'!$F$5:$F$2004,'Estimates'!$A$5:$A$2004,$A82,'Estimates'!$B$5:$B$2004,"MPS",'Estimates'!$C$5:$C$2004,'Status'!$G$5,'Estimates'!$H$5:$H$2004,1)))))</x:f>
      </x:c>
      <x:c r="F82" s="13" t="str">
        <x:f>IF(AND(ISNUMBER(C82),ISNUMBER(D82)),D82-C82,"")</x:f>
      </x:c>
      <x:c r="G82" s="13" t="str">
        <x:f>IF(AND(ISNUMBER(D82),ISNUMBER(E82)),E82-D82,"")</x:f>
      </x:c>
      <x:c r="H82" s="13" t="str">
        <x:f>IF(AND(COUNT(C82:E82)=3,COUNT('Status'!$E$5:$G$5)=3,'Status'!$E$5&gt;0,'Status'!$E$5&lt;'Status'!$F$5,'Status'!$F$5&lt;'Status'!$G$5),ABS(E82-(D82+(D82-C82)*((1/'Status'!$G$5)-(1/'Status'!$F$5))/((1/'Status'!$F$5)-(1/'Status'!$E$5)))),"")</x:f>
      </x:c>
      <x:c r="I82" s="13" t="str">
        <x:f>IF(AND(COUNT(C82:E82)=3,COUNT('Status'!$E$5:$G$5)=3,'Status'!$E$5&gt;0,'Status'!$E$5&lt;'Status'!$F$5,'Status'!$F$5&lt;'Status'!$G$5),((1/'Status'!$F$5)*E82-(1/'Status'!$G$5)*D82)/((1/'Status'!$F$5)-(1/'Status'!$G$5)),"")</x:f>
      </x:c>
      <x:c r="J82" s="13" t="str">
        <x:f>IF(OR(COUNTA($A82)=0,NOT(ISNUMBER('Status'!$E$6))),"",IF(COUNTIFS('Estimates'!$A$5:$A$2004,$A82,'Estimates'!$B$5:$B$2004,"PPS",'Estimates'!$D$5:$D$2004,'Status'!$E$6,'Estimates'!$H$5:$H$2004,1,'Estimates'!$E$5:$E$2004,'Status'!$E$7)=0,"",IF(COUNTIFS('Estimates'!$A$5:$A$2004,$A82,'Estimates'!$B$5:$B$2004,"PPS",'Estimates'!$D$5:$D$2004,'Status'!$E$6,'Estimates'!$H$5:$H$2004,1,'Estimates'!$E$5:$E$2004,'Status'!$E$7)&gt;1,"DUP",IF(COUNTIFS('Estimates'!$A$5:$A$2004,$A82,'Estimates'!$B$5:$B$2004,"PPS",'Estimates'!$D$5:$D$2004,'Status'!$E$6,'Estimates'!$H$5:$H$2004,1,'Estimates'!$E$5:$E$2004,'Status'!$E$7,'Estimates'!$F$5:$F$2004,"&lt;&gt;")=0,"",SUMIFS('Estimates'!$F$5:$F$2004,'Estimates'!$A$5:$A$2004,$A82,'Estimates'!$B$5:$B$2004,"PPS",'Estimates'!$D$5:$D$2004,'Status'!$E$6,'Estimates'!$H$5:$H$2004,1,'Estimates'!$E$5:$E$2004,'Status'!$E$7)))))</x:f>
      </x:c>
      <x:c r="K82" s="13" t="str">
        <x:f>IF(OR(COUNTA($A82)=0,NOT(ISNUMBER('Status'!$F$6))),"",IF(COUNTIFS('Estimates'!$A$5:$A$2004,$A82,'Estimates'!$B$5:$B$2004,"PPS",'Estimates'!$D$5:$D$2004,'Status'!$F$6,'Estimates'!$H$5:$H$2004,1,'Estimates'!$E$5:$E$2004,'Status'!$E$7)=0,"",IF(COUNTIFS('Estimates'!$A$5:$A$2004,$A82,'Estimates'!$B$5:$B$2004,"PPS",'Estimates'!$D$5:$D$2004,'Status'!$F$6,'Estimates'!$H$5:$H$2004,1,'Estimates'!$E$5:$E$2004,'Status'!$E$7)&gt;1,"DUP",IF(COUNTIFS('Estimates'!$A$5:$A$2004,$A82,'Estimates'!$B$5:$B$2004,"PPS",'Estimates'!$D$5:$D$2004,'Status'!$F$6,'Estimates'!$H$5:$H$2004,1,'Estimates'!$E$5:$E$2004,'Status'!$E$7,'Estimates'!$F$5:$F$2004,"&lt;&gt;")=0,"",SUMIFS('Estimates'!$F$5:$F$2004,'Estimates'!$A$5:$A$2004,$A82,'Estimates'!$B$5:$B$2004,"PPS",'Estimates'!$D$5:$D$2004,'Status'!$F$6,'Estimates'!$H$5:$H$2004,1,'Estimates'!$E$5:$E$2004,'Status'!$E$7)))))</x:f>
      </x:c>
      <x:c r="L82" s="13" t="str">
        <x:f>IF(OR(COUNTA($A82)=0,NOT(ISNUMBER('Status'!$G$6))),"",IF(COUNTIFS('Estimates'!$A$5:$A$2004,$A82,'Estimates'!$B$5:$B$2004,"PPS",'Estimates'!$D$5:$D$2004,'Status'!$G$6,'Estimates'!$H$5:$H$2004,1,'Estimates'!$E$5:$E$2004,'Status'!$E$7)=0,"",IF(COUNTIFS('Estimates'!$A$5:$A$2004,$A82,'Estimates'!$B$5:$B$2004,"PPS",'Estimates'!$D$5:$D$2004,'Status'!$G$6,'Estimates'!$H$5:$H$2004,1,'Estimates'!$E$5:$E$2004,'Status'!$E$7)&gt;1,"DUP",IF(COUNTIFS('Estimates'!$A$5:$A$2004,$A82,'Estimates'!$B$5:$B$2004,"PPS",'Estimates'!$D$5:$D$2004,'Status'!$G$6,'Estimates'!$H$5:$H$2004,1,'Estimates'!$E$5:$E$2004,'Status'!$E$7,'Estimates'!$F$5:$F$2004,"&lt;&gt;")=0,"",SUMIFS('Estimates'!$F$5:$F$2004,'Estimates'!$A$5:$A$2004,$A82,'Estimates'!$B$5:$B$2004,"PPS",'Estimates'!$D$5:$D$2004,'Status'!$G$6,'Estimates'!$H$5:$H$2004,1,'Estimates'!$E$5:$E$2004,'Status'!$E$7)))))</x:f>
      </x:c>
      <x:c r="M82" s="13" t="str">
        <x:f>IF(AND(ISNUMBER(J82),ISNUMBER(K82)),K82-J82,"")</x:f>
      </x:c>
      <x:c r="N82" s="13" t="str">
        <x:f>IF(AND(ISNUMBER(K82),ISNUMBER(L82)),L82-K82,"")</x:f>
      </x:c>
      <x:c r="O82" s="13" t="str">
        <x:f>IF(AND(COUNT(J82:L82)=3,COUNT('Status'!$E$6:$G$6)=3,'Status'!$E$6&gt;'Status'!$F$6,'Status'!$F$6&gt;'Status'!$G$6,'Status'!$G$6&gt;0),ABS(L82-(K82+(K82-J82)*('Status'!$G$6-'Status'!$F$6)/('Status'!$F$6-'Status'!$E$6))),"")</x:f>
      </x:c>
      <x:c r="P82" s="13" t="str">
        <x:f>IF(AND(COUNT(J82:L82)=3,COUNT('Status'!$E$6:$G$6)=3,'Status'!$E$6&gt;'Status'!$F$6,'Status'!$F$6&gt;'Status'!$G$6,'Status'!$G$6&gt;0),('Status'!$F$6*L82-'Status'!$G$6*K82)/('Status'!$F$6-'Status'!$G$6),"")</x:f>
      </x:c>
      <x:c r="Q82" s="20"/>
      <x:c r="R82" s="13" t="str">
        <x:f>IF(COUNTA($A82)=0,"",IF('Status'!$B$6="MPS 1",IF(ISNUMBER(C82),C82,""),IF('Status'!$B$6="MPS 2",IF(ISNUMBER(D82),D82,""),IF('Status'!$B$6="MPS 3",IF(ISNUMBER(E82),E82,""),IF('Status'!$B$6="MPS extrap",IF(ISNUMBER(I82),I82,""),IF('Status'!$B$6="PPS 1",IF(ISNUMBER(J82),J82,""),IF('Status'!$B$6="PPS 2",IF(ISNUMBER(K82),K82,""),IF('Status'!$B$6="PPS 3",IF(ISNUMBER(L82),L82,""),IF('Status'!$B$6="PPS extrap",IF(ISNUMBER(P82),P82,""),IF('Status'!$B$6="Calibrated",IF(ISNUMBER(Q82),Q82,""),""))))))))))</x:f>
      </x:c>
      <x:c r="S82" s="2" t="str">
        <x:f>IF(COUNTA(A82)=0,"",IF(COUNTIFS('Estimates'!$A$5:$A$2004,A82,'Estimates'!$B$5:$B$2004,"MPS",'Estimates'!$H$5:$H$2004,1)+COUNTIFS('Estimates'!$A$5:$A$2004,A82,'Estimates'!$B$5:$B$2004,"PPS",'Estimates'!$H$5:$H$2004,1)&gt;0,1,0))</x:f>
      </x:c>
      <x:c r="T82" s="2" t="str">
        <x:f>IF(COUNTA(A82)=0,"",IF(COUNTIFS($A$6:$A$165,A82)&gt;1,"Duplicate target",IF(COUNTIFS(C82:E82,"DUP")+COUNTIFS(J82:L82,"DUP")&gt;0,"Duplicate accepted run",IF(COUNTIFS('Estimates'!$A$5:$A$2004,A82,'Estimates'!$H$5:$H$2004,1)-COUNTIFS('Estimates'!$A$5:$A$2004,A82,'Estimates'!$H$5:$H$2004,1,'Estimates'!$F$5:$F$2004,"&lt;&gt;")&gt;0,"Accepted value missing",""))))</x:f>
      </x:c>
    </x:row>
    <x:row r="83">
      <x:c r="A83" s="21"/>
      <x:c r="B83" s="19"/>
      <x:c r="C83" s="13" t="str">
        <x:f>IF(OR(COUNTA($A83)=0,NOT(ISNUMBER('Status'!$E$5))),"",IF(COUNTIFS('Estimates'!$A$5:$A$2004,$A83,'Estimates'!$B$5:$B$2004,"MPS",'Estimates'!$C$5:$C$2004,'Status'!$E$5,'Estimates'!$H$5:$H$2004,1)=0,"",IF(COUNTIFS('Estimates'!$A$5:$A$2004,$A83,'Estimates'!$B$5:$B$2004,"MPS",'Estimates'!$C$5:$C$2004,'Status'!$E$5,'Estimates'!$H$5:$H$2004,1)&gt;1,"DUP",IF(COUNTIFS('Estimates'!$A$5:$A$2004,$A83,'Estimates'!$B$5:$B$2004,"MPS",'Estimates'!$C$5:$C$2004,'Status'!$E$5,'Estimates'!$H$5:$H$2004,1,'Estimates'!$F$5:$F$2004,"&lt;&gt;")=0,"",SUMIFS('Estimates'!$F$5:$F$2004,'Estimates'!$A$5:$A$2004,$A83,'Estimates'!$B$5:$B$2004,"MPS",'Estimates'!$C$5:$C$2004,'Status'!$E$5,'Estimates'!$H$5:$H$2004,1)))))</x:f>
      </x:c>
      <x:c r="D83" s="13" t="str">
        <x:f>IF(OR(COUNTA($A83)=0,NOT(ISNUMBER('Status'!$F$5))),"",IF(COUNTIFS('Estimates'!$A$5:$A$2004,$A83,'Estimates'!$B$5:$B$2004,"MPS",'Estimates'!$C$5:$C$2004,'Status'!$F$5,'Estimates'!$H$5:$H$2004,1)=0,"",IF(COUNTIFS('Estimates'!$A$5:$A$2004,$A83,'Estimates'!$B$5:$B$2004,"MPS",'Estimates'!$C$5:$C$2004,'Status'!$F$5,'Estimates'!$H$5:$H$2004,1)&gt;1,"DUP",IF(COUNTIFS('Estimates'!$A$5:$A$2004,$A83,'Estimates'!$B$5:$B$2004,"MPS",'Estimates'!$C$5:$C$2004,'Status'!$F$5,'Estimates'!$H$5:$H$2004,1,'Estimates'!$F$5:$F$2004,"&lt;&gt;")=0,"",SUMIFS('Estimates'!$F$5:$F$2004,'Estimates'!$A$5:$A$2004,$A83,'Estimates'!$B$5:$B$2004,"MPS",'Estimates'!$C$5:$C$2004,'Status'!$F$5,'Estimates'!$H$5:$H$2004,1)))))</x:f>
      </x:c>
      <x:c r="E83" s="13" t="str">
        <x:f>IF(OR(COUNTA($A83)=0,NOT(ISNUMBER('Status'!$G$5))),"",IF(COUNTIFS('Estimates'!$A$5:$A$2004,$A83,'Estimates'!$B$5:$B$2004,"MPS",'Estimates'!$C$5:$C$2004,'Status'!$G$5,'Estimates'!$H$5:$H$2004,1)=0,"",IF(COUNTIFS('Estimates'!$A$5:$A$2004,$A83,'Estimates'!$B$5:$B$2004,"MPS",'Estimates'!$C$5:$C$2004,'Status'!$G$5,'Estimates'!$H$5:$H$2004,1)&gt;1,"DUP",IF(COUNTIFS('Estimates'!$A$5:$A$2004,$A83,'Estimates'!$B$5:$B$2004,"MPS",'Estimates'!$C$5:$C$2004,'Status'!$G$5,'Estimates'!$H$5:$H$2004,1,'Estimates'!$F$5:$F$2004,"&lt;&gt;")=0,"",SUMIFS('Estimates'!$F$5:$F$2004,'Estimates'!$A$5:$A$2004,$A83,'Estimates'!$B$5:$B$2004,"MPS",'Estimates'!$C$5:$C$2004,'Status'!$G$5,'Estimates'!$H$5:$H$2004,1)))))</x:f>
      </x:c>
      <x:c r="F83" s="13" t="str">
        <x:f>IF(AND(ISNUMBER(C83),ISNUMBER(D83)),D83-C83,"")</x:f>
      </x:c>
      <x:c r="G83" s="13" t="str">
        <x:f>IF(AND(ISNUMBER(D83),ISNUMBER(E83)),E83-D83,"")</x:f>
      </x:c>
      <x:c r="H83" s="13" t="str">
        <x:f>IF(AND(COUNT(C83:E83)=3,COUNT('Status'!$E$5:$G$5)=3,'Status'!$E$5&gt;0,'Status'!$E$5&lt;'Status'!$F$5,'Status'!$F$5&lt;'Status'!$G$5),ABS(E83-(D83+(D83-C83)*((1/'Status'!$G$5)-(1/'Status'!$F$5))/((1/'Status'!$F$5)-(1/'Status'!$E$5)))),"")</x:f>
      </x:c>
      <x:c r="I83" s="13" t="str">
        <x:f>IF(AND(COUNT(C83:E83)=3,COUNT('Status'!$E$5:$G$5)=3,'Status'!$E$5&gt;0,'Status'!$E$5&lt;'Status'!$F$5,'Status'!$F$5&lt;'Status'!$G$5),((1/'Status'!$F$5)*E83-(1/'Status'!$G$5)*D83)/((1/'Status'!$F$5)-(1/'Status'!$G$5)),"")</x:f>
      </x:c>
      <x:c r="J83" s="13" t="str">
        <x:f>IF(OR(COUNTA($A83)=0,NOT(ISNUMBER('Status'!$E$6))),"",IF(COUNTIFS('Estimates'!$A$5:$A$2004,$A83,'Estimates'!$B$5:$B$2004,"PPS",'Estimates'!$D$5:$D$2004,'Status'!$E$6,'Estimates'!$H$5:$H$2004,1,'Estimates'!$E$5:$E$2004,'Status'!$E$7)=0,"",IF(COUNTIFS('Estimates'!$A$5:$A$2004,$A83,'Estimates'!$B$5:$B$2004,"PPS",'Estimates'!$D$5:$D$2004,'Status'!$E$6,'Estimates'!$H$5:$H$2004,1,'Estimates'!$E$5:$E$2004,'Status'!$E$7)&gt;1,"DUP",IF(COUNTIFS('Estimates'!$A$5:$A$2004,$A83,'Estimates'!$B$5:$B$2004,"PPS",'Estimates'!$D$5:$D$2004,'Status'!$E$6,'Estimates'!$H$5:$H$2004,1,'Estimates'!$E$5:$E$2004,'Status'!$E$7,'Estimates'!$F$5:$F$2004,"&lt;&gt;")=0,"",SUMIFS('Estimates'!$F$5:$F$2004,'Estimates'!$A$5:$A$2004,$A83,'Estimates'!$B$5:$B$2004,"PPS",'Estimates'!$D$5:$D$2004,'Status'!$E$6,'Estimates'!$H$5:$H$2004,1,'Estimates'!$E$5:$E$2004,'Status'!$E$7)))))</x:f>
      </x:c>
      <x:c r="K83" s="13" t="str">
        <x:f>IF(OR(COUNTA($A83)=0,NOT(ISNUMBER('Status'!$F$6))),"",IF(COUNTIFS('Estimates'!$A$5:$A$2004,$A83,'Estimates'!$B$5:$B$2004,"PPS",'Estimates'!$D$5:$D$2004,'Status'!$F$6,'Estimates'!$H$5:$H$2004,1,'Estimates'!$E$5:$E$2004,'Status'!$E$7)=0,"",IF(COUNTIFS('Estimates'!$A$5:$A$2004,$A83,'Estimates'!$B$5:$B$2004,"PPS",'Estimates'!$D$5:$D$2004,'Status'!$F$6,'Estimates'!$H$5:$H$2004,1,'Estimates'!$E$5:$E$2004,'Status'!$E$7)&gt;1,"DUP",IF(COUNTIFS('Estimates'!$A$5:$A$2004,$A83,'Estimates'!$B$5:$B$2004,"PPS",'Estimates'!$D$5:$D$2004,'Status'!$F$6,'Estimates'!$H$5:$H$2004,1,'Estimates'!$E$5:$E$2004,'Status'!$E$7,'Estimates'!$F$5:$F$2004,"&lt;&gt;")=0,"",SUMIFS('Estimates'!$F$5:$F$2004,'Estimates'!$A$5:$A$2004,$A83,'Estimates'!$B$5:$B$2004,"PPS",'Estimates'!$D$5:$D$2004,'Status'!$F$6,'Estimates'!$H$5:$H$2004,1,'Estimates'!$E$5:$E$2004,'Status'!$E$7)))))</x:f>
      </x:c>
      <x:c r="L83" s="13" t="str">
        <x:f>IF(OR(COUNTA($A83)=0,NOT(ISNUMBER('Status'!$G$6))),"",IF(COUNTIFS('Estimates'!$A$5:$A$2004,$A83,'Estimates'!$B$5:$B$2004,"PPS",'Estimates'!$D$5:$D$2004,'Status'!$G$6,'Estimates'!$H$5:$H$2004,1,'Estimates'!$E$5:$E$2004,'Status'!$E$7)=0,"",IF(COUNTIFS('Estimates'!$A$5:$A$2004,$A83,'Estimates'!$B$5:$B$2004,"PPS",'Estimates'!$D$5:$D$2004,'Status'!$G$6,'Estimates'!$H$5:$H$2004,1,'Estimates'!$E$5:$E$2004,'Status'!$E$7)&gt;1,"DUP",IF(COUNTIFS('Estimates'!$A$5:$A$2004,$A83,'Estimates'!$B$5:$B$2004,"PPS",'Estimates'!$D$5:$D$2004,'Status'!$G$6,'Estimates'!$H$5:$H$2004,1,'Estimates'!$E$5:$E$2004,'Status'!$E$7,'Estimates'!$F$5:$F$2004,"&lt;&gt;")=0,"",SUMIFS('Estimates'!$F$5:$F$2004,'Estimates'!$A$5:$A$2004,$A83,'Estimates'!$B$5:$B$2004,"PPS",'Estimates'!$D$5:$D$2004,'Status'!$G$6,'Estimates'!$H$5:$H$2004,1,'Estimates'!$E$5:$E$2004,'Status'!$E$7)))))</x:f>
      </x:c>
      <x:c r="M83" s="13" t="str">
        <x:f>IF(AND(ISNUMBER(J83),ISNUMBER(K83)),K83-J83,"")</x:f>
      </x:c>
      <x:c r="N83" s="13" t="str">
        <x:f>IF(AND(ISNUMBER(K83),ISNUMBER(L83)),L83-K83,"")</x:f>
      </x:c>
      <x:c r="O83" s="13" t="str">
        <x:f>IF(AND(COUNT(J83:L83)=3,COUNT('Status'!$E$6:$G$6)=3,'Status'!$E$6&gt;'Status'!$F$6,'Status'!$F$6&gt;'Status'!$G$6,'Status'!$G$6&gt;0),ABS(L83-(K83+(K83-J83)*('Status'!$G$6-'Status'!$F$6)/('Status'!$F$6-'Status'!$E$6))),"")</x:f>
      </x:c>
      <x:c r="P83" s="13" t="str">
        <x:f>IF(AND(COUNT(J83:L83)=3,COUNT('Status'!$E$6:$G$6)=3,'Status'!$E$6&gt;'Status'!$F$6,'Status'!$F$6&gt;'Status'!$G$6,'Status'!$G$6&gt;0),('Status'!$F$6*L83-'Status'!$G$6*K83)/('Status'!$F$6-'Status'!$G$6),"")</x:f>
      </x:c>
      <x:c r="Q83" s="20"/>
      <x:c r="R83" s="13" t="str">
        <x:f>IF(COUNTA($A83)=0,"",IF('Status'!$B$6="MPS 1",IF(ISNUMBER(C83),C83,""),IF('Status'!$B$6="MPS 2",IF(ISNUMBER(D83),D83,""),IF('Status'!$B$6="MPS 3",IF(ISNUMBER(E83),E83,""),IF('Status'!$B$6="MPS extrap",IF(ISNUMBER(I83),I83,""),IF('Status'!$B$6="PPS 1",IF(ISNUMBER(J83),J83,""),IF('Status'!$B$6="PPS 2",IF(ISNUMBER(K83),K83,""),IF('Status'!$B$6="PPS 3",IF(ISNUMBER(L83),L83,""),IF('Status'!$B$6="PPS extrap",IF(ISNUMBER(P83),P83,""),IF('Status'!$B$6="Calibrated",IF(ISNUMBER(Q83),Q83,""),""))))))))))</x:f>
      </x:c>
      <x:c r="S83" s="2" t="str">
        <x:f>IF(COUNTA(A83)=0,"",IF(COUNTIFS('Estimates'!$A$5:$A$2004,A83,'Estimates'!$B$5:$B$2004,"MPS",'Estimates'!$H$5:$H$2004,1)+COUNTIFS('Estimates'!$A$5:$A$2004,A83,'Estimates'!$B$5:$B$2004,"PPS",'Estimates'!$H$5:$H$2004,1)&gt;0,1,0))</x:f>
      </x:c>
      <x:c r="T83" s="2" t="str">
        <x:f>IF(COUNTA(A83)=0,"",IF(COUNTIFS($A$6:$A$165,A83)&gt;1,"Duplicate target",IF(COUNTIFS(C83:E83,"DUP")+COUNTIFS(J83:L83,"DUP")&gt;0,"Duplicate accepted run",IF(COUNTIFS('Estimates'!$A$5:$A$2004,A83,'Estimates'!$H$5:$H$2004,1)-COUNTIFS('Estimates'!$A$5:$A$2004,A83,'Estimates'!$H$5:$H$2004,1,'Estimates'!$F$5:$F$2004,"&lt;&gt;")&gt;0,"Accepted value missing",""))))</x:f>
      </x:c>
    </x:row>
    <x:row r="84">
      <x:c r="A84" s="21"/>
      <x:c r="B84" s="19"/>
      <x:c r="C84" s="13" t="str">
        <x:f>IF(OR(COUNTA($A84)=0,NOT(ISNUMBER('Status'!$E$5))),"",IF(COUNTIFS('Estimates'!$A$5:$A$2004,$A84,'Estimates'!$B$5:$B$2004,"MPS",'Estimates'!$C$5:$C$2004,'Status'!$E$5,'Estimates'!$H$5:$H$2004,1)=0,"",IF(COUNTIFS('Estimates'!$A$5:$A$2004,$A84,'Estimates'!$B$5:$B$2004,"MPS",'Estimates'!$C$5:$C$2004,'Status'!$E$5,'Estimates'!$H$5:$H$2004,1)&gt;1,"DUP",IF(COUNTIFS('Estimates'!$A$5:$A$2004,$A84,'Estimates'!$B$5:$B$2004,"MPS",'Estimates'!$C$5:$C$2004,'Status'!$E$5,'Estimates'!$H$5:$H$2004,1,'Estimates'!$F$5:$F$2004,"&lt;&gt;")=0,"",SUMIFS('Estimates'!$F$5:$F$2004,'Estimates'!$A$5:$A$2004,$A84,'Estimates'!$B$5:$B$2004,"MPS",'Estimates'!$C$5:$C$2004,'Status'!$E$5,'Estimates'!$H$5:$H$2004,1)))))</x:f>
      </x:c>
      <x:c r="D84" s="13" t="str">
        <x:f>IF(OR(COUNTA($A84)=0,NOT(ISNUMBER('Status'!$F$5))),"",IF(COUNTIFS('Estimates'!$A$5:$A$2004,$A84,'Estimates'!$B$5:$B$2004,"MPS",'Estimates'!$C$5:$C$2004,'Status'!$F$5,'Estimates'!$H$5:$H$2004,1)=0,"",IF(COUNTIFS('Estimates'!$A$5:$A$2004,$A84,'Estimates'!$B$5:$B$2004,"MPS",'Estimates'!$C$5:$C$2004,'Status'!$F$5,'Estimates'!$H$5:$H$2004,1)&gt;1,"DUP",IF(COUNTIFS('Estimates'!$A$5:$A$2004,$A84,'Estimates'!$B$5:$B$2004,"MPS",'Estimates'!$C$5:$C$2004,'Status'!$F$5,'Estimates'!$H$5:$H$2004,1,'Estimates'!$F$5:$F$2004,"&lt;&gt;")=0,"",SUMIFS('Estimates'!$F$5:$F$2004,'Estimates'!$A$5:$A$2004,$A84,'Estimates'!$B$5:$B$2004,"MPS",'Estimates'!$C$5:$C$2004,'Status'!$F$5,'Estimates'!$H$5:$H$2004,1)))))</x:f>
      </x:c>
      <x:c r="E84" s="13" t="str">
        <x:f>IF(OR(COUNTA($A84)=0,NOT(ISNUMBER('Status'!$G$5))),"",IF(COUNTIFS('Estimates'!$A$5:$A$2004,$A84,'Estimates'!$B$5:$B$2004,"MPS",'Estimates'!$C$5:$C$2004,'Status'!$G$5,'Estimates'!$H$5:$H$2004,1)=0,"",IF(COUNTIFS('Estimates'!$A$5:$A$2004,$A84,'Estimates'!$B$5:$B$2004,"MPS",'Estimates'!$C$5:$C$2004,'Status'!$G$5,'Estimates'!$H$5:$H$2004,1)&gt;1,"DUP",IF(COUNTIFS('Estimates'!$A$5:$A$2004,$A84,'Estimates'!$B$5:$B$2004,"MPS",'Estimates'!$C$5:$C$2004,'Status'!$G$5,'Estimates'!$H$5:$H$2004,1,'Estimates'!$F$5:$F$2004,"&lt;&gt;")=0,"",SUMIFS('Estimates'!$F$5:$F$2004,'Estimates'!$A$5:$A$2004,$A84,'Estimates'!$B$5:$B$2004,"MPS",'Estimates'!$C$5:$C$2004,'Status'!$G$5,'Estimates'!$H$5:$H$2004,1)))))</x:f>
      </x:c>
      <x:c r="F84" s="13" t="str">
        <x:f>IF(AND(ISNUMBER(C84),ISNUMBER(D84)),D84-C84,"")</x:f>
      </x:c>
      <x:c r="G84" s="13" t="str">
        <x:f>IF(AND(ISNUMBER(D84),ISNUMBER(E84)),E84-D84,"")</x:f>
      </x:c>
      <x:c r="H84" s="13" t="str">
        <x:f>IF(AND(COUNT(C84:E84)=3,COUNT('Status'!$E$5:$G$5)=3,'Status'!$E$5&gt;0,'Status'!$E$5&lt;'Status'!$F$5,'Status'!$F$5&lt;'Status'!$G$5),ABS(E84-(D84+(D84-C84)*((1/'Status'!$G$5)-(1/'Status'!$F$5))/((1/'Status'!$F$5)-(1/'Status'!$E$5)))),"")</x:f>
      </x:c>
      <x:c r="I84" s="13" t="str">
        <x:f>IF(AND(COUNT(C84:E84)=3,COUNT('Status'!$E$5:$G$5)=3,'Status'!$E$5&gt;0,'Status'!$E$5&lt;'Status'!$F$5,'Status'!$F$5&lt;'Status'!$G$5),((1/'Status'!$F$5)*E84-(1/'Status'!$G$5)*D84)/((1/'Status'!$F$5)-(1/'Status'!$G$5)),"")</x:f>
      </x:c>
      <x:c r="J84" s="13" t="str">
        <x:f>IF(OR(COUNTA($A84)=0,NOT(ISNUMBER('Status'!$E$6))),"",IF(COUNTIFS('Estimates'!$A$5:$A$2004,$A84,'Estimates'!$B$5:$B$2004,"PPS",'Estimates'!$D$5:$D$2004,'Status'!$E$6,'Estimates'!$H$5:$H$2004,1,'Estimates'!$E$5:$E$2004,'Status'!$E$7)=0,"",IF(COUNTIFS('Estimates'!$A$5:$A$2004,$A84,'Estimates'!$B$5:$B$2004,"PPS",'Estimates'!$D$5:$D$2004,'Status'!$E$6,'Estimates'!$H$5:$H$2004,1,'Estimates'!$E$5:$E$2004,'Status'!$E$7)&gt;1,"DUP",IF(COUNTIFS('Estimates'!$A$5:$A$2004,$A84,'Estimates'!$B$5:$B$2004,"PPS",'Estimates'!$D$5:$D$2004,'Status'!$E$6,'Estimates'!$H$5:$H$2004,1,'Estimates'!$E$5:$E$2004,'Status'!$E$7,'Estimates'!$F$5:$F$2004,"&lt;&gt;")=0,"",SUMIFS('Estimates'!$F$5:$F$2004,'Estimates'!$A$5:$A$2004,$A84,'Estimates'!$B$5:$B$2004,"PPS",'Estimates'!$D$5:$D$2004,'Status'!$E$6,'Estimates'!$H$5:$H$2004,1,'Estimates'!$E$5:$E$2004,'Status'!$E$7)))))</x:f>
      </x:c>
      <x:c r="K84" s="13" t="str">
        <x:f>IF(OR(COUNTA($A84)=0,NOT(ISNUMBER('Status'!$F$6))),"",IF(COUNTIFS('Estimates'!$A$5:$A$2004,$A84,'Estimates'!$B$5:$B$2004,"PPS",'Estimates'!$D$5:$D$2004,'Status'!$F$6,'Estimates'!$H$5:$H$2004,1,'Estimates'!$E$5:$E$2004,'Status'!$E$7)=0,"",IF(COUNTIFS('Estimates'!$A$5:$A$2004,$A84,'Estimates'!$B$5:$B$2004,"PPS",'Estimates'!$D$5:$D$2004,'Status'!$F$6,'Estimates'!$H$5:$H$2004,1,'Estimates'!$E$5:$E$2004,'Status'!$E$7)&gt;1,"DUP",IF(COUNTIFS('Estimates'!$A$5:$A$2004,$A84,'Estimates'!$B$5:$B$2004,"PPS",'Estimates'!$D$5:$D$2004,'Status'!$F$6,'Estimates'!$H$5:$H$2004,1,'Estimates'!$E$5:$E$2004,'Status'!$E$7,'Estimates'!$F$5:$F$2004,"&lt;&gt;")=0,"",SUMIFS('Estimates'!$F$5:$F$2004,'Estimates'!$A$5:$A$2004,$A84,'Estimates'!$B$5:$B$2004,"PPS",'Estimates'!$D$5:$D$2004,'Status'!$F$6,'Estimates'!$H$5:$H$2004,1,'Estimates'!$E$5:$E$2004,'Status'!$E$7)))))</x:f>
      </x:c>
      <x:c r="L84" s="13" t="str">
        <x:f>IF(OR(COUNTA($A84)=0,NOT(ISNUMBER('Status'!$G$6))),"",IF(COUNTIFS('Estimates'!$A$5:$A$2004,$A84,'Estimates'!$B$5:$B$2004,"PPS",'Estimates'!$D$5:$D$2004,'Status'!$G$6,'Estimates'!$H$5:$H$2004,1,'Estimates'!$E$5:$E$2004,'Status'!$E$7)=0,"",IF(COUNTIFS('Estimates'!$A$5:$A$2004,$A84,'Estimates'!$B$5:$B$2004,"PPS",'Estimates'!$D$5:$D$2004,'Status'!$G$6,'Estimates'!$H$5:$H$2004,1,'Estimates'!$E$5:$E$2004,'Status'!$E$7)&gt;1,"DUP",IF(COUNTIFS('Estimates'!$A$5:$A$2004,$A84,'Estimates'!$B$5:$B$2004,"PPS",'Estimates'!$D$5:$D$2004,'Status'!$G$6,'Estimates'!$H$5:$H$2004,1,'Estimates'!$E$5:$E$2004,'Status'!$E$7,'Estimates'!$F$5:$F$2004,"&lt;&gt;")=0,"",SUMIFS('Estimates'!$F$5:$F$2004,'Estimates'!$A$5:$A$2004,$A84,'Estimates'!$B$5:$B$2004,"PPS",'Estimates'!$D$5:$D$2004,'Status'!$G$6,'Estimates'!$H$5:$H$2004,1,'Estimates'!$E$5:$E$2004,'Status'!$E$7)))))</x:f>
      </x:c>
      <x:c r="M84" s="13" t="str">
        <x:f>IF(AND(ISNUMBER(J84),ISNUMBER(K84)),K84-J84,"")</x:f>
      </x:c>
      <x:c r="N84" s="13" t="str">
        <x:f>IF(AND(ISNUMBER(K84),ISNUMBER(L84)),L84-K84,"")</x:f>
      </x:c>
      <x:c r="O84" s="13" t="str">
        <x:f>IF(AND(COUNT(J84:L84)=3,COUNT('Status'!$E$6:$G$6)=3,'Status'!$E$6&gt;'Status'!$F$6,'Status'!$F$6&gt;'Status'!$G$6,'Status'!$G$6&gt;0),ABS(L84-(K84+(K84-J84)*('Status'!$G$6-'Status'!$F$6)/('Status'!$F$6-'Status'!$E$6))),"")</x:f>
      </x:c>
      <x:c r="P84" s="13" t="str">
        <x:f>IF(AND(COUNT(J84:L84)=3,COUNT('Status'!$E$6:$G$6)=3,'Status'!$E$6&gt;'Status'!$F$6,'Status'!$F$6&gt;'Status'!$G$6,'Status'!$G$6&gt;0),('Status'!$F$6*L84-'Status'!$G$6*K84)/('Status'!$F$6-'Status'!$G$6),"")</x:f>
      </x:c>
      <x:c r="Q84" s="20"/>
      <x:c r="R84" s="13" t="str">
        <x:f>IF(COUNTA($A84)=0,"",IF('Status'!$B$6="MPS 1",IF(ISNUMBER(C84),C84,""),IF('Status'!$B$6="MPS 2",IF(ISNUMBER(D84),D84,""),IF('Status'!$B$6="MPS 3",IF(ISNUMBER(E84),E84,""),IF('Status'!$B$6="MPS extrap",IF(ISNUMBER(I84),I84,""),IF('Status'!$B$6="PPS 1",IF(ISNUMBER(J84),J84,""),IF('Status'!$B$6="PPS 2",IF(ISNUMBER(K84),K84,""),IF('Status'!$B$6="PPS 3",IF(ISNUMBER(L84),L84,""),IF('Status'!$B$6="PPS extrap",IF(ISNUMBER(P84),P84,""),IF('Status'!$B$6="Calibrated",IF(ISNUMBER(Q84),Q84,""),""))))))))))</x:f>
      </x:c>
      <x:c r="S84" s="2" t="str">
        <x:f>IF(COUNTA(A84)=0,"",IF(COUNTIFS('Estimates'!$A$5:$A$2004,A84,'Estimates'!$B$5:$B$2004,"MPS",'Estimates'!$H$5:$H$2004,1)+COUNTIFS('Estimates'!$A$5:$A$2004,A84,'Estimates'!$B$5:$B$2004,"PPS",'Estimates'!$H$5:$H$2004,1)&gt;0,1,0))</x:f>
      </x:c>
      <x:c r="T84" s="2" t="str">
        <x:f>IF(COUNTA(A84)=0,"",IF(COUNTIFS($A$6:$A$165,A84)&gt;1,"Duplicate target",IF(COUNTIFS(C84:E84,"DUP")+COUNTIFS(J84:L84,"DUP")&gt;0,"Duplicate accepted run",IF(COUNTIFS('Estimates'!$A$5:$A$2004,A84,'Estimates'!$H$5:$H$2004,1)-COUNTIFS('Estimates'!$A$5:$A$2004,A84,'Estimates'!$H$5:$H$2004,1,'Estimates'!$F$5:$F$2004,"&lt;&gt;")&gt;0,"Accepted value missing",""))))</x:f>
      </x:c>
    </x:row>
    <x:row r="85">
      <x:c r="A85" s="21"/>
      <x:c r="B85" s="19"/>
      <x:c r="C85" s="13" t="str">
        <x:f>IF(OR(COUNTA($A85)=0,NOT(ISNUMBER('Status'!$E$5))),"",IF(COUNTIFS('Estimates'!$A$5:$A$2004,$A85,'Estimates'!$B$5:$B$2004,"MPS",'Estimates'!$C$5:$C$2004,'Status'!$E$5,'Estimates'!$H$5:$H$2004,1)=0,"",IF(COUNTIFS('Estimates'!$A$5:$A$2004,$A85,'Estimates'!$B$5:$B$2004,"MPS",'Estimates'!$C$5:$C$2004,'Status'!$E$5,'Estimates'!$H$5:$H$2004,1)&gt;1,"DUP",IF(COUNTIFS('Estimates'!$A$5:$A$2004,$A85,'Estimates'!$B$5:$B$2004,"MPS",'Estimates'!$C$5:$C$2004,'Status'!$E$5,'Estimates'!$H$5:$H$2004,1,'Estimates'!$F$5:$F$2004,"&lt;&gt;")=0,"",SUMIFS('Estimates'!$F$5:$F$2004,'Estimates'!$A$5:$A$2004,$A85,'Estimates'!$B$5:$B$2004,"MPS",'Estimates'!$C$5:$C$2004,'Status'!$E$5,'Estimates'!$H$5:$H$2004,1)))))</x:f>
      </x:c>
      <x:c r="D85" s="13" t="str">
        <x:f>IF(OR(COUNTA($A85)=0,NOT(ISNUMBER('Status'!$F$5))),"",IF(COUNTIFS('Estimates'!$A$5:$A$2004,$A85,'Estimates'!$B$5:$B$2004,"MPS",'Estimates'!$C$5:$C$2004,'Status'!$F$5,'Estimates'!$H$5:$H$2004,1)=0,"",IF(COUNTIFS('Estimates'!$A$5:$A$2004,$A85,'Estimates'!$B$5:$B$2004,"MPS",'Estimates'!$C$5:$C$2004,'Status'!$F$5,'Estimates'!$H$5:$H$2004,1)&gt;1,"DUP",IF(COUNTIFS('Estimates'!$A$5:$A$2004,$A85,'Estimates'!$B$5:$B$2004,"MPS",'Estimates'!$C$5:$C$2004,'Status'!$F$5,'Estimates'!$H$5:$H$2004,1,'Estimates'!$F$5:$F$2004,"&lt;&gt;")=0,"",SUMIFS('Estimates'!$F$5:$F$2004,'Estimates'!$A$5:$A$2004,$A85,'Estimates'!$B$5:$B$2004,"MPS",'Estimates'!$C$5:$C$2004,'Status'!$F$5,'Estimates'!$H$5:$H$2004,1)))))</x:f>
      </x:c>
      <x:c r="E85" s="13" t="str">
        <x:f>IF(OR(COUNTA($A85)=0,NOT(ISNUMBER('Status'!$G$5))),"",IF(COUNTIFS('Estimates'!$A$5:$A$2004,$A85,'Estimates'!$B$5:$B$2004,"MPS",'Estimates'!$C$5:$C$2004,'Status'!$G$5,'Estimates'!$H$5:$H$2004,1)=0,"",IF(COUNTIFS('Estimates'!$A$5:$A$2004,$A85,'Estimates'!$B$5:$B$2004,"MPS",'Estimates'!$C$5:$C$2004,'Status'!$G$5,'Estimates'!$H$5:$H$2004,1)&gt;1,"DUP",IF(COUNTIFS('Estimates'!$A$5:$A$2004,$A85,'Estimates'!$B$5:$B$2004,"MPS",'Estimates'!$C$5:$C$2004,'Status'!$G$5,'Estimates'!$H$5:$H$2004,1,'Estimates'!$F$5:$F$2004,"&lt;&gt;")=0,"",SUMIFS('Estimates'!$F$5:$F$2004,'Estimates'!$A$5:$A$2004,$A85,'Estimates'!$B$5:$B$2004,"MPS",'Estimates'!$C$5:$C$2004,'Status'!$G$5,'Estimates'!$H$5:$H$2004,1)))))</x:f>
      </x:c>
      <x:c r="F85" s="13" t="str">
        <x:f>IF(AND(ISNUMBER(C85),ISNUMBER(D85)),D85-C85,"")</x:f>
      </x:c>
      <x:c r="G85" s="13" t="str">
        <x:f>IF(AND(ISNUMBER(D85),ISNUMBER(E85)),E85-D85,"")</x:f>
      </x:c>
      <x:c r="H85" s="13" t="str">
        <x:f>IF(AND(COUNT(C85:E85)=3,COUNT('Status'!$E$5:$G$5)=3,'Status'!$E$5&gt;0,'Status'!$E$5&lt;'Status'!$F$5,'Status'!$F$5&lt;'Status'!$G$5),ABS(E85-(D85+(D85-C85)*((1/'Status'!$G$5)-(1/'Status'!$F$5))/((1/'Status'!$F$5)-(1/'Status'!$E$5)))),"")</x:f>
      </x:c>
      <x:c r="I85" s="13" t="str">
        <x:f>IF(AND(COUNT(C85:E85)=3,COUNT('Status'!$E$5:$G$5)=3,'Status'!$E$5&gt;0,'Status'!$E$5&lt;'Status'!$F$5,'Status'!$F$5&lt;'Status'!$G$5),((1/'Status'!$F$5)*E85-(1/'Status'!$G$5)*D85)/((1/'Status'!$F$5)-(1/'Status'!$G$5)),"")</x:f>
      </x:c>
      <x:c r="J85" s="13" t="str">
        <x:f>IF(OR(COUNTA($A85)=0,NOT(ISNUMBER('Status'!$E$6))),"",IF(COUNTIFS('Estimates'!$A$5:$A$2004,$A85,'Estimates'!$B$5:$B$2004,"PPS",'Estimates'!$D$5:$D$2004,'Status'!$E$6,'Estimates'!$H$5:$H$2004,1,'Estimates'!$E$5:$E$2004,'Status'!$E$7)=0,"",IF(COUNTIFS('Estimates'!$A$5:$A$2004,$A85,'Estimates'!$B$5:$B$2004,"PPS",'Estimates'!$D$5:$D$2004,'Status'!$E$6,'Estimates'!$H$5:$H$2004,1,'Estimates'!$E$5:$E$2004,'Status'!$E$7)&gt;1,"DUP",IF(COUNTIFS('Estimates'!$A$5:$A$2004,$A85,'Estimates'!$B$5:$B$2004,"PPS",'Estimates'!$D$5:$D$2004,'Status'!$E$6,'Estimates'!$H$5:$H$2004,1,'Estimates'!$E$5:$E$2004,'Status'!$E$7,'Estimates'!$F$5:$F$2004,"&lt;&gt;")=0,"",SUMIFS('Estimates'!$F$5:$F$2004,'Estimates'!$A$5:$A$2004,$A85,'Estimates'!$B$5:$B$2004,"PPS",'Estimates'!$D$5:$D$2004,'Status'!$E$6,'Estimates'!$H$5:$H$2004,1,'Estimates'!$E$5:$E$2004,'Status'!$E$7)))))</x:f>
      </x:c>
      <x:c r="K85" s="13" t="str">
        <x:f>IF(OR(COUNTA($A85)=0,NOT(ISNUMBER('Status'!$F$6))),"",IF(COUNTIFS('Estimates'!$A$5:$A$2004,$A85,'Estimates'!$B$5:$B$2004,"PPS",'Estimates'!$D$5:$D$2004,'Status'!$F$6,'Estimates'!$H$5:$H$2004,1,'Estimates'!$E$5:$E$2004,'Status'!$E$7)=0,"",IF(COUNTIFS('Estimates'!$A$5:$A$2004,$A85,'Estimates'!$B$5:$B$2004,"PPS",'Estimates'!$D$5:$D$2004,'Status'!$F$6,'Estimates'!$H$5:$H$2004,1,'Estimates'!$E$5:$E$2004,'Status'!$E$7)&gt;1,"DUP",IF(COUNTIFS('Estimates'!$A$5:$A$2004,$A85,'Estimates'!$B$5:$B$2004,"PPS",'Estimates'!$D$5:$D$2004,'Status'!$F$6,'Estimates'!$H$5:$H$2004,1,'Estimates'!$E$5:$E$2004,'Status'!$E$7,'Estimates'!$F$5:$F$2004,"&lt;&gt;")=0,"",SUMIFS('Estimates'!$F$5:$F$2004,'Estimates'!$A$5:$A$2004,$A85,'Estimates'!$B$5:$B$2004,"PPS",'Estimates'!$D$5:$D$2004,'Status'!$F$6,'Estimates'!$H$5:$H$2004,1,'Estimates'!$E$5:$E$2004,'Status'!$E$7)))))</x:f>
      </x:c>
      <x:c r="L85" s="13" t="str">
        <x:f>IF(OR(COUNTA($A85)=0,NOT(ISNUMBER('Status'!$G$6))),"",IF(COUNTIFS('Estimates'!$A$5:$A$2004,$A85,'Estimates'!$B$5:$B$2004,"PPS",'Estimates'!$D$5:$D$2004,'Status'!$G$6,'Estimates'!$H$5:$H$2004,1,'Estimates'!$E$5:$E$2004,'Status'!$E$7)=0,"",IF(COUNTIFS('Estimates'!$A$5:$A$2004,$A85,'Estimates'!$B$5:$B$2004,"PPS",'Estimates'!$D$5:$D$2004,'Status'!$G$6,'Estimates'!$H$5:$H$2004,1,'Estimates'!$E$5:$E$2004,'Status'!$E$7)&gt;1,"DUP",IF(COUNTIFS('Estimates'!$A$5:$A$2004,$A85,'Estimates'!$B$5:$B$2004,"PPS",'Estimates'!$D$5:$D$2004,'Status'!$G$6,'Estimates'!$H$5:$H$2004,1,'Estimates'!$E$5:$E$2004,'Status'!$E$7,'Estimates'!$F$5:$F$2004,"&lt;&gt;")=0,"",SUMIFS('Estimates'!$F$5:$F$2004,'Estimates'!$A$5:$A$2004,$A85,'Estimates'!$B$5:$B$2004,"PPS",'Estimates'!$D$5:$D$2004,'Status'!$G$6,'Estimates'!$H$5:$H$2004,1,'Estimates'!$E$5:$E$2004,'Status'!$E$7)))))</x:f>
      </x:c>
      <x:c r="M85" s="13" t="str">
        <x:f>IF(AND(ISNUMBER(J85),ISNUMBER(K85)),K85-J85,"")</x:f>
      </x:c>
      <x:c r="N85" s="13" t="str">
        <x:f>IF(AND(ISNUMBER(K85),ISNUMBER(L85)),L85-K85,"")</x:f>
      </x:c>
      <x:c r="O85" s="13" t="str">
        <x:f>IF(AND(COUNT(J85:L85)=3,COUNT('Status'!$E$6:$G$6)=3,'Status'!$E$6&gt;'Status'!$F$6,'Status'!$F$6&gt;'Status'!$G$6,'Status'!$G$6&gt;0),ABS(L85-(K85+(K85-J85)*('Status'!$G$6-'Status'!$F$6)/('Status'!$F$6-'Status'!$E$6))),"")</x:f>
      </x:c>
      <x:c r="P85" s="13" t="str">
        <x:f>IF(AND(COUNT(J85:L85)=3,COUNT('Status'!$E$6:$G$6)=3,'Status'!$E$6&gt;'Status'!$F$6,'Status'!$F$6&gt;'Status'!$G$6,'Status'!$G$6&gt;0),('Status'!$F$6*L85-'Status'!$G$6*K85)/('Status'!$F$6-'Status'!$G$6),"")</x:f>
      </x:c>
      <x:c r="Q85" s="20"/>
      <x:c r="R85" s="13" t="str">
        <x:f>IF(COUNTA($A85)=0,"",IF('Status'!$B$6="MPS 1",IF(ISNUMBER(C85),C85,""),IF('Status'!$B$6="MPS 2",IF(ISNUMBER(D85),D85,""),IF('Status'!$B$6="MPS 3",IF(ISNUMBER(E85),E85,""),IF('Status'!$B$6="MPS extrap",IF(ISNUMBER(I85),I85,""),IF('Status'!$B$6="PPS 1",IF(ISNUMBER(J85),J85,""),IF('Status'!$B$6="PPS 2",IF(ISNUMBER(K85),K85,""),IF('Status'!$B$6="PPS 3",IF(ISNUMBER(L85),L85,""),IF('Status'!$B$6="PPS extrap",IF(ISNUMBER(P85),P85,""),IF('Status'!$B$6="Calibrated",IF(ISNUMBER(Q85),Q85,""),""))))))))))</x:f>
      </x:c>
      <x:c r="S85" s="2" t="str">
        <x:f>IF(COUNTA(A85)=0,"",IF(COUNTIFS('Estimates'!$A$5:$A$2004,A85,'Estimates'!$B$5:$B$2004,"MPS",'Estimates'!$H$5:$H$2004,1)+COUNTIFS('Estimates'!$A$5:$A$2004,A85,'Estimates'!$B$5:$B$2004,"PPS",'Estimates'!$H$5:$H$2004,1)&gt;0,1,0))</x:f>
      </x:c>
      <x:c r="T85" s="2" t="str">
        <x:f>IF(COUNTA(A85)=0,"",IF(COUNTIFS($A$6:$A$165,A85)&gt;1,"Duplicate target",IF(COUNTIFS(C85:E85,"DUP")+COUNTIFS(J85:L85,"DUP")&gt;0,"Duplicate accepted run",IF(COUNTIFS('Estimates'!$A$5:$A$2004,A85,'Estimates'!$H$5:$H$2004,1)-COUNTIFS('Estimates'!$A$5:$A$2004,A85,'Estimates'!$H$5:$H$2004,1,'Estimates'!$F$5:$F$2004,"&lt;&gt;")&gt;0,"Accepted value missing",""))))</x:f>
      </x:c>
    </x:row>
    <x:row r="86">
      <x:c r="A86" s="21"/>
      <x:c r="B86" s="19"/>
      <x:c r="C86" s="13" t="str">
        <x:f>IF(OR(COUNTA($A86)=0,NOT(ISNUMBER('Status'!$E$5))),"",IF(COUNTIFS('Estimates'!$A$5:$A$2004,$A86,'Estimates'!$B$5:$B$2004,"MPS",'Estimates'!$C$5:$C$2004,'Status'!$E$5,'Estimates'!$H$5:$H$2004,1)=0,"",IF(COUNTIFS('Estimates'!$A$5:$A$2004,$A86,'Estimates'!$B$5:$B$2004,"MPS",'Estimates'!$C$5:$C$2004,'Status'!$E$5,'Estimates'!$H$5:$H$2004,1)&gt;1,"DUP",IF(COUNTIFS('Estimates'!$A$5:$A$2004,$A86,'Estimates'!$B$5:$B$2004,"MPS",'Estimates'!$C$5:$C$2004,'Status'!$E$5,'Estimates'!$H$5:$H$2004,1,'Estimates'!$F$5:$F$2004,"&lt;&gt;")=0,"",SUMIFS('Estimates'!$F$5:$F$2004,'Estimates'!$A$5:$A$2004,$A86,'Estimates'!$B$5:$B$2004,"MPS",'Estimates'!$C$5:$C$2004,'Status'!$E$5,'Estimates'!$H$5:$H$2004,1)))))</x:f>
      </x:c>
      <x:c r="D86" s="13" t="str">
        <x:f>IF(OR(COUNTA($A86)=0,NOT(ISNUMBER('Status'!$F$5))),"",IF(COUNTIFS('Estimates'!$A$5:$A$2004,$A86,'Estimates'!$B$5:$B$2004,"MPS",'Estimates'!$C$5:$C$2004,'Status'!$F$5,'Estimates'!$H$5:$H$2004,1)=0,"",IF(COUNTIFS('Estimates'!$A$5:$A$2004,$A86,'Estimates'!$B$5:$B$2004,"MPS",'Estimates'!$C$5:$C$2004,'Status'!$F$5,'Estimates'!$H$5:$H$2004,1)&gt;1,"DUP",IF(COUNTIFS('Estimates'!$A$5:$A$2004,$A86,'Estimates'!$B$5:$B$2004,"MPS",'Estimates'!$C$5:$C$2004,'Status'!$F$5,'Estimates'!$H$5:$H$2004,1,'Estimates'!$F$5:$F$2004,"&lt;&gt;")=0,"",SUMIFS('Estimates'!$F$5:$F$2004,'Estimates'!$A$5:$A$2004,$A86,'Estimates'!$B$5:$B$2004,"MPS",'Estimates'!$C$5:$C$2004,'Status'!$F$5,'Estimates'!$H$5:$H$2004,1)))))</x:f>
      </x:c>
      <x:c r="E86" s="13" t="str">
        <x:f>IF(OR(COUNTA($A86)=0,NOT(ISNUMBER('Status'!$G$5))),"",IF(COUNTIFS('Estimates'!$A$5:$A$2004,$A86,'Estimates'!$B$5:$B$2004,"MPS",'Estimates'!$C$5:$C$2004,'Status'!$G$5,'Estimates'!$H$5:$H$2004,1)=0,"",IF(COUNTIFS('Estimates'!$A$5:$A$2004,$A86,'Estimates'!$B$5:$B$2004,"MPS",'Estimates'!$C$5:$C$2004,'Status'!$G$5,'Estimates'!$H$5:$H$2004,1)&gt;1,"DUP",IF(COUNTIFS('Estimates'!$A$5:$A$2004,$A86,'Estimates'!$B$5:$B$2004,"MPS",'Estimates'!$C$5:$C$2004,'Status'!$G$5,'Estimates'!$H$5:$H$2004,1,'Estimates'!$F$5:$F$2004,"&lt;&gt;")=0,"",SUMIFS('Estimates'!$F$5:$F$2004,'Estimates'!$A$5:$A$2004,$A86,'Estimates'!$B$5:$B$2004,"MPS",'Estimates'!$C$5:$C$2004,'Status'!$G$5,'Estimates'!$H$5:$H$2004,1)))))</x:f>
      </x:c>
      <x:c r="F86" s="13" t="str">
        <x:f>IF(AND(ISNUMBER(C86),ISNUMBER(D86)),D86-C86,"")</x:f>
      </x:c>
      <x:c r="G86" s="13" t="str">
        <x:f>IF(AND(ISNUMBER(D86),ISNUMBER(E86)),E86-D86,"")</x:f>
      </x:c>
      <x:c r="H86" s="13" t="str">
        <x:f>IF(AND(COUNT(C86:E86)=3,COUNT('Status'!$E$5:$G$5)=3,'Status'!$E$5&gt;0,'Status'!$E$5&lt;'Status'!$F$5,'Status'!$F$5&lt;'Status'!$G$5),ABS(E86-(D86+(D86-C86)*((1/'Status'!$G$5)-(1/'Status'!$F$5))/((1/'Status'!$F$5)-(1/'Status'!$E$5)))),"")</x:f>
      </x:c>
      <x:c r="I86" s="13" t="str">
        <x:f>IF(AND(COUNT(C86:E86)=3,COUNT('Status'!$E$5:$G$5)=3,'Status'!$E$5&gt;0,'Status'!$E$5&lt;'Status'!$F$5,'Status'!$F$5&lt;'Status'!$G$5),((1/'Status'!$F$5)*E86-(1/'Status'!$G$5)*D86)/((1/'Status'!$F$5)-(1/'Status'!$G$5)),"")</x:f>
      </x:c>
      <x:c r="J86" s="13" t="str">
        <x:f>IF(OR(COUNTA($A86)=0,NOT(ISNUMBER('Status'!$E$6))),"",IF(COUNTIFS('Estimates'!$A$5:$A$2004,$A86,'Estimates'!$B$5:$B$2004,"PPS",'Estimates'!$D$5:$D$2004,'Status'!$E$6,'Estimates'!$H$5:$H$2004,1,'Estimates'!$E$5:$E$2004,'Status'!$E$7)=0,"",IF(COUNTIFS('Estimates'!$A$5:$A$2004,$A86,'Estimates'!$B$5:$B$2004,"PPS",'Estimates'!$D$5:$D$2004,'Status'!$E$6,'Estimates'!$H$5:$H$2004,1,'Estimates'!$E$5:$E$2004,'Status'!$E$7)&gt;1,"DUP",IF(COUNTIFS('Estimates'!$A$5:$A$2004,$A86,'Estimates'!$B$5:$B$2004,"PPS",'Estimates'!$D$5:$D$2004,'Status'!$E$6,'Estimates'!$H$5:$H$2004,1,'Estimates'!$E$5:$E$2004,'Status'!$E$7,'Estimates'!$F$5:$F$2004,"&lt;&gt;")=0,"",SUMIFS('Estimates'!$F$5:$F$2004,'Estimates'!$A$5:$A$2004,$A86,'Estimates'!$B$5:$B$2004,"PPS",'Estimates'!$D$5:$D$2004,'Status'!$E$6,'Estimates'!$H$5:$H$2004,1,'Estimates'!$E$5:$E$2004,'Status'!$E$7)))))</x:f>
      </x:c>
      <x:c r="K86" s="13" t="str">
        <x:f>IF(OR(COUNTA($A86)=0,NOT(ISNUMBER('Status'!$F$6))),"",IF(COUNTIFS('Estimates'!$A$5:$A$2004,$A86,'Estimates'!$B$5:$B$2004,"PPS",'Estimates'!$D$5:$D$2004,'Status'!$F$6,'Estimates'!$H$5:$H$2004,1,'Estimates'!$E$5:$E$2004,'Status'!$E$7)=0,"",IF(COUNTIFS('Estimates'!$A$5:$A$2004,$A86,'Estimates'!$B$5:$B$2004,"PPS",'Estimates'!$D$5:$D$2004,'Status'!$F$6,'Estimates'!$H$5:$H$2004,1,'Estimates'!$E$5:$E$2004,'Status'!$E$7)&gt;1,"DUP",IF(COUNTIFS('Estimates'!$A$5:$A$2004,$A86,'Estimates'!$B$5:$B$2004,"PPS",'Estimates'!$D$5:$D$2004,'Status'!$F$6,'Estimates'!$H$5:$H$2004,1,'Estimates'!$E$5:$E$2004,'Status'!$E$7,'Estimates'!$F$5:$F$2004,"&lt;&gt;")=0,"",SUMIFS('Estimates'!$F$5:$F$2004,'Estimates'!$A$5:$A$2004,$A86,'Estimates'!$B$5:$B$2004,"PPS",'Estimates'!$D$5:$D$2004,'Status'!$F$6,'Estimates'!$H$5:$H$2004,1,'Estimates'!$E$5:$E$2004,'Status'!$E$7)))))</x:f>
      </x:c>
      <x:c r="L86" s="13" t="str">
        <x:f>IF(OR(COUNTA($A86)=0,NOT(ISNUMBER('Status'!$G$6))),"",IF(COUNTIFS('Estimates'!$A$5:$A$2004,$A86,'Estimates'!$B$5:$B$2004,"PPS",'Estimates'!$D$5:$D$2004,'Status'!$G$6,'Estimates'!$H$5:$H$2004,1,'Estimates'!$E$5:$E$2004,'Status'!$E$7)=0,"",IF(COUNTIFS('Estimates'!$A$5:$A$2004,$A86,'Estimates'!$B$5:$B$2004,"PPS",'Estimates'!$D$5:$D$2004,'Status'!$G$6,'Estimates'!$H$5:$H$2004,1,'Estimates'!$E$5:$E$2004,'Status'!$E$7)&gt;1,"DUP",IF(COUNTIFS('Estimates'!$A$5:$A$2004,$A86,'Estimates'!$B$5:$B$2004,"PPS",'Estimates'!$D$5:$D$2004,'Status'!$G$6,'Estimates'!$H$5:$H$2004,1,'Estimates'!$E$5:$E$2004,'Status'!$E$7,'Estimates'!$F$5:$F$2004,"&lt;&gt;")=0,"",SUMIFS('Estimates'!$F$5:$F$2004,'Estimates'!$A$5:$A$2004,$A86,'Estimates'!$B$5:$B$2004,"PPS",'Estimates'!$D$5:$D$2004,'Status'!$G$6,'Estimates'!$H$5:$H$2004,1,'Estimates'!$E$5:$E$2004,'Status'!$E$7)))))</x:f>
      </x:c>
      <x:c r="M86" s="13" t="str">
        <x:f>IF(AND(ISNUMBER(J86),ISNUMBER(K86)),K86-J86,"")</x:f>
      </x:c>
      <x:c r="N86" s="13" t="str">
        <x:f>IF(AND(ISNUMBER(K86),ISNUMBER(L86)),L86-K86,"")</x:f>
      </x:c>
      <x:c r="O86" s="13" t="str">
        <x:f>IF(AND(COUNT(J86:L86)=3,COUNT('Status'!$E$6:$G$6)=3,'Status'!$E$6&gt;'Status'!$F$6,'Status'!$F$6&gt;'Status'!$G$6,'Status'!$G$6&gt;0),ABS(L86-(K86+(K86-J86)*('Status'!$G$6-'Status'!$F$6)/('Status'!$F$6-'Status'!$E$6))),"")</x:f>
      </x:c>
      <x:c r="P86" s="13" t="str">
        <x:f>IF(AND(COUNT(J86:L86)=3,COUNT('Status'!$E$6:$G$6)=3,'Status'!$E$6&gt;'Status'!$F$6,'Status'!$F$6&gt;'Status'!$G$6,'Status'!$G$6&gt;0),('Status'!$F$6*L86-'Status'!$G$6*K86)/('Status'!$F$6-'Status'!$G$6),"")</x:f>
      </x:c>
      <x:c r="Q86" s="20"/>
      <x:c r="R86" s="13" t="str">
        <x:f>IF(COUNTA($A86)=0,"",IF('Status'!$B$6="MPS 1",IF(ISNUMBER(C86),C86,""),IF('Status'!$B$6="MPS 2",IF(ISNUMBER(D86),D86,""),IF('Status'!$B$6="MPS 3",IF(ISNUMBER(E86),E86,""),IF('Status'!$B$6="MPS extrap",IF(ISNUMBER(I86),I86,""),IF('Status'!$B$6="PPS 1",IF(ISNUMBER(J86),J86,""),IF('Status'!$B$6="PPS 2",IF(ISNUMBER(K86),K86,""),IF('Status'!$B$6="PPS 3",IF(ISNUMBER(L86),L86,""),IF('Status'!$B$6="PPS extrap",IF(ISNUMBER(P86),P86,""),IF('Status'!$B$6="Calibrated",IF(ISNUMBER(Q86),Q86,""),""))))))))))</x:f>
      </x:c>
      <x:c r="S86" s="2" t="str">
        <x:f>IF(COUNTA(A86)=0,"",IF(COUNTIFS('Estimates'!$A$5:$A$2004,A86,'Estimates'!$B$5:$B$2004,"MPS",'Estimates'!$H$5:$H$2004,1)+COUNTIFS('Estimates'!$A$5:$A$2004,A86,'Estimates'!$B$5:$B$2004,"PPS",'Estimates'!$H$5:$H$2004,1)&gt;0,1,0))</x:f>
      </x:c>
      <x:c r="T86" s="2" t="str">
        <x:f>IF(COUNTA(A86)=0,"",IF(COUNTIFS($A$6:$A$165,A86)&gt;1,"Duplicate target",IF(COUNTIFS(C86:E86,"DUP")+COUNTIFS(J86:L86,"DUP")&gt;0,"Duplicate accepted run",IF(COUNTIFS('Estimates'!$A$5:$A$2004,A86,'Estimates'!$H$5:$H$2004,1)-COUNTIFS('Estimates'!$A$5:$A$2004,A86,'Estimates'!$H$5:$H$2004,1,'Estimates'!$F$5:$F$2004,"&lt;&gt;")&gt;0,"Accepted value missing",""))))</x:f>
      </x:c>
    </x:row>
    <x:row r="87">
      <x:c r="A87" s="21"/>
      <x:c r="B87" s="19"/>
      <x:c r="C87" s="13" t="str">
        <x:f>IF(OR(COUNTA($A87)=0,NOT(ISNUMBER('Status'!$E$5))),"",IF(COUNTIFS('Estimates'!$A$5:$A$2004,$A87,'Estimates'!$B$5:$B$2004,"MPS",'Estimates'!$C$5:$C$2004,'Status'!$E$5,'Estimates'!$H$5:$H$2004,1)=0,"",IF(COUNTIFS('Estimates'!$A$5:$A$2004,$A87,'Estimates'!$B$5:$B$2004,"MPS",'Estimates'!$C$5:$C$2004,'Status'!$E$5,'Estimates'!$H$5:$H$2004,1)&gt;1,"DUP",IF(COUNTIFS('Estimates'!$A$5:$A$2004,$A87,'Estimates'!$B$5:$B$2004,"MPS",'Estimates'!$C$5:$C$2004,'Status'!$E$5,'Estimates'!$H$5:$H$2004,1,'Estimates'!$F$5:$F$2004,"&lt;&gt;")=0,"",SUMIFS('Estimates'!$F$5:$F$2004,'Estimates'!$A$5:$A$2004,$A87,'Estimates'!$B$5:$B$2004,"MPS",'Estimates'!$C$5:$C$2004,'Status'!$E$5,'Estimates'!$H$5:$H$2004,1)))))</x:f>
      </x:c>
      <x:c r="D87" s="13" t="str">
        <x:f>IF(OR(COUNTA($A87)=0,NOT(ISNUMBER('Status'!$F$5))),"",IF(COUNTIFS('Estimates'!$A$5:$A$2004,$A87,'Estimates'!$B$5:$B$2004,"MPS",'Estimates'!$C$5:$C$2004,'Status'!$F$5,'Estimates'!$H$5:$H$2004,1)=0,"",IF(COUNTIFS('Estimates'!$A$5:$A$2004,$A87,'Estimates'!$B$5:$B$2004,"MPS",'Estimates'!$C$5:$C$2004,'Status'!$F$5,'Estimates'!$H$5:$H$2004,1)&gt;1,"DUP",IF(COUNTIFS('Estimates'!$A$5:$A$2004,$A87,'Estimates'!$B$5:$B$2004,"MPS",'Estimates'!$C$5:$C$2004,'Status'!$F$5,'Estimates'!$H$5:$H$2004,1,'Estimates'!$F$5:$F$2004,"&lt;&gt;")=0,"",SUMIFS('Estimates'!$F$5:$F$2004,'Estimates'!$A$5:$A$2004,$A87,'Estimates'!$B$5:$B$2004,"MPS",'Estimates'!$C$5:$C$2004,'Status'!$F$5,'Estimates'!$H$5:$H$2004,1)))))</x:f>
      </x:c>
      <x:c r="E87" s="13" t="str">
        <x:f>IF(OR(COUNTA($A87)=0,NOT(ISNUMBER('Status'!$G$5))),"",IF(COUNTIFS('Estimates'!$A$5:$A$2004,$A87,'Estimates'!$B$5:$B$2004,"MPS",'Estimates'!$C$5:$C$2004,'Status'!$G$5,'Estimates'!$H$5:$H$2004,1)=0,"",IF(COUNTIFS('Estimates'!$A$5:$A$2004,$A87,'Estimates'!$B$5:$B$2004,"MPS",'Estimates'!$C$5:$C$2004,'Status'!$G$5,'Estimates'!$H$5:$H$2004,1)&gt;1,"DUP",IF(COUNTIFS('Estimates'!$A$5:$A$2004,$A87,'Estimates'!$B$5:$B$2004,"MPS",'Estimates'!$C$5:$C$2004,'Status'!$G$5,'Estimates'!$H$5:$H$2004,1,'Estimates'!$F$5:$F$2004,"&lt;&gt;")=0,"",SUMIFS('Estimates'!$F$5:$F$2004,'Estimates'!$A$5:$A$2004,$A87,'Estimates'!$B$5:$B$2004,"MPS",'Estimates'!$C$5:$C$2004,'Status'!$G$5,'Estimates'!$H$5:$H$2004,1)))))</x:f>
      </x:c>
      <x:c r="F87" s="13" t="str">
        <x:f>IF(AND(ISNUMBER(C87),ISNUMBER(D87)),D87-C87,"")</x:f>
      </x:c>
      <x:c r="G87" s="13" t="str">
        <x:f>IF(AND(ISNUMBER(D87),ISNUMBER(E87)),E87-D87,"")</x:f>
      </x:c>
      <x:c r="H87" s="13" t="str">
        <x:f>IF(AND(COUNT(C87:E87)=3,COUNT('Status'!$E$5:$G$5)=3,'Status'!$E$5&gt;0,'Status'!$E$5&lt;'Status'!$F$5,'Status'!$F$5&lt;'Status'!$G$5),ABS(E87-(D87+(D87-C87)*((1/'Status'!$G$5)-(1/'Status'!$F$5))/((1/'Status'!$F$5)-(1/'Status'!$E$5)))),"")</x:f>
      </x:c>
      <x:c r="I87" s="13" t="str">
        <x:f>IF(AND(COUNT(C87:E87)=3,COUNT('Status'!$E$5:$G$5)=3,'Status'!$E$5&gt;0,'Status'!$E$5&lt;'Status'!$F$5,'Status'!$F$5&lt;'Status'!$G$5),((1/'Status'!$F$5)*E87-(1/'Status'!$G$5)*D87)/((1/'Status'!$F$5)-(1/'Status'!$G$5)),"")</x:f>
      </x:c>
      <x:c r="J87" s="13" t="str">
        <x:f>IF(OR(COUNTA($A87)=0,NOT(ISNUMBER('Status'!$E$6))),"",IF(COUNTIFS('Estimates'!$A$5:$A$2004,$A87,'Estimates'!$B$5:$B$2004,"PPS",'Estimates'!$D$5:$D$2004,'Status'!$E$6,'Estimates'!$H$5:$H$2004,1,'Estimates'!$E$5:$E$2004,'Status'!$E$7)=0,"",IF(COUNTIFS('Estimates'!$A$5:$A$2004,$A87,'Estimates'!$B$5:$B$2004,"PPS",'Estimates'!$D$5:$D$2004,'Status'!$E$6,'Estimates'!$H$5:$H$2004,1,'Estimates'!$E$5:$E$2004,'Status'!$E$7)&gt;1,"DUP",IF(COUNTIFS('Estimates'!$A$5:$A$2004,$A87,'Estimates'!$B$5:$B$2004,"PPS",'Estimates'!$D$5:$D$2004,'Status'!$E$6,'Estimates'!$H$5:$H$2004,1,'Estimates'!$E$5:$E$2004,'Status'!$E$7,'Estimates'!$F$5:$F$2004,"&lt;&gt;")=0,"",SUMIFS('Estimates'!$F$5:$F$2004,'Estimates'!$A$5:$A$2004,$A87,'Estimates'!$B$5:$B$2004,"PPS",'Estimates'!$D$5:$D$2004,'Status'!$E$6,'Estimates'!$H$5:$H$2004,1,'Estimates'!$E$5:$E$2004,'Status'!$E$7)))))</x:f>
      </x:c>
      <x:c r="K87" s="13" t="str">
        <x:f>IF(OR(COUNTA($A87)=0,NOT(ISNUMBER('Status'!$F$6))),"",IF(COUNTIFS('Estimates'!$A$5:$A$2004,$A87,'Estimates'!$B$5:$B$2004,"PPS",'Estimates'!$D$5:$D$2004,'Status'!$F$6,'Estimates'!$H$5:$H$2004,1,'Estimates'!$E$5:$E$2004,'Status'!$E$7)=0,"",IF(COUNTIFS('Estimates'!$A$5:$A$2004,$A87,'Estimates'!$B$5:$B$2004,"PPS",'Estimates'!$D$5:$D$2004,'Status'!$F$6,'Estimates'!$H$5:$H$2004,1,'Estimates'!$E$5:$E$2004,'Status'!$E$7)&gt;1,"DUP",IF(COUNTIFS('Estimates'!$A$5:$A$2004,$A87,'Estimates'!$B$5:$B$2004,"PPS",'Estimates'!$D$5:$D$2004,'Status'!$F$6,'Estimates'!$H$5:$H$2004,1,'Estimates'!$E$5:$E$2004,'Status'!$E$7,'Estimates'!$F$5:$F$2004,"&lt;&gt;")=0,"",SUMIFS('Estimates'!$F$5:$F$2004,'Estimates'!$A$5:$A$2004,$A87,'Estimates'!$B$5:$B$2004,"PPS",'Estimates'!$D$5:$D$2004,'Status'!$F$6,'Estimates'!$H$5:$H$2004,1,'Estimates'!$E$5:$E$2004,'Status'!$E$7)))))</x:f>
      </x:c>
      <x:c r="L87" s="13" t="str">
        <x:f>IF(OR(COUNTA($A87)=0,NOT(ISNUMBER('Status'!$G$6))),"",IF(COUNTIFS('Estimates'!$A$5:$A$2004,$A87,'Estimates'!$B$5:$B$2004,"PPS",'Estimates'!$D$5:$D$2004,'Status'!$G$6,'Estimates'!$H$5:$H$2004,1,'Estimates'!$E$5:$E$2004,'Status'!$E$7)=0,"",IF(COUNTIFS('Estimates'!$A$5:$A$2004,$A87,'Estimates'!$B$5:$B$2004,"PPS",'Estimates'!$D$5:$D$2004,'Status'!$G$6,'Estimates'!$H$5:$H$2004,1,'Estimates'!$E$5:$E$2004,'Status'!$E$7)&gt;1,"DUP",IF(COUNTIFS('Estimates'!$A$5:$A$2004,$A87,'Estimates'!$B$5:$B$2004,"PPS",'Estimates'!$D$5:$D$2004,'Status'!$G$6,'Estimates'!$H$5:$H$2004,1,'Estimates'!$E$5:$E$2004,'Status'!$E$7,'Estimates'!$F$5:$F$2004,"&lt;&gt;")=0,"",SUMIFS('Estimates'!$F$5:$F$2004,'Estimates'!$A$5:$A$2004,$A87,'Estimates'!$B$5:$B$2004,"PPS",'Estimates'!$D$5:$D$2004,'Status'!$G$6,'Estimates'!$H$5:$H$2004,1,'Estimates'!$E$5:$E$2004,'Status'!$E$7)))))</x:f>
      </x:c>
      <x:c r="M87" s="13" t="str">
        <x:f>IF(AND(ISNUMBER(J87),ISNUMBER(K87)),K87-J87,"")</x:f>
      </x:c>
      <x:c r="N87" s="13" t="str">
        <x:f>IF(AND(ISNUMBER(K87),ISNUMBER(L87)),L87-K87,"")</x:f>
      </x:c>
      <x:c r="O87" s="13" t="str">
        <x:f>IF(AND(COUNT(J87:L87)=3,COUNT('Status'!$E$6:$G$6)=3,'Status'!$E$6&gt;'Status'!$F$6,'Status'!$F$6&gt;'Status'!$G$6,'Status'!$G$6&gt;0),ABS(L87-(K87+(K87-J87)*('Status'!$G$6-'Status'!$F$6)/('Status'!$F$6-'Status'!$E$6))),"")</x:f>
      </x:c>
      <x:c r="P87" s="13" t="str">
        <x:f>IF(AND(COUNT(J87:L87)=3,COUNT('Status'!$E$6:$G$6)=3,'Status'!$E$6&gt;'Status'!$F$6,'Status'!$F$6&gt;'Status'!$G$6,'Status'!$G$6&gt;0),('Status'!$F$6*L87-'Status'!$G$6*K87)/('Status'!$F$6-'Status'!$G$6),"")</x:f>
      </x:c>
      <x:c r="Q87" s="20"/>
      <x:c r="R87" s="13" t="str">
        <x:f>IF(COUNTA($A87)=0,"",IF('Status'!$B$6="MPS 1",IF(ISNUMBER(C87),C87,""),IF('Status'!$B$6="MPS 2",IF(ISNUMBER(D87),D87,""),IF('Status'!$B$6="MPS 3",IF(ISNUMBER(E87),E87,""),IF('Status'!$B$6="MPS extrap",IF(ISNUMBER(I87),I87,""),IF('Status'!$B$6="PPS 1",IF(ISNUMBER(J87),J87,""),IF('Status'!$B$6="PPS 2",IF(ISNUMBER(K87),K87,""),IF('Status'!$B$6="PPS 3",IF(ISNUMBER(L87),L87,""),IF('Status'!$B$6="PPS extrap",IF(ISNUMBER(P87),P87,""),IF('Status'!$B$6="Calibrated",IF(ISNUMBER(Q87),Q87,""),""))))))))))</x:f>
      </x:c>
      <x:c r="S87" s="2" t="str">
        <x:f>IF(COUNTA(A87)=0,"",IF(COUNTIFS('Estimates'!$A$5:$A$2004,A87,'Estimates'!$B$5:$B$2004,"MPS",'Estimates'!$H$5:$H$2004,1)+COUNTIFS('Estimates'!$A$5:$A$2004,A87,'Estimates'!$B$5:$B$2004,"PPS",'Estimates'!$H$5:$H$2004,1)&gt;0,1,0))</x:f>
      </x:c>
      <x:c r="T87" s="2" t="str">
        <x:f>IF(COUNTA(A87)=0,"",IF(COUNTIFS($A$6:$A$165,A87)&gt;1,"Duplicate target",IF(COUNTIFS(C87:E87,"DUP")+COUNTIFS(J87:L87,"DUP")&gt;0,"Duplicate accepted run",IF(COUNTIFS('Estimates'!$A$5:$A$2004,A87,'Estimates'!$H$5:$H$2004,1)-COUNTIFS('Estimates'!$A$5:$A$2004,A87,'Estimates'!$H$5:$H$2004,1,'Estimates'!$F$5:$F$2004,"&lt;&gt;")&gt;0,"Accepted value missing",""))))</x:f>
      </x:c>
    </x:row>
    <x:row r="88">
      <x:c r="A88" s="21"/>
      <x:c r="B88" s="19"/>
      <x:c r="C88" s="13" t="str">
        <x:f>IF(OR(COUNTA($A88)=0,NOT(ISNUMBER('Status'!$E$5))),"",IF(COUNTIFS('Estimates'!$A$5:$A$2004,$A88,'Estimates'!$B$5:$B$2004,"MPS",'Estimates'!$C$5:$C$2004,'Status'!$E$5,'Estimates'!$H$5:$H$2004,1)=0,"",IF(COUNTIFS('Estimates'!$A$5:$A$2004,$A88,'Estimates'!$B$5:$B$2004,"MPS",'Estimates'!$C$5:$C$2004,'Status'!$E$5,'Estimates'!$H$5:$H$2004,1)&gt;1,"DUP",IF(COUNTIFS('Estimates'!$A$5:$A$2004,$A88,'Estimates'!$B$5:$B$2004,"MPS",'Estimates'!$C$5:$C$2004,'Status'!$E$5,'Estimates'!$H$5:$H$2004,1,'Estimates'!$F$5:$F$2004,"&lt;&gt;")=0,"",SUMIFS('Estimates'!$F$5:$F$2004,'Estimates'!$A$5:$A$2004,$A88,'Estimates'!$B$5:$B$2004,"MPS",'Estimates'!$C$5:$C$2004,'Status'!$E$5,'Estimates'!$H$5:$H$2004,1)))))</x:f>
      </x:c>
      <x:c r="D88" s="13" t="str">
        <x:f>IF(OR(COUNTA($A88)=0,NOT(ISNUMBER('Status'!$F$5))),"",IF(COUNTIFS('Estimates'!$A$5:$A$2004,$A88,'Estimates'!$B$5:$B$2004,"MPS",'Estimates'!$C$5:$C$2004,'Status'!$F$5,'Estimates'!$H$5:$H$2004,1)=0,"",IF(COUNTIFS('Estimates'!$A$5:$A$2004,$A88,'Estimates'!$B$5:$B$2004,"MPS",'Estimates'!$C$5:$C$2004,'Status'!$F$5,'Estimates'!$H$5:$H$2004,1)&gt;1,"DUP",IF(COUNTIFS('Estimates'!$A$5:$A$2004,$A88,'Estimates'!$B$5:$B$2004,"MPS",'Estimates'!$C$5:$C$2004,'Status'!$F$5,'Estimates'!$H$5:$H$2004,1,'Estimates'!$F$5:$F$2004,"&lt;&gt;")=0,"",SUMIFS('Estimates'!$F$5:$F$2004,'Estimates'!$A$5:$A$2004,$A88,'Estimates'!$B$5:$B$2004,"MPS",'Estimates'!$C$5:$C$2004,'Status'!$F$5,'Estimates'!$H$5:$H$2004,1)))))</x:f>
      </x:c>
      <x:c r="E88" s="13" t="str">
        <x:f>IF(OR(COUNTA($A88)=0,NOT(ISNUMBER('Status'!$G$5))),"",IF(COUNTIFS('Estimates'!$A$5:$A$2004,$A88,'Estimates'!$B$5:$B$2004,"MPS",'Estimates'!$C$5:$C$2004,'Status'!$G$5,'Estimates'!$H$5:$H$2004,1)=0,"",IF(COUNTIFS('Estimates'!$A$5:$A$2004,$A88,'Estimates'!$B$5:$B$2004,"MPS",'Estimates'!$C$5:$C$2004,'Status'!$G$5,'Estimates'!$H$5:$H$2004,1)&gt;1,"DUP",IF(COUNTIFS('Estimates'!$A$5:$A$2004,$A88,'Estimates'!$B$5:$B$2004,"MPS",'Estimates'!$C$5:$C$2004,'Status'!$G$5,'Estimates'!$H$5:$H$2004,1,'Estimates'!$F$5:$F$2004,"&lt;&gt;")=0,"",SUMIFS('Estimates'!$F$5:$F$2004,'Estimates'!$A$5:$A$2004,$A88,'Estimates'!$B$5:$B$2004,"MPS",'Estimates'!$C$5:$C$2004,'Status'!$G$5,'Estimates'!$H$5:$H$2004,1)))))</x:f>
      </x:c>
      <x:c r="F88" s="13" t="str">
        <x:f>IF(AND(ISNUMBER(C88),ISNUMBER(D88)),D88-C88,"")</x:f>
      </x:c>
      <x:c r="G88" s="13" t="str">
        <x:f>IF(AND(ISNUMBER(D88),ISNUMBER(E88)),E88-D88,"")</x:f>
      </x:c>
      <x:c r="H88" s="13" t="str">
        <x:f>IF(AND(COUNT(C88:E88)=3,COUNT('Status'!$E$5:$G$5)=3,'Status'!$E$5&gt;0,'Status'!$E$5&lt;'Status'!$F$5,'Status'!$F$5&lt;'Status'!$G$5),ABS(E88-(D88+(D88-C88)*((1/'Status'!$G$5)-(1/'Status'!$F$5))/((1/'Status'!$F$5)-(1/'Status'!$E$5)))),"")</x:f>
      </x:c>
      <x:c r="I88" s="13" t="str">
        <x:f>IF(AND(COUNT(C88:E88)=3,COUNT('Status'!$E$5:$G$5)=3,'Status'!$E$5&gt;0,'Status'!$E$5&lt;'Status'!$F$5,'Status'!$F$5&lt;'Status'!$G$5),((1/'Status'!$F$5)*E88-(1/'Status'!$G$5)*D88)/((1/'Status'!$F$5)-(1/'Status'!$G$5)),"")</x:f>
      </x:c>
      <x:c r="J88" s="13" t="str">
        <x:f>IF(OR(COUNTA($A88)=0,NOT(ISNUMBER('Status'!$E$6))),"",IF(COUNTIFS('Estimates'!$A$5:$A$2004,$A88,'Estimates'!$B$5:$B$2004,"PPS",'Estimates'!$D$5:$D$2004,'Status'!$E$6,'Estimates'!$H$5:$H$2004,1,'Estimates'!$E$5:$E$2004,'Status'!$E$7)=0,"",IF(COUNTIFS('Estimates'!$A$5:$A$2004,$A88,'Estimates'!$B$5:$B$2004,"PPS",'Estimates'!$D$5:$D$2004,'Status'!$E$6,'Estimates'!$H$5:$H$2004,1,'Estimates'!$E$5:$E$2004,'Status'!$E$7)&gt;1,"DUP",IF(COUNTIFS('Estimates'!$A$5:$A$2004,$A88,'Estimates'!$B$5:$B$2004,"PPS",'Estimates'!$D$5:$D$2004,'Status'!$E$6,'Estimates'!$H$5:$H$2004,1,'Estimates'!$E$5:$E$2004,'Status'!$E$7,'Estimates'!$F$5:$F$2004,"&lt;&gt;")=0,"",SUMIFS('Estimates'!$F$5:$F$2004,'Estimates'!$A$5:$A$2004,$A88,'Estimates'!$B$5:$B$2004,"PPS",'Estimates'!$D$5:$D$2004,'Status'!$E$6,'Estimates'!$H$5:$H$2004,1,'Estimates'!$E$5:$E$2004,'Status'!$E$7)))))</x:f>
      </x:c>
      <x:c r="K88" s="13" t="str">
        <x:f>IF(OR(COUNTA($A88)=0,NOT(ISNUMBER('Status'!$F$6))),"",IF(COUNTIFS('Estimates'!$A$5:$A$2004,$A88,'Estimates'!$B$5:$B$2004,"PPS",'Estimates'!$D$5:$D$2004,'Status'!$F$6,'Estimates'!$H$5:$H$2004,1,'Estimates'!$E$5:$E$2004,'Status'!$E$7)=0,"",IF(COUNTIFS('Estimates'!$A$5:$A$2004,$A88,'Estimates'!$B$5:$B$2004,"PPS",'Estimates'!$D$5:$D$2004,'Status'!$F$6,'Estimates'!$H$5:$H$2004,1,'Estimates'!$E$5:$E$2004,'Status'!$E$7)&gt;1,"DUP",IF(COUNTIFS('Estimates'!$A$5:$A$2004,$A88,'Estimates'!$B$5:$B$2004,"PPS",'Estimates'!$D$5:$D$2004,'Status'!$F$6,'Estimates'!$H$5:$H$2004,1,'Estimates'!$E$5:$E$2004,'Status'!$E$7,'Estimates'!$F$5:$F$2004,"&lt;&gt;")=0,"",SUMIFS('Estimates'!$F$5:$F$2004,'Estimates'!$A$5:$A$2004,$A88,'Estimates'!$B$5:$B$2004,"PPS",'Estimates'!$D$5:$D$2004,'Status'!$F$6,'Estimates'!$H$5:$H$2004,1,'Estimates'!$E$5:$E$2004,'Status'!$E$7)))))</x:f>
      </x:c>
      <x:c r="L88" s="13" t="str">
        <x:f>IF(OR(COUNTA($A88)=0,NOT(ISNUMBER('Status'!$G$6))),"",IF(COUNTIFS('Estimates'!$A$5:$A$2004,$A88,'Estimates'!$B$5:$B$2004,"PPS",'Estimates'!$D$5:$D$2004,'Status'!$G$6,'Estimates'!$H$5:$H$2004,1,'Estimates'!$E$5:$E$2004,'Status'!$E$7)=0,"",IF(COUNTIFS('Estimates'!$A$5:$A$2004,$A88,'Estimates'!$B$5:$B$2004,"PPS",'Estimates'!$D$5:$D$2004,'Status'!$G$6,'Estimates'!$H$5:$H$2004,1,'Estimates'!$E$5:$E$2004,'Status'!$E$7)&gt;1,"DUP",IF(COUNTIFS('Estimates'!$A$5:$A$2004,$A88,'Estimates'!$B$5:$B$2004,"PPS",'Estimates'!$D$5:$D$2004,'Status'!$G$6,'Estimates'!$H$5:$H$2004,1,'Estimates'!$E$5:$E$2004,'Status'!$E$7,'Estimates'!$F$5:$F$2004,"&lt;&gt;")=0,"",SUMIFS('Estimates'!$F$5:$F$2004,'Estimates'!$A$5:$A$2004,$A88,'Estimates'!$B$5:$B$2004,"PPS",'Estimates'!$D$5:$D$2004,'Status'!$G$6,'Estimates'!$H$5:$H$2004,1,'Estimates'!$E$5:$E$2004,'Status'!$E$7)))))</x:f>
      </x:c>
      <x:c r="M88" s="13" t="str">
        <x:f>IF(AND(ISNUMBER(J88),ISNUMBER(K88)),K88-J88,"")</x:f>
      </x:c>
      <x:c r="N88" s="13" t="str">
        <x:f>IF(AND(ISNUMBER(K88),ISNUMBER(L88)),L88-K88,"")</x:f>
      </x:c>
      <x:c r="O88" s="13" t="str">
        <x:f>IF(AND(COUNT(J88:L88)=3,COUNT('Status'!$E$6:$G$6)=3,'Status'!$E$6&gt;'Status'!$F$6,'Status'!$F$6&gt;'Status'!$G$6,'Status'!$G$6&gt;0),ABS(L88-(K88+(K88-J88)*('Status'!$G$6-'Status'!$F$6)/('Status'!$F$6-'Status'!$E$6))),"")</x:f>
      </x:c>
      <x:c r="P88" s="13" t="str">
        <x:f>IF(AND(COUNT(J88:L88)=3,COUNT('Status'!$E$6:$G$6)=3,'Status'!$E$6&gt;'Status'!$F$6,'Status'!$F$6&gt;'Status'!$G$6,'Status'!$G$6&gt;0),('Status'!$F$6*L88-'Status'!$G$6*K88)/('Status'!$F$6-'Status'!$G$6),"")</x:f>
      </x:c>
      <x:c r="Q88" s="20"/>
      <x:c r="R88" s="13" t="str">
        <x:f>IF(COUNTA($A88)=0,"",IF('Status'!$B$6="MPS 1",IF(ISNUMBER(C88),C88,""),IF('Status'!$B$6="MPS 2",IF(ISNUMBER(D88),D88,""),IF('Status'!$B$6="MPS 3",IF(ISNUMBER(E88),E88,""),IF('Status'!$B$6="MPS extrap",IF(ISNUMBER(I88),I88,""),IF('Status'!$B$6="PPS 1",IF(ISNUMBER(J88),J88,""),IF('Status'!$B$6="PPS 2",IF(ISNUMBER(K88),K88,""),IF('Status'!$B$6="PPS 3",IF(ISNUMBER(L88),L88,""),IF('Status'!$B$6="PPS extrap",IF(ISNUMBER(P88),P88,""),IF('Status'!$B$6="Calibrated",IF(ISNUMBER(Q88),Q88,""),""))))))))))</x:f>
      </x:c>
      <x:c r="S88" s="2" t="str">
        <x:f>IF(COUNTA(A88)=0,"",IF(COUNTIFS('Estimates'!$A$5:$A$2004,A88,'Estimates'!$B$5:$B$2004,"MPS",'Estimates'!$H$5:$H$2004,1)+COUNTIFS('Estimates'!$A$5:$A$2004,A88,'Estimates'!$B$5:$B$2004,"PPS",'Estimates'!$H$5:$H$2004,1)&gt;0,1,0))</x:f>
      </x:c>
      <x:c r="T88" s="2" t="str">
        <x:f>IF(COUNTA(A88)=0,"",IF(COUNTIFS($A$6:$A$165,A88)&gt;1,"Duplicate target",IF(COUNTIFS(C88:E88,"DUP")+COUNTIFS(J88:L88,"DUP")&gt;0,"Duplicate accepted run",IF(COUNTIFS('Estimates'!$A$5:$A$2004,A88,'Estimates'!$H$5:$H$2004,1)-COUNTIFS('Estimates'!$A$5:$A$2004,A88,'Estimates'!$H$5:$H$2004,1,'Estimates'!$F$5:$F$2004,"&lt;&gt;")&gt;0,"Accepted value missing",""))))</x:f>
      </x:c>
    </x:row>
    <x:row r="89">
      <x:c r="A89" s="21"/>
      <x:c r="B89" s="19"/>
      <x:c r="C89" s="13" t="str">
        <x:f>IF(OR(COUNTA($A89)=0,NOT(ISNUMBER('Status'!$E$5))),"",IF(COUNTIFS('Estimates'!$A$5:$A$2004,$A89,'Estimates'!$B$5:$B$2004,"MPS",'Estimates'!$C$5:$C$2004,'Status'!$E$5,'Estimates'!$H$5:$H$2004,1)=0,"",IF(COUNTIFS('Estimates'!$A$5:$A$2004,$A89,'Estimates'!$B$5:$B$2004,"MPS",'Estimates'!$C$5:$C$2004,'Status'!$E$5,'Estimates'!$H$5:$H$2004,1)&gt;1,"DUP",IF(COUNTIFS('Estimates'!$A$5:$A$2004,$A89,'Estimates'!$B$5:$B$2004,"MPS",'Estimates'!$C$5:$C$2004,'Status'!$E$5,'Estimates'!$H$5:$H$2004,1,'Estimates'!$F$5:$F$2004,"&lt;&gt;")=0,"",SUMIFS('Estimates'!$F$5:$F$2004,'Estimates'!$A$5:$A$2004,$A89,'Estimates'!$B$5:$B$2004,"MPS",'Estimates'!$C$5:$C$2004,'Status'!$E$5,'Estimates'!$H$5:$H$2004,1)))))</x:f>
      </x:c>
      <x:c r="D89" s="13" t="str">
        <x:f>IF(OR(COUNTA($A89)=0,NOT(ISNUMBER('Status'!$F$5))),"",IF(COUNTIFS('Estimates'!$A$5:$A$2004,$A89,'Estimates'!$B$5:$B$2004,"MPS",'Estimates'!$C$5:$C$2004,'Status'!$F$5,'Estimates'!$H$5:$H$2004,1)=0,"",IF(COUNTIFS('Estimates'!$A$5:$A$2004,$A89,'Estimates'!$B$5:$B$2004,"MPS",'Estimates'!$C$5:$C$2004,'Status'!$F$5,'Estimates'!$H$5:$H$2004,1)&gt;1,"DUP",IF(COUNTIFS('Estimates'!$A$5:$A$2004,$A89,'Estimates'!$B$5:$B$2004,"MPS",'Estimates'!$C$5:$C$2004,'Status'!$F$5,'Estimates'!$H$5:$H$2004,1,'Estimates'!$F$5:$F$2004,"&lt;&gt;")=0,"",SUMIFS('Estimates'!$F$5:$F$2004,'Estimates'!$A$5:$A$2004,$A89,'Estimates'!$B$5:$B$2004,"MPS",'Estimates'!$C$5:$C$2004,'Status'!$F$5,'Estimates'!$H$5:$H$2004,1)))))</x:f>
      </x:c>
      <x:c r="E89" s="13" t="str">
        <x:f>IF(OR(COUNTA($A89)=0,NOT(ISNUMBER('Status'!$G$5))),"",IF(COUNTIFS('Estimates'!$A$5:$A$2004,$A89,'Estimates'!$B$5:$B$2004,"MPS",'Estimates'!$C$5:$C$2004,'Status'!$G$5,'Estimates'!$H$5:$H$2004,1)=0,"",IF(COUNTIFS('Estimates'!$A$5:$A$2004,$A89,'Estimates'!$B$5:$B$2004,"MPS",'Estimates'!$C$5:$C$2004,'Status'!$G$5,'Estimates'!$H$5:$H$2004,1)&gt;1,"DUP",IF(COUNTIFS('Estimates'!$A$5:$A$2004,$A89,'Estimates'!$B$5:$B$2004,"MPS",'Estimates'!$C$5:$C$2004,'Status'!$G$5,'Estimates'!$H$5:$H$2004,1,'Estimates'!$F$5:$F$2004,"&lt;&gt;")=0,"",SUMIFS('Estimates'!$F$5:$F$2004,'Estimates'!$A$5:$A$2004,$A89,'Estimates'!$B$5:$B$2004,"MPS",'Estimates'!$C$5:$C$2004,'Status'!$G$5,'Estimates'!$H$5:$H$2004,1)))))</x:f>
      </x:c>
      <x:c r="F89" s="13" t="str">
        <x:f>IF(AND(ISNUMBER(C89),ISNUMBER(D89)),D89-C89,"")</x:f>
      </x:c>
      <x:c r="G89" s="13" t="str">
        <x:f>IF(AND(ISNUMBER(D89),ISNUMBER(E89)),E89-D89,"")</x:f>
      </x:c>
      <x:c r="H89" s="13" t="str">
        <x:f>IF(AND(COUNT(C89:E89)=3,COUNT('Status'!$E$5:$G$5)=3,'Status'!$E$5&gt;0,'Status'!$E$5&lt;'Status'!$F$5,'Status'!$F$5&lt;'Status'!$G$5),ABS(E89-(D89+(D89-C89)*((1/'Status'!$G$5)-(1/'Status'!$F$5))/((1/'Status'!$F$5)-(1/'Status'!$E$5)))),"")</x:f>
      </x:c>
      <x:c r="I89" s="13" t="str">
        <x:f>IF(AND(COUNT(C89:E89)=3,COUNT('Status'!$E$5:$G$5)=3,'Status'!$E$5&gt;0,'Status'!$E$5&lt;'Status'!$F$5,'Status'!$F$5&lt;'Status'!$G$5),((1/'Status'!$F$5)*E89-(1/'Status'!$G$5)*D89)/((1/'Status'!$F$5)-(1/'Status'!$G$5)),"")</x:f>
      </x:c>
      <x:c r="J89" s="13" t="str">
        <x:f>IF(OR(COUNTA($A89)=0,NOT(ISNUMBER('Status'!$E$6))),"",IF(COUNTIFS('Estimates'!$A$5:$A$2004,$A89,'Estimates'!$B$5:$B$2004,"PPS",'Estimates'!$D$5:$D$2004,'Status'!$E$6,'Estimates'!$H$5:$H$2004,1,'Estimates'!$E$5:$E$2004,'Status'!$E$7)=0,"",IF(COUNTIFS('Estimates'!$A$5:$A$2004,$A89,'Estimates'!$B$5:$B$2004,"PPS",'Estimates'!$D$5:$D$2004,'Status'!$E$6,'Estimates'!$H$5:$H$2004,1,'Estimates'!$E$5:$E$2004,'Status'!$E$7)&gt;1,"DUP",IF(COUNTIFS('Estimates'!$A$5:$A$2004,$A89,'Estimates'!$B$5:$B$2004,"PPS",'Estimates'!$D$5:$D$2004,'Status'!$E$6,'Estimates'!$H$5:$H$2004,1,'Estimates'!$E$5:$E$2004,'Status'!$E$7,'Estimates'!$F$5:$F$2004,"&lt;&gt;")=0,"",SUMIFS('Estimates'!$F$5:$F$2004,'Estimates'!$A$5:$A$2004,$A89,'Estimates'!$B$5:$B$2004,"PPS",'Estimates'!$D$5:$D$2004,'Status'!$E$6,'Estimates'!$H$5:$H$2004,1,'Estimates'!$E$5:$E$2004,'Status'!$E$7)))))</x:f>
      </x:c>
      <x:c r="K89" s="13" t="str">
        <x:f>IF(OR(COUNTA($A89)=0,NOT(ISNUMBER('Status'!$F$6))),"",IF(COUNTIFS('Estimates'!$A$5:$A$2004,$A89,'Estimates'!$B$5:$B$2004,"PPS",'Estimates'!$D$5:$D$2004,'Status'!$F$6,'Estimates'!$H$5:$H$2004,1,'Estimates'!$E$5:$E$2004,'Status'!$E$7)=0,"",IF(COUNTIFS('Estimates'!$A$5:$A$2004,$A89,'Estimates'!$B$5:$B$2004,"PPS",'Estimates'!$D$5:$D$2004,'Status'!$F$6,'Estimates'!$H$5:$H$2004,1,'Estimates'!$E$5:$E$2004,'Status'!$E$7)&gt;1,"DUP",IF(COUNTIFS('Estimates'!$A$5:$A$2004,$A89,'Estimates'!$B$5:$B$2004,"PPS",'Estimates'!$D$5:$D$2004,'Status'!$F$6,'Estimates'!$H$5:$H$2004,1,'Estimates'!$E$5:$E$2004,'Status'!$E$7,'Estimates'!$F$5:$F$2004,"&lt;&gt;")=0,"",SUMIFS('Estimates'!$F$5:$F$2004,'Estimates'!$A$5:$A$2004,$A89,'Estimates'!$B$5:$B$2004,"PPS",'Estimates'!$D$5:$D$2004,'Status'!$F$6,'Estimates'!$H$5:$H$2004,1,'Estimates'!$E$5:$E$2004,'Status'!$E$7)))))</x:f>
      </x:c>
      <x:c r="L89" s="13" t="str">
        <x:f>IF(OR(COUNTA($A89)=0,NOT(ISNUMBER('Status'!$G$6))),"",IF(COUNTIFS('Estimates'!$A$5:$A$2004,$A89,'Estimates'!$B$5:$B$2004,"PPS",'Estimates'!$D$5:$D$2004,'Status'!$G$6,'Estimates'!$H$5:$H$2004,1,'Estimates'!$E$5:$E$2004,'Status'!$E$7)=0,"",IF(COUNTIFS('Estimates'!$A$5:$A$2004,$A89,'Estimates'!$B$5:$B$2004,"PPS",'Estimates'!$D$5:$D$2004,'Status'!$G$6,'Estimates'!$H$5:$H$2004,1,'Estimates'!$E$5:$E$2004,'Status'!$E$7)&gt;1,"DUP",IF(COUNTIFS('Estimates'!$A$5:$A$2004,$A89,'Estimates'!$B$5:$B$2004,"PPS",'Estimates'!$D$5:$D$2004,'Status'!$G$6,'Estimates'!$H$5:$H$2004,1,'Estimates'!$E$5:$E$2004,'Status'!$E$7,'Estimates'!$F$5:$F$2004,"&lt;&gt;")=0,"",SUMIFS('Estimates'!$F$5:$F$2004,'Estimates'!$A$5:$A$2004,$A89,'Estimates'!$B$5:$B$2004,"PPS",'Estimates'!$D$5:$D$2004,'Status'!$G$6,'Estimates'!$H$5:$H$2004,1,'Estimates'!$E$5:$E$2004,'Status'!$E$7)))))</x:f>
      </x:c>
      <x:c r="M89" s="13" t="str">
        <x:f>IF(AND(ISNUMBER(J89),ISNUMBER(K89)),K89-J89,"")</x:f>
      </x:c>
      <x:c r="N89" s="13" t="str">
        <x:f>IF(AND(ISNUMBER(K89),ISNUMBER(L89)),L89-K89,"")</x:f>
      </x:c>
      <x:c r="O89" s="13" t="str">
        <x:f>IF(AND(COUNT(J89:L89)=3,COUNT('Status'!$E$6:$G$6)=3,'Status'!$E$6&gt;'Status'!$F$6,'Status'!$F$6&gt;'Status'!$G$6,'Status'!$G$6&gt;0),ABS(L89-(K89+(K89-J89)*('Status'!$G$6-'Status'!$F$6)/('Status'!$F$6-'Status'!$E$6))),"")</x:f>
      </x:c>
      <x:c r="P89" s="13" t="str">
        <x:f>IF(AND(COUNT(J89:L89)=3,COUNT('Status'!$E$6:$G$6)=3,'Status'!$E$6&gt;'Status'!$F$6,'Status'!$F$6&gt;'Status'!$G$6,'Status'!$G$6&gt;0),('Status'!$F$6*L89-'Status'!$G$6*K89)/('Status'!$F$6-'Status'!$G$6),"")</x:f>
      </x:c>
      <x:c r="Q89" s="20"/>
      <x:c r="R89" s="13" t="str">
        <x:f>IF(COUNTA($A89)=0,"",IF('Status'!$B$6="MPS 1",IF(ISNUMBER(C89),C89,""),IF('Status'!$B$6="MPS 2",IF(ISNUMBER(D89),D89,""),IF('Status'!$B$6="MPS 3",IF(ISNUMBER(E89),E89,""),IF('Status'!$B$6="MPS extrap",IF(ISNUMBER(I89),I89,""),IF('Status'!$B$6="PPS 1",IF(ISNUMBER(J89),J89,""),IF('Status'!$B$6="PPS 2",IF(ISNUMBER(K89),K89,""),IF('Status'!$B$6="PPS 3",IF(ISNUMBER(L89),L89,""),IF('Status'!$B$6="PPS extrap",IF(ISNUMBER(P89),P89,""),IF('Status'!$B$6="Calibrated",IF(ISNUMBER(Q89),Q89,""),""))))))))))</x:f>
      </x:c>
      <x:c r="S89" s="2" t="str">
        <x:f>IF(COUNTA(A89)=0,"",IF(COUNTIFS('Estimates'!$A$5:$A$2004,A89,'Estimates'!$B$5:$B$2004,"MPS",'Estimates'!$H$5:$H$2004,1)+COUNTIFS('Estimates'!$A$5:$A$2004,A89,'Estimates'!$B$5:$B$2004,"PPS",'Estimates'!$H$5:$H$2004,1)&gt;0,1,0))</x:f>
      </x:c>
      <x:c r="T89" s="2" t="str">
        <x:f>IF(COUNTA(A89)=0,"",IF(COUNTIFS($A$6:$A$165,A89)&gt;1,"Duplicate target",IF(COUNTIFS(C89:E89,"DUP")+COUNTIFS(J89:L89,"DUP")&gt;0,"Duplicate accepted run",IF(COUNTIFS('Estimates'!$A$5:$A$2004,A89,'Estimates'!$H$5:$H$2004,1)-COUNTIFS('Estimates'!$A$5:$A$2004,A89,'Estimates'!$H$5:$H$2004,1,'Estimates'!$F$5:$F$2004,"&lt;&gt;")&gt;0,"Accepted value missing",""))))</x:f>
      </x:c>
    </x:row>
    <x:row r="90">
      <x:c r="A90" s="21"/>
      <x:c r="B90" s="19"/>
      <x:c r="C90" s="13" t="str">
        <x:f>IF(OR(COUNTA($A90)=0,NOT(ISNUMBER('Status'!$E$5))),"",IF(COUNTIFS('Estimates'!$A$5:$A$2004,$A90,'Estimates'!$B$5:$B$2004,"MPS",'Estimates'!$C$5:$C$2004,'Status'!$E$5,'Estimates'!$H$5:$H$2004,1)=0,"",IF(COUNTIFS('Estimates'!$A$5:$A$2004,$A90,'Estimates'!$B$5:$B$2004,"MPS",'Estimates'!$C$5:$C$2004,'Status'!$E$5,'Estimates'!$H$5:$H$2004,1)&gt;1,"DUP",IF(COUNTIFS('Estimates'!$A$5:$A$2004,$A90,'Estimates'!$B$5:$B$2004,"MPS",'Estimates'!$C$5:$C$2004,'Status'!$E$5,'Estimates'!$H$5:$H$2004,1,'Estimates'!$F$5:$F$2004,"&lt;&gt;")=0,"",SUMIFS('Estimates'!$F$5:$F$2004,'Estimates'!$A$5:$A$2004,$A90,'Estimates'!$B$5:$B$2004,"MPS",'Estimates'!$C$5:$C$2004,'Status'!$E$5,'Estimates'!$H$5:$H$2004,1)))))</x:f>
      </x:c>
      <x:c r="D90" s="13" t="str">
        <x:f>IF(OR(COUNTA($A90)=0,NOT(ISNUMBER('Status'!$F$5))),"",IF(COUNTIFS('Estimates'!$A$5:$A$2004,$A90,'Estimates'!$B$5:$B$2004,"MPS",'Estimates'!$C$5:$C$2004,'Status'!$F$5,'Estimates'!$H$5:$H$2004,1)=0,"",IF(COUNTIFS('Estimates'!$A$5:$A$2004,$A90,'Estimates'!$B$5:$B$2004,"MPS",'Estimates'!$C$5:$C$2004,'Status'!$F$5,'Estimates'!$H$5:$H$2004,1)&gt;1,"DUP",IF(COUNTIFS('Estimates'!$A$5:$A$2004,$A90,'Estimates'!$B$5:$B$2004,"MPS",'Estimates'!$C$5:$C$2004,'Status'!$F$5,'Estimates'!$H$5:$H$2004,1,'Estimates'!$F$5:$F$2004,"&lt;&gt;")=0,"",SUMIFS('Estimates'!$F$5:$F$2004,'Estimates'!$A$5:$A$2004,$A90,'Estimates'!$B$5:$B$2004,"MPS",'Estimates'!$C$5:$C$2004,'Status'!$F$5,'Estimates'!$H$5:$H$2004,1)))))</x:f>
      </x:c>
      <x:c r="E90" s="13" t="str">
        <x:f>IF(OR(COUNTA($A90)=0,NOT(ISNUMBER('Status'!$G$5))),"",IF(COUNTIFS('Estimates'!$A$5:$A$2004,$A90,'Estimates'!$B$5:$B$2004,"MPS",'Estimates'!$C$5:$C$2004,'Status'!$G$5,'Estimates'!$H$5:$H$2004,1)=0,"",IF(COUNTIFS('Estimates'!$A$5:$A$2004,$A90,'Estimates'!$B$5:$B$2004,"MPS",'Estimates'!$C$5:$C$2004,'Status'!$G$5,'Estimates'!$H$5:$H$2004,1)&gt;1,"DUP",IF(COUNTIFS('Estimates'!$A$5:$A$2004,$A90,'Estimates'!$B$5:$B$2004,"MPS",'Estimates'!$C$5:$C$2004,'Status'!$G$5,'Estimates'!$H$5:$H$2004,1,'Estimates'!$F$5:$F$2004,"&lt;&gt;")=0,"",SUMIFS('Estimates'!$F$5:$F$2004,'Estimates'!$A$5:$A$2004,$A90,'Estimates'!$B$5:$B$2004,"MPS",'Estimates'!$C$5:$C$2004,'Status'!$G$5,'Estimates'!$H$5:$H$2004,1)))))</x:f>
      </x:c>
      <x:c r="F90" s="13" t="str">
        <x:f>IF(AND(ISNUMBER(C90),ISNUMBER(D90)),D90-C90,"")</x:f>
      </x:c>
      <x:c r="G90" s="13" t="str">
        <x:f>IF(AND(ISNUMBER(D90),ISNUMBER(E90)),E90-D90,"")</x:f>
      </x:c>
      <x:c r="H90" s="13" t="str">
        <x:f>IF(AND(COUNT(C90:E90)=3,COUNT('Status'!$E$5:$G$5)=3,'Status'!$E$5&gt;0,'Status'!$E$5&lt;'Status'!$F$5,'Status'!$F$5&lt;'Status'!$G$5),ABS(E90-(D90+(D90-C90)*((1/'Status'!$G$5)-(1/'Status'!$F$5))/((1/'Status'!$F$5)-(1/'Status'!$E$5)))),"")</x:f>
      </x:c>
      <x:c r="I90" s="13" t="str">
        <x:f>IF(AND(COUNT(C90:E90)=3,COUNT('Status'!$E$5:$G$5)=3,'Status'!$E$5&gt;0,'Status'!$E$5&lt;'Status'!$F$5,'Status'!$F$5&lt;'Status'!$G$5),((1/'Status'!$F$5)*E90-(1/'Status'!$G$5)*D90)/((1/'Status'!$F$5)-(1/'Status'!$G$5)),"")</x:f>
      </x:c>
      <x:c r="J90" s="13" t="str">
        <x:f>IF(OR(COUNTA($A90)=0,NOT(ISNUMBER('Status'!$E$6))),"",IF(COUNTIFS('Estimates'!$A$5:$A$2004,$A90,'Estimates'!$B$5:$B$2004,"PPS",'Estimates'!$D$5:$D$2004,'Status'!$E$6,'Estimates'!$H$5:$H$2004,1,'Estimates'!$E$5:$E$2004,'Status'!$E$7)=0,"",IF(COUNTIFS('Estimates'!$A$5:$A$2004,$A90,'Estimates'!$B$5:$B$2004,"PPS",'Estimates'!$D$5:$D$2004,'Status'!$E$6,'Estimates'!$H$5:$H$2004,1,'Estimates'!$E$5:$E$2004,'Status'!$E$7)&gt;1,"DUP",IF(COUNTIFS('Estimates'!$A$5:$A$2004,$A90,'Estimates'!$B$5:$B$2004,"PPS",'Estimates'!$D$5:$D$2004,'Status'!$E$6,'Estimates'!$H$5:$H$2004,1,'Estimates'!$E$5:$E$2004,'Status'!$E$7,'Estimates'!$F$5:$F$2004,"&lt;&gt;")=0,"",SUMIFS('Estimates'!$F$5:$F$2004,'Estimates'!$A$5:$A$2004,$A90,'Estimates'!$B$5:$B$2004,"PPS",'Estimates'!$D$5:$D$2004,'Status'!$E$6,'Estimates'!$H$5:$H$2004,1,'Estimates'!$E$5:$E$2004,'Status'!$E$7)))))</x:f>
      </x:c>
      <x:c r="K90" s="13" t="str">
        <x:f>IF(OR(COUNTA($A90)=0,NOT(ISNUMBER('Status'!$F$6))),"",IF(COUNTIFS('Estimates'!$A$5:$A$2004,$A90,'Estimates'!$B$5:$B$2004,"PPS",'Estimates'!$D$5:$D$2004,'Status'!$F$6,'Estimates'!$H$5:$H$2004,1,'Estimates'!$E$5:$E$2004,'Status'!$E$7)=0,"",IF(COUNTIFS('Estimates'!$A$5:$A$2004,$A90,'Estimates'!$B$5:$B$2004,"PPS",'Estimates'!$D$5:$D$2004,'Status'!$F$6,'Estimates'!$H$5:$H$2004,1,'Estimates'!$E$5:$E$2004,'Status'!$E$7)&gt;1,"DUP",IF(COUNTIFS('Estimates'!$A$5:$A$2004,$A90,'Estimates'!$B$5:$B$2004,"PPS",'Estimates'!$D$5:$D$2004,'Status'!$F$6,'Estimates'!$H$5:$H$2004,1,'Estimates'!$E$5:$E$2004,'Status'!$E$7,'Estimates'!$F$5:$F$2004,"&lt;&gt;")=0,"",SUMIFS('Estimates'!$F$5:$F$2004,'Estimates'!$A$5:$A$2004,$A90,'Estimates'!$B$5:$B$2004,"PPS",'Estimates'!$D$5:$D$2004,'Status'!$F$6,'Estimates'!$H$5:$H$2004,1,'Estimates'!$E$5:$E$2004,'Status'!$E$7)))))</x:f>
      </x:c>
      <x:c r="L90" s="13" t="str">
        <x:f>IF(OR(COUNTA($A90)=0,NOT(ISNUMBER('Status'!$G$6))),"",IF(COUNTIFS('Estimates'!$A$5:$A$2004,$A90,'Estimates'!$B$5:$B$2004,"PPS",'Estimates'!$D$5:$D$2004,'Status'!$G$6,'Estimates'!$H$5:$H$2004,1,'Estimates'!$E$5:$E$2004,'Status'!$E$7)=0,"",IF(COUNTIFS('Estimates'!$A$5:$A$2004,$A90,'Estimates'!$B$5:$B$2004,"PPS",'Estimates'!$D$5:$D$2004,'Status'!$G$6,'Estimates'!$H$5:$H$2004,1,'Estimates'!$E$5:$E$2004,'Status'!$E$7)&gt;1,"DUP",IF(COUNTIFS('Estimates'!$A$5:$A$2004,$A90,'Estimates'!$B$5:$B$2004,"PPS",'Estimates'!$D$5:$D$2004,'Status'!$G$6,'Estimates'!$H$5:$H$2004,1,'Estimates'!$E$5:$E$2004,'Status'!$E$7,'Estimates'!$F$5:$F$2004,"&lt;&gt;")=0,"",SUMIFS('Estimates'!$F$5:$F$2004,'Estimates'!$A$5:$A$2004,$A90,'Estimates'!$B$5:$B$2004,"PPS",'Estimates'!$D$5:$D$2004,'Status'!$G$6,'Estimates'!$H$5:$H$2004,1,'Estimates'!$E$5:$E$2004,'Status'!$E$7)))))</x:f>
      </x:c>
      <x:c r="M90" s="13" t="str">
        <x:f>IF(AND(ISNUMBER(J90),ISNUMBER(K90)),K90-J90,"")</x:f>
      </x:c>
      <x:c r="N90" s="13" t="str">
        <x:f>IF(AND(ISNUMBER(K90),ISNUMBER(L90)),L90-K90,"")</x:f>
      </x:c>
      <x:c r="O90" s="13" t="str">
        <x:f>IF(AND(COUNT(J90:L90)=3,COUNT('Status'!$E$6:$G$6)=3,'Status'!$E$6&gt;'Status'!$F$6,'Status'!$F$6&gt;'Status'!$G$6,'Status'!$G$6&gt;0),ABS(L90-(K90+(K90-J90)*('Status'!$G$6-'Status'!$F$6)/('Status'!$F$6-'Status'!$E$6))),"")</x:f>
      </x:c>
      <x:c r="P90" s="13" t="str">
        <x:f>IF(AND(COUNT(J90:L90)=3,COUNT('Status'!$E$6:$G$6)=3,'Status'!$E$6&gt;'Status'!$F$6,'Status'!$F$6&gt;'Status'!$G$6,'Status'!$G$6&gt;0),('Status'!$F$6*L90-'Status'!$G$6*K90)/('Status'!$F$6-'Status'!$G$6),"")</x:f>
      </x:c>
      <x:c r="Q90" s="20"/>
      <x:c r="R90" s="13" t="str">
        <x:f>IF(COUNTA($A90)=0,"",IF('Status'!$B$6="MPS 1",IF(ISNUMBER(C90),C90,""),IF('Status'!$B$6="MPS 2",IF(ISNUMBER(D90),D90,""),IF('Status'!$B$6="MPS 3",IF(ISNUMBER(E90),E90,""),IF('Status'!$B$6="MPS extrap",IF(ISNUMBER(I90),I90,""),IF('Status'!$B$6="PPS 1",IF(ISNUMBER(J90),J90,""),IF('Status'!$B$6="PPS 2",IF(ISNUMBER(K90),K90,""),IF('Status'!$B$6="PPS 3",IF(ISNUMBER(L90),L90,""),IF('Status'!$B$6="PPS extrap",IF(ISNUMBER(P90),P90,""),IF('Status'!$B$6="Calibrated",IF(ISNUMBER(Q90),Q90,""),""))))))))))</x:f>
      </x:c>
      <x:c r="S90" s="2" t="str">
        <x:f>IF(COUNTA(A90)=0,"",IF(COUNTIFS('Estimates'!$A$5:$A$2004,A90,'Estimates'!$B$5:$B$2004,"MPS",'Estimates'!$H$5:$H$2004,1)+COUNTIFS('Estimates'!$A$5:$A$2004,A90,'Estimates'!$B$5:$B$2004,"PPS",'Estimates'!$H$5:$H$2004,1)&gt;0,1,0))</x:f>
      </x:c>
      <x:c r="T90" s="2" t="str">
        <x:f>IF(COUNTA(A90)=0,"",IF(COUNTIFS($A$6:$A$165,A90)&gt;1,"Duplicate target",IF(COUNTIFS(C90:E90,"DUP")+COUNTIFS(J90:L90,"DUP")&gt;0,"Duplicate accepted run",IF(COUNTIFS('Estimates'!$A$5:$A$2004,A90,'Estimates'!$H$5:$H$2004,1)-COUNTIFS('Estimates'!$A$5:$A$2004,A90,'Estimates'!$H$5:$H$2004,1,'Estimates'!$F$5:$F$2004,"&lt;&gt;")&gt;0,"Accepted value missing",""))))</x:f>
      </x:c>
    </x:row>
    <x:row r="91">
      <x:c r="A91" s="21"/>
      <x:c r="B91" s="19"/>
      <x:c r="C91" s="13" t="str">
        <x:f>IF(OR(COUNTA($A91)=0,NOT(ISNUMBER('Status'!$E$5))),"",IF(COUNTIFS('Estimates'!$A$5:$A$2004,$A91,'Estimates'!$B$5:$B$2004,"MPS",'Estimates'!$C$5:$C$2004,'Status'!$E$5,'Estimates'!$H$5:$H$2004,1)=0,"",IF(COUNTIFS('Estimates'!$A$5:$A$2004,$A91,'Estimates'!$B$5:$B$2004,"MPS",'Estimates'!$C$5:$C$2004,'Status'!$E$5,'Estimates'!$H$5:$H$2004,1)&gt;1,"DUP",IF(COUNTIFS('Estimates'!$A$5:$A$2004,$A91,'Estimates'!$B$5:$B$2004,"MPS",'Estimates'!$C$5:$C$2004,'Status'!$E$5,'Estimates'!$H$5:$H$2004,1,'Estimates'!$F$5:$F$2004,"&lt;&gt;")=0,"",SUMIFS('Estimates'!$F$5:$F$2004,'Estimates'!$A$5:$A$2004,$A91,'Estimates'!$B$5:$B$2004,"MPS",'Estimates'!$C$5:$C$2004,'Status'!$E$5,'Estimates'!$H$5:$H$2004,1)))))</x:f>
      </x:c>
      <x:c r="D91" s="13" t="str">
        <x:f>IF(OR(COUNTA($A91)=0,NOT(ISNUMBER('Status'!$F$5))),"",IF(COUNTIFS('Estimates'!$A$5:$A$2004,$A91,'Estimates'!$B$5:$B$2004,"MPS",'Estimates'!$C$5:$C$2004,'Status'!$F$5,'Estimates'!$H$5:$H$2004,1)=0,"",IF(COUNTIFS('Estimates'!$A$5:$A$2004,$A91,'Estimates'!$B$5:$B$2004,"MPS",'Estimates'!$C$5:$C$2004,'Status'!$F$5,'Estimates'!$H$5:$H$2004,1)&gt;1,"DUP",IF(COUNTIFS('Estimates'!$A$5:$A$2004,$A91,'Estimates'!$B$5:$B$2004,"MPS",'Estimates'!$C$5:$C$2004,'Status'!$F$5,'Estimates'!$H$5:$H$2004,1,'Estimates'!$F$5:$F$2004,"&lt;&gt;")=0,"",SUMIFS('Estimates'!$F$5:$F$2004,'Estimates'!$A$5:$A$2004,$A91,'Estimates'!$B$5:$B$2004,"MPS",'Estimates'!$C$5:$C$2004,'Status'!$F$5,'Estimates'!$H$5:$H$2004,1)))))</x:f>
      </x:c>
      <x:c r="E91" s="13" t="str">
        <x:f>IF(OR(COUNTA($A91)=0,NOT(ISNUMBER('Status'!$G$5))),"",IF(COUNTIFS('Estimates'!$A$5:$A$2004,$A91,'Estimates'!$B$5:$B$2004,"MPS",'Estimates'!$C$5:$C$2004,'Status'!$G$5,'Estimates'!$H$5:$H$2004,1)=0,"",IF(COUNTIFS('Estimates'!$A$5:$A$2004,$A91,'Estimates'!$B$5:$B$2004,"MPS",'Estimates'!$C$5:$C$2004,'Status'!$G$5,'Estimates'!$H$5:$H$2004,1)&gt;1,"DUP",IF(COUNTIFS('Estimates'!$A$5:$A$2004,$A91,'Estimates'!$B$5:$B$2004,"MPS",'Estimates'!$C$5:$C$2004,'Status'!$G$5,'Estimates'!$H$5:$H$2004,1,'Estimates'!$F$5:$F$2004,"&lt;&gt;")=0,"",SUMIFS('Estimates'!$F$5:$F$2004,'Estimates'!$A$5:$A$2004,$A91,'Estimates'!$B$5:$B$2004,"MPS",'Estimates'!$C$5:$C$2004,'Status'!$G$5,'Estimates'!$H$5:$H$2004,1)))))</x:f>
      </x:c>
      <x:c r="F91" s="13" t="str">
        <x:f>IF(AND(ISNUMBER(C91),ISNUMBER(D91)),D91-C91,"")</x:f>
      </x:c>
      <x:c r="G91" s="13" t="str">
        <x:f>IF(AND(ISNUMBER(D91),ISNUMBER(E91)),E91-D91,"")</x:f>
      </x:c>
      <x:c r="H91" s="13" t="str">
        <x:f>IF(AND(COUNT(C91:E91)=3,COUNT('Status'!$E$5:$G$5)=3,'Status'!$E$5&gt;0,'Status'!$E$5&lt;'Status'!$F$5,'Status'!$F$5&lt;'Status'!$G$5),ABS(E91-(D91+(D91-C91)*((1/'Status'!$G$5)-(1/'Status'!$F$5))/((1/'Status'!$F$5)-(1/'Status'!$E$5)))),"")</x:f>
      </x:c>
      <x:c r="I91" s="13" t="str">
        <x:f>IF(AND(COUNT(C91:E91)=3,COUNT('Status'!$E$5:$G$5)=3,'Status'!$E$5&gt;0,'Status'!$E$5&lt;'Status'!$F$5,'Status'!$F$5&lt;'Status'!$G$5),((1/'Status'!$F$5)*E91-(1/'Status'!$G$5)*D91)/((1/'Status'!$F$5)-(1/'Status'!$G$5)),"")</x:f>
      </x:c>
      <x:c r="J91" s="13" t="str">
        <x:f>IF(OR(COUNTA($A91)=0,NOT(ISNUMBER('Status'!$E$6))),"",IF(COUNTIFS('Estimates'!$A$5:$A$2004,$A91,'Estimates'!$B$5:$B$2004,"PPS",'Estimates'!$D$5:$D$2004,'Status'!$E$6,'Estimates'!$H$5:$H$2004,1,'Estimates'!$E$5:$E$2004,'Status'!$E$7)=0,"",IF(COUNTIFS('Estimates'!$A$5:$A$2004,$A91,'Estimates'!$B$5:$B$2004,"PPS",'Estimates'!$D$5:$D$2004,'Status'!$E$6,'Estimates'!$H$5:$H$2004,1,'Estimates'!$E$5:$E$2004,'Status'!$E$7)&gt;1,"DUP",IF(COUNTIFS('Estimates'!$A$5:$A$2004,$A91,'Estimates'!$B$5:$B$2004,"PPS",'Estimates'!$D$5:$D$2004,'Status'!$E$6,'Estimates'!$H$5:$H$2004,1,'Estimates'!$E$5:$E$2004,'Status'!$E$7,'Estimates'!$F$5:$F$2004,"&lt;&gt;")=0,"",SUMIFS('Estimates'!$F$5:$F$2004,'Estimates'!$A$5:$A$2004,$A91,'Estimates'!$B$5:$B$2004,"PPS",'Estimates'!$D$5:$D$2004,'Status'!$E$6,'Estimates'!$H$5:$H$2004,1,'Estimates'!$E$5:$E$2004,'Status'!$E$7)))))</x:f>
      </x:c>
      <x:c r="K91" s="13" t="str">
        <x:f>IF(OR(COUNTA($A91)=0,NOT(ISNUMBER('Status'!$F$6))),"",IF(COUNTIFS('Estimates'!$A$5:$A$2004,$A91,'Estimates'!$B$5:$B$2004,"PPS",'Estimates'!$D$5:$D$2004,'Status'!$F$6,'Estimates'!$H$5:$H$2004,1,'Estimates'!$E$5:$E$2004,'Status'!$E$7)=0,"",IF(COUNTIFS('Estimates'!$A$5:$A$2004,$A91,'Estimates'!$B$5:$B$2004,"PPS",'Estimates'!$D$5:$D$2004,'Status'!$F$6,'Estimates'!$H$5:$H$2004,1,'Estimates'!$E$5:$E$2004,'Status'!$E$7)&gt;1,"DUP",IF(COUNTIFS('Estimates'!$A$5:$A$2004,$A91,'Estimates'!$B$5:$B$2004,"PPS",'Estimates'!$D$5:$D$2004,'Status'!$F$6,'Estimates'!$H$5:$H$2004,1,'Estimates'!$E$5:$E$2004,'Status'!$E$7,'Estimates'!$F$5:$F$2004,"&lt;&gt;")=0,"",SUMIFS('Estimates'!$F$5:$F$2004,'Estimates'!$A$5:$A$2004,$A91,'Estimates'!$B$5:$B$2004,"PPS",'Estimates'!$D$5:$D$2004,'Status'!$F$6,'Estimates'!$H$5:$H$2004,1,'Estimates'!$E$5:$E$2004,'Status'!$E$7)))))</x:f>
      </x:c>
      <x:c r="L91" s="13" t="str">
        <x:f>IF(OR(COUNTA($A91)=0,NOT(ISNUMBER('Status'!$G$6))),"",IF(COUNTIFS('Estimates'!$A$5:$A$2004,$A91,'Estimates'!$B$5:$B$2004,"PPS",'Estimates'!$D$5:$D$2004,'Status'!$G$6,'Estimates'!$H$5:$H$2004,1,'Estimates'!$E$5:$E$2004,'Status'!$E$7)=0,"",IF(COUNTIFS('Estimates'!$A$5:$A$2004,$A91,'Estimates'!$B$5:$B$2004,"PPS",'Estimates'!$D$5:$D$2004,'Status'!$G$6,'Estimates'!$H$5:$H$2004,1,'Estimates'!$E$5:$E$2004,'Status'!$E$7)&gt;1,"DUP",IF(COUNTIFS('Estimates'!$A$5:$A$2004,$A91,'Estimates'!$B$5:$B$2004,"PPS",'Estimates'!$D$5:$D$2004,'Status'!$G$6,'Estimates'!$H$5:$H$2004,1,'Estimates'!$E$5:$E$2004,'Status'!$E$7,'Estimates'!$F$5:$F$2004,"&lt;&gt;")=0,"",SUMIFS('Estimates'!$F$5:$F$2004,'Estimates'!$A$5:$A$2004,$A91,'Estimates'!$B$5:$B$2004,"PPS",'Estimates'!$D$5:$D$2004,'Status'!$G$6,'Estimates'!$H$5:$H$2004,1,'Estimates'!$E$5:$E$2004,'Status'!$E$7)))))</x:f>
      </x:c>
      <x:c r="M91" s="13" t="str">
        <x:f>IF(AND(ISNUMBER(J91),ISNUMBER(K91)),K91-J91,"")</x:f>
      </x:c>
      <x:c r="N91" s="13" t="str">
        <x:f>IF(AND(ISNUMBER(K91),ISNUMBER(L91)),L91-K91,"")</x:f>
      </x:c>
      <x:c r="O91" s="13" t="str">
        <x:f>IF(AND(COUNT(J91:L91)=3,COUNT('Status'!$E$6:$G$6)=3,'Status'!$E$6&gt;'Status'!$F$6,'Status'!$F$6&gt;'Status'!$G$6,'Status'!$G$6&gt;0),ABS(L91-(K91+(K91-J91)*('Status'!$G$6-'Status'!$F$6)/('Status'!$F$6-'Status'!$E$6))),"")</x:f>
      </x:c>
      <x:c r="P91" s="13" t="str">
        <x:f>IF(AND(COUNT(J91:L91)=3,COUNT('Status'!$E$6:$G$6)=3,'Status'!$E$6&gt;'Status'!$F$6,'Status'!$F$6&gt;'Status'!$G$6,'Status'!$G$6&gt;0),('Status'!$F$6*L91-'Status'!$G$6*K91)/('Status'!$F$6-'Status'!$G$6),"")</x:f>
      </x:c>
      <x:c r="Q91" s="20"/>
      <x:c r="R91" s="13" t="str">
        <x:f>IF(COUNTA($A91)=0,"",IF('Status'!$B$6="MPS 1",IF(ISNUMBER(C91),C91,""),IF('Status'!$B$6="MPS 2",IF(ISNUMBER(D91),D91,""),IF('Status'!$B$6="MPS 3",IF(ISNUMBER(E91),E91,""),IF('Status'!$B$6="MPS extrap",IF(ISNUMBER(I91),I91,""),IF('Status'!$B$6="PPS 1",IF(ISNUMBER(J91),J91,""),IF('Status'!$B$6="PPS 2",IF(ISNUMBER(K91),K91,""),IF('Status'!$B$6="PPS 3",IF(ISNUMBER(L91),L91,""),IF('Status'!$B$6="PPS extrap",IF(ISNUMBER(P91),P91,""),IF('Status'!$B$6="Calibrated",IF(ISNUMBER(Q91),Q91,""),""))))))))))</x:f>
      </x:c>
      <x:c r="S91" s="2" t="str">
        <x:f>IF(COUNTA(A91)=0,"",IF(COUNTIFS('Estimates'!$A$5:$A$2004,A91,'Estimates'!$B$5:$B$2004,"MPS",'Estimates'!$H$5:$H$2004,1)+COUNTIFS('Estimates'!$A$5:$A$2004,A91,'Estimates'!$B$5:$B$2004,"PPS",'Estimates'!$H$5:$H$2004,1)&gt;0,1,0))</x:f>
      </x:c>
      <x:c r="T91" s="2" t="str">
        <x:f>IF(COUNTA(A91)=0,"",IF(COUNTIFS($A$6:$A$165,A91)&gt;1,"Duplicate target",IF(COUNTIFS(C91:E91,"DUP")+COUNTIFS(J91:L91,"DUP")&gt;0,"Duplicate accepted run",IF(COUNTIFS('Estimates'!$A$5:$A$2004,A91,'Estimates'!$H$5:$H$2004,1)-COUNTIFS('Estimates'!$A$5:$A$2004,A91,'Estimates'!$H$5:$H$2004,1,'Estimates'!$F$5:$F$2004,"&lt;&gt;")&gt;0,"Accepted value missing",""))))</x:f>
      </x:c>
    </x:row>
    <x:row r="92">
      <x:c r="A92" s="21"/>
      <x:c r="B92" s="19"/>
      <x:c r="C92" s="13" t="str">
        <x:f>IF(OR(COUNTA($A92)=0,NOT(ISNUMBER('Status'!$E$5))),"",IF(COUNTIFS('Estimates'!$A$5:$A$2004,$A92,'Estimates'!$B$5:$B$2004,"MPS",'Estimates'!$C$5:$C$2004,'Status'!$E$5,'Estimates'!$H$5:$H$2004,1)=0,"",IF(COUNTIFS('Estimates'!$A$5:$A$2004,$A92,'Estimates'!$B$5:$B$2004,"MPS",'Estimates'!$C$5:$C$2004,'Status'!$E$5,'Estimates'!$H$5:$H$2004,1)&gt;1,"DUP",IF(COUNTIFS('Estimates'!$A$5:$A$2004,$A92,'Estimates'!$B$5:$B$2004,"MPS",'Estimates'!$C$5:$C$2004,'Status'!$E$5,'Estimates'!$H$5:$H$2004,1,'Estimates'!$F$5:$F$2004,"&lt;&gt;")=0,"",SUMIFS('Estimates'!$F$5:$F$2004,'Estimates'!$A$5:$A$2004,$A92,'Estimates'!$B$5:$B$2004,"MPS",'Estimates'!$C$5:$C$2004,'Status'!$E$5,'Estimates'!$H$5:$H$2004,1)))))</x:f>
      </x:c>
      <x:c r="D92" s="13" t="str">
        <x:f>IF(OR(COUNTA($A92)=0,NOT(ISNUMBER('Status'!$F$5))),"",IF(COUNTIFS('Estimates'!$A$5:$A$2004,$A92,'Estimates'!$B$5:$B$2004,"MPS",'Estimates'!$C$5:$C$2004,'Status'!$F$5,'Estimates'!$H$5:$H$2004,1)=0,"",IF(COUNTIFS('Estimates'!$A$5:$A$2004,$A92,'Estimates'!$B$5:$B$2004,"MPS",'Estimates'!$C$5:$C$2004,'Status'!$F$5,'Estimates'!$H$5:$H$2004,1)&gt;1,"DUP",IF(COUNTIFS('Estimates'!$A$5:$A$2004,$A92,'Estimates'!$B$5:$B$2004,"MPS",'Estimates'!$C$5:$C$2004,'Status'!$F$5,'Estimates'!$H$5:$H$2004,1,'Estimates'!$F$5:$F$2004,"&lt;&gt;")=0,"",SUMIFS('Estimates'!$F$5:$F$2004,'Estimates'!$A$5:$A$2004,$A92,'Estimates'!$B$5:$B$2004,"MPS",'Estimates'!$C$5:$C$2004,'Status'!$F$5,'Estimates'!$H$5:$H$2004,1)))))</x:f>
      </x:c>
      <x:c r="E92" s="13" t="str">
        <x:f>IF(OR(COUNTA($A92)=0,NOT(ISNUMBER('Status'!$G$5))),"",IF(COUNTIFS('Estimates'!$A$5:$A$2004,$A92,'Estimates'!$B$5:$B$2004,"MPS",'Estimates'!$C$5:$C$2004,'Status'!$G$5,'Estimates'!$H$5:$H$2004,1)=0,"",IF(COUNTIFS('Estimates'!$A$5:$A$2004,$A92,'Estimates'!$B$5:$B$2004,"MPS",'Estimates'!$C$5:$C$2004,'Status'!$G$5,'Estimates'!$H$5:$H$2004,1)&gt;1,"DUP",IF(COUNTIFS('Estimates'!$A$5:$A$2004,$A92,'Estimates'!$B$5:$B$2004,"MPS",'Estimates'!$C$5:$C$2004,'Status'!$G$5,'Estimates'!$H$5:$H$2004,1,'Estimates'!$F$5:$F$2004,"&lt;&gt;")=0,"",SUMIFS('Estimates'!$F$5:$F$2004,'Estimates'!$A$5:$A$2004,$A92,'Estimates'!$B$5:$B$2004,"MPS",'Estimates'!$C$5:$C$2004,'Status'!$G$5,'Estimates'!$H$5:$H$2004,1)))))</x:f>
      </x:c>
      <x:c r="F92" s="13" t="str">
        <x:f>IF(AND(ISNUMBER(C92),ISNUMBER(D92)),D92-C92,"")</x:f>
      </x:c>
      <x:c r="G92" s="13" t="str">
        <x:f>IF(AND(ISNUMBER(D92),ISNUMBER(E92)),E92-D92,"")</x:f>
      </x:c>
      <x:c r="H92" s="13" t="str">
        <x:f>IF(AND(COUNT(C92:E92)=3,COUNT('Status'!$E$5:$G$5)=3,'Status'!$E$5&gt;0,'Status'!$E$5&lt;'Status'!$F$5,'Status'!$F$5&lt;'Status'!$G$5),ABS(E92-(D92+(D92-C92)*((1/'Status'!$G$5)-(1/'Status'!$F$5))/((1/'Status'!$F$5)-(1/'Status'!$E$5)))),"")</x:f>
      </x:c>
      <x:c r="I92" s="13" t="str">
        <x:f>IF(AND(COUNT(C92:E92)=3,COUNT('Status'!$E$5:$G$5)=3,'Status'!$E$5&gt;0,'Status'!$E$5&lt;'Status'!$F$5,'Status'!$F$5&lt;'Status'!$G$5),((1/'Status'!$F$5)*E92-(1/'Status'!$G$5)*D92)/((1/'Status'!$F$5)-(1/'Status'!$G$5)),"")</x:f>
      </x:c>
      <x:c r="J92" s="13" t="str">
        <x:f>IF(OR(COUNTA($A92)=0,NOT(ISNUMBER('Status'!$E$6))),"",IF(COUNTIFS('Estimates'!$A$5:$A$2004,$A92,'Estimates'!$B$5:$B$2004,"PPS",'Estimates'!$D$5:$D$2004,'Status'!$E$6,'Estimates'!$H$5:$H$2004,1,'Estimates'!$E$5:$E$2004,'Status'!$E$7)=0,"",IF(COUNTIFS('Estimates'!$A$5:$A$2004,$A92,'Estimates'!$B$5:$B$2004,"PPS",'Estimates'!$D$5:$D$2004,'Status'!$E$6,'Estimates'!$H$5:$H$2004,1,'Estimates'!$E$5:$E$2004,'Status'!$E$7)&gt;1,"DUP",IF(COUNTIFS('Estimates'!$A$5:$A$2004,$A92,'Estimates'!$B$5:$B$2004,"PPS",'Estimates'!$D$5:$D$2004,'Status'!$E$6,'Estimates'!$H$5:$H$2004,1,'Estimates'!$E$5:$E$2004,'Status'!$E$7,'Estimates'!$F$5:$F$2004,"&lt;&gt;")=0,"",SUMIFS('Estimates'!$F$5:$F$2004,'Estimates'!$A$5:$A$2004,$A92,'Estimates'!$B$5:$B$2004,"PPS",'Estimates'!$D$5:$D$2004,'Status'!$E$6,'Estimates'!$H$5:$H$2004,1,'Estimates'!$E$5:$E$2004,'Status'!$E$7)))))</x:f>
      </x:c>
      <x:c r="K92" s="13" t="str">
        <x:f>IF(OR(COUNTA($A92)=0,NOT(ISNUMBER('Status'!$F$6))),"",IF(COUNTIFS('Estimates'!$A$5:$A$2004,$A92,'Estimates'!$B$5:$B$2004,"PPS",'Estimates'!$D$5:$D$2004,'Status'!$F$6,'Estimates'!$H$5:$H$2004,1,'Estimates'!$E$5:$E$2004,'Status'!$E$7)=0,"",IF(COUNTIFS('Estimates'!$A$5:$A$2004,$A92,'Estimates'!$B$5:$B$2004,"PPS",'Estimates'!$D$5:$D$2004,'Status'!$F$6,'Estimates'!$H$5:$H$2004,1,'Estimates'!$E$5:$E$2004,'Status'!$E$7)&gt;1,"DUP",IF(COUNTIFS('Estimates'!$A$5:$A$2004,$A92,'Estimates'!$B$5:$B$2004,"PPS",'Estimates'!$D$5:$D$2004,'Status'!$F$6,'Estimates'!$H$5:$H$2004,1,'Estimates'!$E$5:$E$2004,'Status'!$E$7,'Estimates'!$F$5:$F$2004,"&lt;&gt;")=0,"",SUMIFS('Estimates'!$F$5:$F$2004,'Estimates'!$A$5:$A$2004,$A92,'Estimates'!$B$5:$B$2004,"PPS",'Estimates'!$D$5:$D$2004,'Status'!$F$6,'Estimates'!$H$5:$H$2004,1,'Estimates'!$E$5:$E$2004,'Status'!$E$7)))))</x:f>
      </x:c>
      <x:c r="L92" s="13" t="str">
        <x:f>IF(OR(COUNTA($A92)=0,NOT(ISNUMBER('Status'!$G$6))),"",IF(COUNTIFS('Estimates'!$A$5:$A$2004,$A92,'Estimates'!$B$5:$B$2004,"PPS",'Estimates'!$D$5:$D$2004,'Status'!$G$6,'Estimates'!$H$5:$H$2004,1,'Estimates'!$E$5:$E$2004,'Status'!$E$7)=0,"",IF(COUNTIFS('Estimates'!$A$5:$A$2004,$A92,'Estimates'!$B$5:$B$2004,"PPS",'Estimates'!$D$5:$D$2004,'Status'!$G$6,'Estimates'!$H$5:$H$2004,1,'Estimates'!$E$5:$E$2004,'Status'!$E$7)&gt;1,"DUP",IF(COUNTIFS('Estimates'!$A$5:$A$2004,$A92,'Estimates'!$B$5:$B$2004,"PPS",'Estimates'!$D$5:$D$2004,'Status'!$G$6,'Estimates'!$H$5:$H$2004,1,'Estimates'!$E$5:$E$2004,'Status'!$E$7,'Estimates'!$F$5:$F$2004,"&lt;&gt;")=0,"",SUMIFS('Estimates'!$F$5:$F$2004,'Estimates'!$A$5:$A$2004,$A92,'Estimates'!$B$5:$B$2004,"PPS",'Estimates'!$D$5:$D$2004,'Status'!$G$6,'Estimates'!$H$5:$H$2004,1,'Estimates'!$E$5:$E$2004,'Status'!$E$7)))))</x:f>
      </x:c>
      <x:c r="M92" s="13" t="str">
        <x:f>IF(AND(ISNUMBER(J92),ISNUMBER(K92)),K92-J92,"")</x:f>
      </x:c>
      <x:c r="N92" s="13" t="str">
        <x:f>IF(AND(ISNUMBER(K92),ISNUMBER(L92)),L92-K92,"")</x:f>
      </x:c>
      <x:c r="O92" s="13" t="str">
        <x:f>IF(AND(COUNT(J92:L92)=3,COUNT('Status'!$E$6:$G$6)=3,'Status'!$E$6&gt;'Status'!$F$6,'Status'!$F$6&gt;'Status'!$G$6,'Status'!$G$6&gt;0),ABS(L92-(K92+(K92-J92)*('Status'!$G$6-'Status'!$F$6)/('Status'!$F$6-'Status'!$E$6))),"")</x:f>
      </x:c>
      <x:c r="P92" s="13" t="str">
        <x:f>IF(AND(COUNT(J92:L92)=3,COUNT('Status'!$E$6:$G$6)=3,'Status'!$E$6&gt;'Status'!$F$6,'Status'!$F$6&gt;'Status'!$G$6,'Status'!$G$6&gt;0),('Status'!$F$6*L92-'Status'!$G$6*K92)/('Status'!$F$6-'Status'!$G$6),"")</x:f>
      </x:c>
      <x:c r="Q92" s="20"/>
      <x:c r="R92" s="13" t="str">
        <x:f>IF(COUNTA($A92)=0,"",IF('Status'!$B$6="MPS 1",IF(ISNUMBER(C92),C92,""),IF('Status'!$B$6="MPS 2",IF(ISNUMBER(D92),D92,""),IF('Status'!$B$6="MPS 3",IF(ISNUMBER(E92),E92,""),IF('Status'!$B$6="MPS extrap",IF(ISNUMBER(I92),I92,""),IF('Status'!$B$6="PPS 1",IF(ISNUMBER(J92),J92,""),IF('Status'!$B$6="PPS 2",IF(ISNUMBER(K92),K92,""),IF('Status'!$B$6="PPS 3",IF(ISNUMBER(L92),L92,""),IF('Status'!$B$6="PPS extrap",IF(ISNUMBER(P92),P92,""),IF('Status'!$B$6="Calibrated",IF(ISNUMBER(Q92),Q92,""),""))))))))))</x:f>
      </x:c>
      <x:c r="S92" s="2" t="str">
        <x:f>IF(COUNTA(A92)=0,"",IF(COUNTIFS('Estimates'!$A$5:$A$2004,A92,'Estimates'!$B$5:$B$2004,"MPS",'Estimates'!$H$5:$H$2004,1)+COUNTIFS('Estimates'!$A$5:$A$2004,A92,'Estimates'!$B$5:$B$2004,"PPS",'Estimates'!$H$5:$H$2004,1)&gt;0,1,0))</x:f>
      </x:c>
      <x:c r="T92" s="2" t="str">
        <x:f>IF(COUNTA(A92)=0,"",IF(COUNTIFS($A$6:$A$165,A92)&gt;1,"Duplicate target",IF(COUNTIFS(C92:E92,"DUP")+COUNTIFS(J92:L92,"DUP")&gt;0,"Duplicate accepted run",IF(COUNTIFS('Estimates'!$A$5:$A$2004,A92,'Estimates'!$H$5:$H$2004,1)-COUNTIFS('Estimates'!$A$5:$A$2004,A92,'Estimates'!$H$5:$H$2004,1,'Estimates'!$F$5:$F$2004,"&lt;&gt;")&gt;0,"Accepted value missing",""))))</x:f>
      </x:c>
    </x:row>
    <x:row r="93">
      <x:c r="A93" s="21"/>
      <x:c r="B93" s="19"/>
      <x:c r="C93" s="13" t="str">
        <x:f>IF(OR(COUNTA($A93)=0,NOT(ISNUMBER('Status'!$E$5))),"",IF(COUNTIFS('Estimates'!$A$5:$A$2004,$A93,'Estimates'!$B$5:$B$2004,"MPS",'Estimates'!$C$5:$C$2004,'Status'!$E$5,'Estimates'!$H$5:$H$2004,1)=0,"",IF(COUNTIFS('Estimates'!$A$5:$A$2004,$A93,'Estimates'!$B$5:$B$2004,"MPS",'Estimates'!$C$5:$C$2004,'Status'!$E$5,'Estimates'!$H$5:$H$2004,1)&gt;1,"DUP",IF(COUNTIFS('Estimates'!$A$5:$A$2004,$A93,'Estimates'!$B$5:$B$2004,"MPS",'Estimates'!$C$5:$C$2004,'Status'!$E$5,'Estimates'!$H$5:$H$2004,1,'Estimates'!$F$5:$F$2004,"&lt;&gt;")=0,"",SUMIFS('Estimates'!$F$5:$F$2004,'Estimates'!$A$5:$A$2004,$A93,'Estimates'!$B$5:$B$2004,"MPS",'Estimates'!$C$5:$C$2004,'Status'!$E$5,'Estimates'!$H$5:$H$2004,1)))))</x:f>
      </x:c>
      <x:c r="D93" s="13" t="str">
        <x:f>IF(OR(COUNTA($A93)=0,NOT(ISNUMBER('Status'!$F$5))),"",IF(COUNTIFS('Estimates'!$A$5:$A$2004,$A93,'Estimates'!$B$5:$B$2004,"MPS",'Estimates'!$C$5:$C$2004,'Status'!$F$5,'Estimates'!$H$5:$H$2004,1)=0,"",IF(COUNTIFS('Estimates'!$A$5:$A$2004,$A93,'Estimates'!$B$5:$B$2004,"MPS",'Estimates'!$C$5:$C$2004,'Status'!$F$5,'Estimates'!$H$5:$H$2004,1)&gt;1,"DUP",IF(COUNTIFS('Estimates'!$A$5:$A$2004,$A93,'Estimates'!$B$5:$B$2004,"MPS",'Estimates'!$C$5:$C$2004,'Status'!$F$5,'Estimates'!$H$5:$H$2004,1,'Estimates'!$F$5:$F$2004,"&lt;&gt;")=0,"",SUMIFS('Estimates'!$F$5:$F$2004,'Estimates'!$A$5:$A$2004,$A93,'Estimates'!$B$5:$B$2004,"MPS",'Estimates'!$C$5:$C$2004,'Status'!$F$5,'Estimates'!$H$5:$H$2004,1)))))</x:f>
      </x:c>
      <x:c r="E93" s="13" t="str">
        <x:f>IF(OR(COUNTA($A93)=0,NOT(ISNUMBER('Status'!$G$5))),"",IF(COUNTIFS('Estimates'!$A$5:$A$2004,$A93,'Estimates'!$B$5:$B$2004,"MPS",'Estimates'!$C$5:$C$2004,'Status'!$G$5,'Estimates'!$H$5:$H$2004,1)=0,"",IF(COUNTIFS('Estimates'!$A$5:$A$2004,$A93,'Estimates'!$B$5:$B$2004,"MPS",'Estimates'!$C$5:$C$2004,'Status'!$G$5,'Estimates'!$H$5:$H$2004,1)&gt;1,"DUP",IF(COUNTIFS('Estimates'!$A$5:$A$2004,$A93,'Estimates'!$B$5:$B$2004,"MPS",'Estimates'!$C$5:$C$2004,'Status'!$G$5,'Estimates'!$H$5:$H$2004,1,'Estimates'!$F$5:$F$2004,"&lt;&gt;")=0,"",SUMIFS('Estimates'!$F$5:$F$2004,'Estimates'!$A$5:$A$2004,$A93,'Estimates'!$B$5:$B$2004,"MPS",'Estimates'!$C$5:$C$2004,'Status'!$G$5,'Estimates'!$H$5:$H$2004,1)))))</x:f>
      </x:c>
      <x:c r="F93" s="13" t="str">
        <x:f>IF(AND(ISNUMBER(C93),ISNUMBER(D93)),D93-C93,"")</x:f>
      </x:c>
      <x:c r="G93" s="13" t="str">
        <x:f>IF(AND(ISNUMBER(D93),ISNUMBER(E93)),E93-D93,"")</x:f>
      </x:c>
      <x:c r="H93" s="13" t="str">
        <x:f>IF(AND(COUNT(C93:E93)=3,COUNT('Status'!$E$5:$G$5)=3,'Status'!$E$5&gt;0,'Status'!$E$5&lt;'Status'!$F$5,'Status'!$F$5&lt;'Status'!$G$5),ABS(E93-(D93+(D93-C93)*((1/'Status'!$G$5)-(1/'Status'!$F$5))/((1/'Status'!$F$5)-(1/'Status'!$E$5)))),"")</x:f>
      </x:c>
      <x:c r="I93" s="13" t="str">
        <x:f>IF(AND(COUNT(C93:E93)=3,COUNT('Status'!$E$5:$G$5)=3,'Status'!$E$5&gt;0,'Status'!$E$5&lt;'Status'!$F$5,'Status'!$F$5&lt;'Status'!$G$5),((1/'Status'!$F$5)*E93-(1/'Status'!$G$5)*D93)/((1/'Status'!$F$5)-(1/'Status'!$G$5)),"")</x:f>
      </x:c>
      <x:c r="J93" s="13" t="str">
        <x:f>IF(OR(COUNTA($A93)=0,NOT(ISNUMBER('Status'!$E$6))),"",IF(COUNTIFS('Estimates'!$A$5:$A$2004,$A93,'Estimates'!$B$5:$B$2004,"PPS",'Estimates'!$D$5:$D$2004,'Status'!$E$6,'Estimates'!$H$5:$H$2004,1,'Estimates'!$E$5:$E$2004,'Status'!$E$7)=0,"",IF(COUNTIFS('Estimates'!$A$5:$A$2004,$A93,'Estimates'!$B$5:$B$2004,"PPS",'Estimates'!$D$5:$D$2004,'Status'!$E$6,'Estimates'!$H$5:$H$2004,1,'Estimates'!$E$5:$E$2004,'Status'!$E$7)&gt;1,"DUP",IF(COUNTIFS('Estimates'!$A$5:$A$2004,$A93,'Estimates'!$B$5:$B$2004,"PPS",'Estimates'!$D$5:$D$2004,'Status'!$E$6,'Estimates'!$H$5:$H$2004,1,'Estimates'!$E$5:$E$2004,'Status'!$E$7,'Estimates'!$F$5:$F$2004,"&lt;&gt;")=0,"",SUMIFS('Estimates'!$F$5:$F$2004,'Estimates'!$A$5:$A$2004,$A93,'Estimates'!$B$5:$B$2004,"PPS",'Estimates'!$D$5:$D$2004,'Status'!$E$6,'Estimates'!$H$5:$H$2004,1,'Estimates'!$E$5:$E$2004,'Status'!$E$7)))))</x:f>
      </x:c>
      <x:c r="K93" s="13" t="str">
        <x:f>IF(OR(COUNTA($A93)=0,NOT(ISNUMBER('Status'!$F$6))),"",IF(COUNTIFS('Estimates'!$A$5:$A$2004,$A93,'Estimates'!$B$5:$B$2004,"PPS",'Estimates'!$D$5:$D$2004,'Status'!$F$6,'Estimates'!$H$5:$H$2004,1,'Estimates'!$E$5:$E$2004,'Status'!$E$7)=0,"",IF(COUNTIFS('Estimates'!$A$5:$A$2004,$A93,'Estimates'!$B$5:$B$2004,"PPS",'Estimates'!$D$5:$D$2004,'Status'!$F$6,'Estimates'!$H$5:$H$2004,1,'Estimates'!$E$5:$E$2004,'Status'!$E$7)&gt;1,"DUP",IF(COUNTIFS('Estimates'!$A$5:$A$2004,$A93,'Estimates'!$B$5:$B$2004,"PPS",'Estimates'!$D$5:$D$2004,'Status'!$F$6,'Estimates'!$H$5:$H$2004,1,'Estimates'!$E$5:$E$2004,'Status'!$E$7,'Estimates'!$F$5:$F$2004,"&lt;&gt;")=0,"",SUMIFS('Estimates'!$F$5:$F$2004,'Estimates'!$A$5:$A$2004,$A93,'Estimates'!$B$5:$B$2004,"PPS",'Estimates'!$D$5:$D$2004,'Status'!$F$6,'Estimates'!$H$5:$H$2004,1,'Estimates'!$E$5:$E$2004,'Status'!$E$7)))))</x:f>
      </x:c>
      <x:c r="L93" s="13" t="str">
        <x:f>IF(OR(COUNTA($A93)=0,NOT(ISNUMBER('Status'!$G$6))),"",IF(COUNTIFS('Estimates'!$A$5:$A$2004,$A93,'Estimates'!$B$5:$B$2004,"PPS",'Estimates'!$D$5:$D$2004,'Status'!$G$6,'Estimates'!$H$5:$H$2004,1,'Estimates'!$E$5:$E$2004,'Status'!$E$7)=0,"",IF(COUNTIFS('Estimates'!$A$5:$A$2004,$A93,'Estimates'!$B$5:$B$2004,"PPS",'Estimates'!$D$5:$D$2004,'Status'!$G$6,'Estimates'!$H$5:$H$2004,1,'Estimates'!$E$5:$E$2004,'Status'!$E$7)&gt;1,"DUP",IF(COUNTIFS('Estimates'!$A$5:$A$2004,$A93,'Estimates'!$B$5:$B$2004,"PPS",'Estimates'!$D$5:$D$2004,'Status'!$G$6,'Estimates'!$H$5:$H$2004,1,'Estimates'!$E$5:$E$2004,'Status'!$E$7,'Estimates'!$F$5:$F$2004,"&lt;&gt;")=0,"",SUMIFS('Estimates'!$F$5:$F$2004,'Estimates'!$A$5:$A$2004,$A93,'Estimates'!$B$5:$B$2004,"PPS",'Estimates'!$D$5:$D$2004,'Status'!$G$6,'Estimates'!$H$5:$H$2004,1,'Estimates'!$E$5:$E$2004,'Status'!$E$7)))))</x:f>
      </x:c>
      <x:c r="M93" s="13" t="str">
        <x:f>IF(AND(ISNUMBER(J93),ISNUMBER(K93)),K93-J93,"")</x:f>
      </x:c>
      <x:c r="N93" s="13" t="str">
        <x:f>IF(AND(ISNUMBER(K93),ISNUMBER(L93)),L93-K93,"")</x:f>
      </x:c>
      <x:c r="O93" s="13" t="str">
        <x:f>IF(AND(COUNT(J93:L93)=3,COUNT('Status'!$E$6:$G$6)=3,'Status'!$E$6&gt;'Status'!$F$6,'Status'!$F$6&gt;'Status'!$G$6,'Status'!$G$6&gt;0),ABS(L93-(K93+(K93-J93)*('Status'!$G$6-'Status'!$F$6)/('Status'!$F$6-'Status'!$E$6))),"")</x:f>
      </x:c>
      <x:c r="P93" s="13" t="str">
        <x:f>IF(AND(COUNT(J93:L93)=3,COUNT('Status'!$E$6:$G$6)=3,'Status'!$E$6&gt;'Status'!$F$6,'Status'!$F$6&gt;'Status'!$G$6,'Status'!$G$6&gt;0),('Status'!$F$6*L93-'Status'!$G$6*K93)/('Status'!$F$6-'Status'!$G$6),"")</x:f>
      </x:c>
      <x:c r="Q93" s="20"/>
      <x:c r="R93" s="13" t="str">
        <x:f>IF(COUNTA($A93)=0,"",IF('Status'!$B$6="MPS 1",IF(ISNUMBER(C93),C93,""),IF('Status'!$B$6="MPS 2",IF(ISNUMBER(D93),D93,""),IF('Status'!$B$6="MPS 3",IF(ISNUMBER(E93),E93,""),IF('Status'!$B$6="MPS extrap",IF(ISNUMBER(I93),I93,""),IF('Status'!$B$6="PPS 1",IF(ISNUMBER(J93),J93,""),IF('Status'!$B$6="PPS 2",IF(ISNUMBER(K93),K93,""),IF('Status'!$B$6="PPS 3",IF(ISNUMBER(L93),L93,""),IF('Status'!$B$6="PPS extrap",IF(ISNUMBER(P93),P93,""),IF('Status'!$B$6="Calibrated",IF(ISNUMBER(Q93),Q93,""),""))))))))))</x:f>
      </x:c>
      <x:c r="S93" s="2" t="str">
        <x:f>IF(COUNTA(A93)=0,"",IF(COUNTIFS('Estimates'!$A$5:$A$2004,A93,'Estimates'!$B$5:$B$2004,"MPS",'Estimates'!$H$5:$H$2004,1)+COUNTIFS('Estimates'!$A$5:$A$2004,A93,'Estimates'!$B$5:$B$2004,"PPS",'Estimates'!$H$5:$H$2004,1)&gt;0,1,0))</x:f>
      </x:c>
      <x:c r="T93" s="2" t="str">
        <x:f>IF(COUNTA(A93)=0,"",IF(COUNTIFS($A$6:$A$165,A93)&gt;1,"Duplicate target",IF(COUNTIFS(C93:E93,"DUP")+COUNTIFS(J93:L93,"DUP")&gt;0,"Duplicate accepted run",IF(COUNTIFS('Estimates'!$A$5:$A$2004,A93,'Estimates'!$H$5:$H$2004,1)-COUNTIFS('Estimates'!$A$5:$A$2004,A93,'Estimates'!$H$5:$H$2004,1,'Estimates'!$F$5:$F$2004,"&lt;&gt;")&gt;0,"Accepted value missing",""))))</x:f>
      </x:c>
    </x:row>
    <x:row r="94">
      <x:c r="A94" s="21"/>
      <x:c r="B94" s="19"/>
      <x:c r="C94" s="13" t="str">
        <x:f>IF(OR(COUNTA($A94)=0,NOT(ISNUMBER('Status'!$E$5))),"",IF(COUNTIFS('Estimates'!$A$5:$A$2004,$A94,'Estimates'!$B$5:$B$2004,"MPS",'Estimates'!$C$5:$C$2004,'Status'!$E$5,'Estimates'!$H$5:$H$2004,1)=0,"",IF(COUNTIFS('Estimates'!$A$5:$A$2004,$A94,'Estimates'!$B$5:$B$2004,"MPS",'Estimates'!$C$5:$C$2004,'Status'!$E$5,'Estimates'!$H$5:$H$2004,1)&gt;1,"DUP",IF(COUNTIFS('Estimates'!$A$5:$A$2004,$A94,'Estimates'!$B$5:$B$2004,"MPS",'Estimates'!$C$5:$C$2004,'Status'!$E$5,'Estimates'!$H$5:$H$2004,1,'Estimates'!$F$5:$F$2004,"&lt;&gt;")=0,"",SUMIFS('Estimates'!$F$5:$F$2004,'Estimates'!$A$5:$A$2004,$A94,'Estimates'!$B$5:$B$2004,"MPS",'Estimates'!$C$5:$C$2004,'Status'!$E$5,'Estimates'!$H$5:$H$2004,1)))))</x:f>
      </x:c>
      <x:c r="D94" s="13" t="str">
        <x:f>IF(OR(COUNTA($A94)=0,NOT(ISNUMBER('Status'!$F$5))),"",IF(COUNTIFS('Estimates'!$A$5:$A$2004,$A94,'Estimates'!$B$5:$B$2004,"MPS",'Estimates'!$C$5:$C$2004,'Status'!$F$5,'Estimates'!$H$5:$H$2004,1)=0,"",IF(COUNTIFS('Estimates'!$A$5:$A$2004,$A94,'Estimates'!$B$5:$B$2004,"MPS",'Estimates'!$C$5:$C$2004,'Status'!$F$5,'Estimates'!$H$5:$H$2004,1)&gt;1,"DUP",IF(COUNTIFS('Estimates'!$A$5:$A$2004,$A94,'Estimates'!$B$5:$B$2004,"MPS",'Estimates'!$C$5:$C$2004,'Status'!$F$5,'Estimates'!$H$5:$H$2004,1,'Estimates'!$F$5:$F$2004,"&lt;&gt;")=0,"",SUMIFS('Estimates'!$F$5:$F$2004,'Estimates'!$A$5:$A$2004,$A94,'Estimates'!$B$5:$B$2004,"MPS",'Estimates'!$C$5:$C$2004,'Status'!$F$5,'Estimates'!$H$5:$H$2004,1)))))</x:f>
      </x:c>
      <x:c r="E94" s="13" t="str">
        <x:f>IF(OR(COUNTA($A94)=0,NOT(ISNUMBER('Status'!$G$5))),"",IF(COUNTIFS('Estimates'!$A$5:$A$2004,$A94,'Estimates'!$B$5:$B$2004,"MPS",'Estimates'!$C$5:$C$2004,'Status'!$G$5,'Estimates'!$H$5:$H$2004,1)=0,"",IF(COUNTIFS('Estimates'!$A$5:$A$2004,$A94,'Estimates'!$B$5:$B$2004,"MPS",'Estimates'!$C$5:$C$2004,'Status'!$G$5,'Estimates'!$H$5:$H$2004,1)&gt;1,"DUP",IF(COUNTIFS('Estimates'!$A$5:$A$2004,$A94,'Estimates'!$B$5:$B$2004,"MPS",'Estimates'!$C$5:$C$2004,'Status'!$G$5,'Estimates'!$H$5:$H$2004,1,'Estimates'!$F$5:$F$2004,"&lt;&gt;")=0,"",SUMIFS('Estimates'!$F$5:$F$2004,'Estimates'!$A$5:$A$2004,$A94,'Estimates'!$B$5:$B$2004,"MPS",'Estimates'!$C$5:$C$2004,'Status'!$G$5,'Estimates'!$H$5:$H$2004,1)))))</x:f>
      </x:c>
      <x:c r="F94" s="13" t="str">
        <x:f>IF(AND(ISNUMBER(C94),ISNUMBER(D94)),D94-C94,"")</x:f>
      </x:c>
      <x:c r="G94" s="13" t="str">
        <x:f>IF(AND(ISNUMBER(D94),ISNUMBER(E94)),E94-D94,"")</x:f>
      </x:c>
      <x:c r="H94" s="13" t="str">
        <x:f>IF(AND(COUNT(C94:E94)=3,COUNT('Status'!$E$5:$G$5)=3,'Status'!$E$5&gt;0,'Status'!$E$5&lt;'Status'!$F$5,'Status'!$F$5&lt;'Status'!$G$5),ABS(E94-(D94+(D94-C94)*((1/'Status'!$G$5)-(1/'Status'!$F$5))/((1/'Status'!$F$5)-(1/'Status'!$E$5)))),"")</x:f>
      </x:c>
      <x:c r="I94" s="13" t="str">
        <x:f>IF(AND(COUNT(C94:E94)=3,COUNT('Status'!$E$5:$G$5)=3,'Status'!$E$5&gt;0,'Status'!$E$5&lt;'Status'!$F$5,'Status'!$F$5&lt;'Status'!$G$5),((1/'Status'!$F$5)*E94-(1/'Status'!$G$5)*D94)/((1/'Status'!$F$5)-(1/'Status'!$G$5)),"")</x:f>
      </x:c>
      <x:c r="J94" s="13" t="str">
        <x:f>IF(OR(COUNTA($A94)=0,NOT(ISNUMBER('Status'!$E$6))),"",IF(COUNTIFS('Estimates'!$A$5:$A$2004,$A94,'Estimates'!$B$5:$B$2004,"PPS",'Estimates'!$D$5:$D$2004,'Status'!$E$6,'Estimates'!$H$5:$H$2004,1,'Estimates'!$E$5:$E$2004,'Status'!$E$7)=0,"",IF(COUNTIFS('Estimates'!$A$5:$A$2004,$A94,'Estimates'!$B$5:$B$2004,"PPS",'Estimates'!$D$5:$D$2004,'Status'!$E$6,'Estimates'!$H$5:$H$2004,1,'Estimates'!$E$5:$E$2004,'Status'!$E$7)&gt;1,"DUP",IF(COUNTIFS('Estimates'!$A$5:$A$2004,$A94,'Estimates'!$B$5:$B$2004,"PPS",'Estimates'!$D$5:$D$2004,'Status'!$E$6,'Estimates'!$H$5:$H$2004,1,'Estimates'!$E$5:$E$2004,'Status'!$E$7,'Estimates'!$F$5:$F$2004,"&lt;&gt;")=0,"",SUMIFS('Estimates'!$F$5:$F$2004,'Estimates'!$A$5:$A$2004,$A94,'Estimates'!$B$5:$B$2004,"PPS",'Estimates'!$D$5:$D$2004,'Status'!$E$6,'Estimates'!$H$5:$H$2004,1,'Estimates'!$E$5:$E$2004,'Status'!$E$7)))))</x:f>
      </x:c>
      <x:c r="K94" s="13" t="str">
        <x:f>IF(OR(COUNTA($A94)=0,NOT(ISNUMBER('Status'!$F$6))),"",IF(COUNTIFS('Estimates'!$A$5:$A$2004,$A94,'Estimates'!$B$5:$B$2004,"PPS",'Estimates'!$D$5:$D$2004,'Status'!$F$6,'Estimates'!$H$5:$H$2004,1,'Estimates'!$E$5:$E$2004,'Status'!$E$7)=0,"",IF(COUNTIFS('Estimates'!$A$5:$A$2004,$A94,'Estimates'!$B$5:$B$2004,"PPS",'Estimates'!$D$5:$D$2004,'Status'!$F$6,'Estimates'!$H$5:$H$2004,1,'Estimates'!$E$5:$E$2004,'Status'!$E$7)&gt;1,"DUP",IF(COUNTIFS('Estimates'!$A$5:$A$2004,$A94,'Estimates'!$B$5:$B$2004,"PPS",'Estimates'!$D$5:$D$2004,'Status'!$F$6,'Estimates'!$H$5:$H$2004,1,'Estimates'!$E$5:$E$2004,'Status'!$E$7,'Estimates'!$F$5:$F$2004,"&lt;&gt;")=0,"",SUMIFS('Estimates'!$F$5:$F$2004,'Estimates'!$A$5:$A$2004,$A94,'Estimates'!$B$5:$B$2004,"PPS",'Estimates'!$D$5:$D$2004,'Status'!$F$6,'Estimates'!$H$5:$H$2004,1,'Estimates'!$E$5:$E$2004,'Status'!$E$7)))))</x:f>
      </x:c>
      <x:c r="L94" s="13" t="str">
        <x:f>IF(OR(COUNTA($A94)=0,NOT(ISNUMBER('Status'!$G$6))),"",IF(COUNTIFS('Estimates'!$A$5:$A$2004,$A94,'Estimates'!$B$5:$B$2004,"PPS",'Estimates'!$D$5:$D$2004,'Status'!$G$6,'Estimates'!$H$5:$H$2004,1,'Estimates'!$E$5:$E$2004,'Status'!$E$7)=0,"",IF(COUNTIFS('Estimates'!$A$5:$A$2004,$A94,'Estimates'!$B$5:$B$2004,"PPS",'Estimates'!$D$5:$D$2004,'Status'!$G$6,'Estimates'!$H$5:$H$2004,1,'Estimates'!$E$5:$E$2004,'Status'!$E$7)&gt;1,"DUP",IF(COUNTIFS('Estimates'!$A$5:$A$2004,$A94,'Estimates'!$B$5:$B$2004,"PPS",'Estimates'!$D$5:$D$2004,'Status'!$G$6,'Estimates'!$H$5:$H$2004,1,'Estimates'!$E$5:$E$2004,'Status'!$E$7,'Estimates'!$F$5:$F$2004,"&lt;&gt;")=0,"",SUMIFS('Estimates'!$F$5:$F$2004,'Estimates'!$A$5:$A$2004,$A94,'Estimates'!$B$5:$B$2004,"PPS",'Estimates'!$D$5:$D$2004,'Status'!$G$6,'Estimates'!$H$5:$H$2004,1,'Estimates'!$E$5:$E$2004,'Status'!$E$7)))))</x:f>
      </x:c>
      <x:c r="M94" s="13" t="str">
        <x:f>IF(AND(ISNUMBER(J94),ISNUMBER(K94)),K94-J94,"")</x:f>
      </x:c>
      <x:c r="N94" s="13" t="str">
        <x:f>IF(AND(ISNUMBER(K94),ISNUMBER(L94)),L94-K94,"")</x:f>
      </x:c>
      <x:c r="O94" s="13" t="str">
        <x:f>IF(AND(COUNT(J94:L94)=3,COUNT('Status'!$E$6:$G$6)=3,'Status'!$E$6&gt;'Status'!$F$6,'Status'!$F$6&gt;'Status'!$G$6,'Status'!$G$6&gt;0),ABS(L94-(K94+(K94-J94)*('Status'!$G$6-'Status'!$F$6)/('Status'!$F$6-'Status'!$E$6))),"")</x:f>
      </x:c>
      <x:c r="P94" s="13" t="str">
        <x:f>IF(AND(COUNT(J94:L94)=3,COUNT('Status'!$E$6:$G$6)=3,'Status'!$E$6&gt;'Status'!$F$6,'Status'!$F$6&gt;'Status'!$G$6,'Status'!$G$6&gt;0),('Status'!$F$6*L94-'Status'!$G$6*K94)/('Status'!$F$6-'Status'!$G$6),"")</x:f>
      </x:c>
      <x:c r="Q94" s="20"/>
      <x:c r="R94" s="13" t="str">
        <x:f>IF(COUNTA($A94)=0,"",IF('Status'!$B$6="MPS 1",IF(ISNUMBER(C94),C94,""),IF('Status'!$B$6="MPS 2",IF(ISNUMBER(D94),D94,""),IF('Status'!$B$6="MPS 3",IF(ISNUMBER(E94),E94,""),IF('Status'!$B$6="MPS extrap",IF(ISNUMBER(I94),I94,""),IF('Status'!$B$6="PPS 1",IF(ISNUMBER(J94),J94,""),IF('Status'!$B$6="PPS 2",IF(ISNUMBER(K94),K94,""),IF('Status'!$B$6="PPS 3",IF(ISNUMBER(L94),L94,""),IF('Status'!$B$6="PPS extrap",IF(ISNUMBER(P94),P94,""),IF('Status'!$B$6="Calibrated",IF(ISNUMBER(Q94),Q94,""),""))))))))))</x:f>
      </x:c>
      <x:c r="S94" s="2" t="str">
        <x:f>IF(COUNTA(A94)=0,"",IF(COUNTIFS('Estimates'!$A$5:$A$2004,A94,'Estimates'!$B$5:$B$2004,"MPS",'Estimates'!$H$5:$H$2004,1)+COUNTIFS('Estimates'!$A$5:$A$2004,A94,'Estimates'!$B$5:$B$2004,"PPS",'Estimates'!$H$5:$H$2004,1)&gt;0,1,0))</x:f>
      </x:c>
      <x:c r="T94" s="2" t="str">
        <x:f>IF(COUNTA(A94)=0,"",IF(COUNTIFS($A$6:$A$165,A94)&gt;1,"Duplicate target",IF(COUNTIFS(C94:E94,"DUP")+COUNTIFS(J94:L94,"DUP")&gt;0,"Duplicate accepted run",IF(COUNTIFS('Estimates'!$A$5:$A$2004,A94,'Estimates'!$H$5:$H$2004,1)-COUNTIFS('Estimates'!$A$5:$A$2004,A94,'Estimates'!$H$5:$H$2004,1,'Estimates'!$F$5:$F$2004,"&lt;&gt;")&gt;0,"Accepted value missing",""))))</x:f>
      </x:c>
    </x:row>
    <x:row r="95">
      <x:c r="A95" s="21"/>
      <x:c r="B95" s="19"/>
      <x:c r="C95" s="13" t="str">
        <x:f>IF(OR(COUNTA($A95)=0,NOT(ISNUMBER('Status'!$E$5))),"",IF(COUNTIFS('Estimates'!$A$5:$A$2004,$A95,'Estimates'!$B$5:$B$2004,"MPS",'Estimates'!$C$5:$C$2004,'Status'!$E$5,'Estimates'!$H$5:$H$2004,1)=0,"",IF(COUNTIFS('Estimates'!$A$5:$A$2004,$A95,'Estimates'!$B$5:$B$2004,"MPS",'Estimates'!$C$5:$C$2004,'Status'!$E$5,'Estimates'!$H$5:$H$2004,1)&gt;1,"DUP",IF(COUNTIFS('Estimates'!$A$5:$A$2004,$A95,'Estimates'!$B$5:$B$2004,"MPS",'Estimates'!$C$5:$C$2004,'Status'!$E$5,'Estimates'!$H$5:$H$2004,1,'Estimates'!$F$5:$F$2004,"&lt;&gt;")=0,"",SUMIFS('Estimates'!$F$5:$F$2004,'Estimates'!$A$5:$A$2004,$A95,'Estimates'!$B$5:$B$2004,"MPS",'Estimates'!$C$5:$C$2004,'Status'!$E$5,'Estimates'!$H$5:$H$2004,1)))))</x:f>
      </x:c>
      <x:c r="D95" s="13" t="str">
        <x:f>IF(OR(COUNTA($A95)=0,NOT(ISNUMBER('Status'!$F$5))),"",IF(COUNTIFS('Estimates'!$A$5:$A$2004,$A95,'Estimates'!$B$5:$B$2004,"MPS",'Estimates'!$C$5:$C$2004,'Status'!$F$5,'Estimates'!$H$5:$H$2004,1)=0,"",IF(COUNTIFS('Estimates'!$A$5:$A$2004,$A95,'Estimates'!$B$5:$B$2004,"MPS",'Estimates'!$C$5:$C$2004,'Status'!$F$5,'Estimates'!$H$5:$H$2004,1)&gt;1,"DUP",IF(COUNTIFS('Estimates'!$A$5:$A$2004,$A95,'Estimates'!$B$5:$B$2004,"MPS",'Estimates'!$C$5:$C$2004,'Status'!$F$5,'Estimates'!$H$5:$H$2004,1,'Estimates'!$F$5:$F$2004,"&lt;&gt;")=0,"",SUMIFS('Estimates'!$F$5:$F$2004,'Estimates'!$A$5:$A$2004,$A95,'Estimates'!$B$5:$B$2004,"MPS",'Estimates'!$C$5:$C$2004,'Status'!$F$5,'Estimates'!$H$5:$H$2004,1)))))</x:f>
      </x:c>
      <x:c r="E95" s="13" t="str">
        <x:f>IF(OR(COUNTA($A95)=0,NOT(ISNUMBER('Status'!$G$5))),"",IF(COUNTIFS('Estimates'!$A$5:$A$2004,$A95,'Estimates'!$B$5:$B$2004,"MPS",'Estimates'!$C$5:$C$2004,'Status'!$G$5,'Estimates'!$H$5:$H$2004,1)=0,"",IF(COUNTIFS('Estimates'!$A$5:$A$2004,$A95,'Estimates'!$B$5:$B$2004,"MPS",'Estimates'!$C$5:$C$2004,'Status'!$G$5,'Estimates'!$H$5:$H$2004,1)&gt;1,"DUP",IF(COUNTIFS('Estimates'!$A$5:$A$2004,$A95,'Estimates'!$B$5:$B$2004,"MPS",'Estimates'!$C$5:$C$2004,'Status'!$G$5,'Estimates'!$H$5:$H$2004,1,'Estimates'!$F$5:$F$2004,"&lt;&gt;")=0,"",SUMIFS('Estimates'!$F$5:$F$2004,'Estimates'!$A$5:$A$2004,$A95,'Estimates'!$B$5:$B$2004,"MPS",'Estimates'!$C$5:$C$2004,'Status'!$G$5,'Estimates'!$H$5:$H$2004,1)))))</x:f>
      </x:c>
      <x:c r="F95" s="13" t="str">
        <x:f>IF(AND(ISNUMBER(C95),ISNUMBER(D95)),D95-C95,"")</x:f>
      </x:c>
      <x:c r="G95" s="13" t="str">
        <x:f>IF(AND(ISNUMBER(D95),ISNUMBER(E95)),E95-D95,"")</x:f>
      </x:c>
      <x:c r="H95" s="13" t="str">
        <x:f>IF(AND(COUNT(C95:E95)=3,COUNT('Status'!$E$5:$G$5)=3,'Status'!$E$5&gt;0,'Status'!$E$5&lt;'Status'!$F$5,'Status'!$F$5&lt;'Status'!$G$5),ABS(E95-(D95+(D95-C95)*((1/'Status'!$G$5)-(1/'Status'!$F$5))/((1/'Status'!$F$5)-(1/'Status'!$E$5)))),"")</x:f>
      </x:c>
      <x:c r="I95" s="13" t="str">
        <x:f>IF(AND(COUNT(C95:E95)=3,COUNT('Status'!$E$5:$G$5)=3,'Status'!$E$5&gt;0,'Status'!$E$5&lt;'Status'!$F$5,'Status'!$F$5&lt;'Status'!$G$5),((1/'Status'!$F$5)*E95-(1/'Status'!$G$5)*D95)/((1/'Status'!$F$5)-(1/'Status'!$G$5)),"")</x:f>
      </x:c>
      <x:c r="J95" s="13" t="str">
        <x:f>IF(OR(COUNTA($A95)=0,NOT(ISNUMBER('Status'!$E$6))),"",IF(COUNTIFS('Estimates'!$A$5:$A$2004,$A95,'Estimates'!$B$5:$B$2004,"PPS",'Estimates'!$D$5:$D$2004,'Status'!$E$6,'Estimates'!$H$5:$H$2004,1,'Estimates'!$E$5:$E$2004,'Status'!$E$7)=0,"",IF(COUNTIFS('Estimates'!$A$5:$A$2004,$A95,'Estimates'!$B$5:$B$2004,"PPS",'Estimates'!$D$5:$D$2004,'Status'!$E$6,'Estimates'!$H$5:$H$2004,1,'Estimates'!$E$5:$E$2004,'Status'!$E$7)&gt;1,"DUP",IF(COUNTIFS('Estimates'!$A$5:$A$2004,$A95,'Estimates'!$B$5:$B$2004,"PPS",'Estimates'!$D$5:$D$2004,'Status'!$E$6,'Estimates'!$H$5:$H$2004,1,'Estimates'!$E$5:$E$2004,'Status'!$E$7,'Estimates'!$F$5:$F$2004,"&lt;&gt;")=0,"",SUMIFS('Estimates'!$F$5:$F$2004,'Estimates'!$A$5:$A$2004,$A95,'Estimates'!$B$5:$B$2004,"PPS",'Estimates'!$D$5:$D$2004,'Status'!$E$6,'Estimates'!$H$5:$H$2004,1,'Estimates'!$E$5:$E$2004,'Status'!$E$7)))))</x:f>
      </x:c>
      <x:c r="K95" s="13" t="str">
        <x:f>IF(OR(COUNTA($A95)=0,NOT(ISNUMBER('Status'!$F$6))),"",IF(COUNTIFS('Estimates'!$A$5:$A$2004,$A95,'Estimates'!$B$5:$B$2004,"PPS",'Estimates'!$D$5:$D$2004,'Status'!$F$6,'Estimates'!$H$5:$H$2004,1,'Estimates'!$E$5:$E$2004,'Status'!$E$7)=0,"",IF(COUNTIFS('Estimates'!$A$5:$A$2004,$A95,'Estimates'!$B$5:$B$2004,"PPS",'Estimates'!$D$5:$D$2004,'Status'!$F$6,'Estimates'!$H$5:$H$2004,1,'Estimates'!$E$5:$E$2004,'Status'!$E$7)&gt;1,"DUP",IF(COUNTIFS('Estimates'!$A$5:$A$2004,$A95,'Estimates'!$B$5:$B$2004,"PPS",'Estimates'!$D$5:$D$2004,'Status'!$F$6,'Estimates'!$H$5:$H$2004,1,'Estimates'!$E$5:$E$2004,'Status'!$E$7,'Estimates'!$F$5:$F$2004,"&lt;&gt;")=0,"",SUMIFS('Estimates'!$F$5:$F$2004,'Estimates'!$A$5:$A$2004,$A95,'Estimates'!$B$5:$B$2004,"PPS",'Estimates'!$D$5:$D$2004,'Status'!$F$6,'Estimates'!$H$5:$H$2004,1,'Estimates'!$E$5:$E$2004,'Status'!$E$7)))))</x:f>
      </x:c>
      <x:c r="L95" s="13" t="str">
        <x:f>IF(OR(COUNTA($A95)=0,NOT(ISNUMBER('Status'!$G$6))),"",IF(COUNTIFS('Estimates'!$A$5:$A$2004,$A95,'Estimates'!$B$5:$B$2004,"PPS",'Estimates'!$D$5:$D$2004,'Status'!$G$6,'Estimates'!$H$5:$H$2004,1,'Estimates'!$E$5:$E$2004,'Status'!$E$7)=0,"",IF(COUNTIFS('Estimates'!$A$5:$A$2004,$A95,'Estimates'!$B$5:$B$2004,"PPS",'Estimates'!$D$5:$D$2004,'Status'!$G$6,'Estimates'!$H$5:$H$2004,1,'Estimates'!$E$5:$E$2004,'Status'!$E$7)&gt;1,"DUP",IF(COUNTIFS('Estimates'!$A$5:$A$2004,$A95,'Estimates'!$B$5:$B$2004,"PPS",'Estimates'!$D$5:$D$2004,'Status'!$G$6,'Estimates'!$H$5:$H$2004,1,'Estimates'!$E$5:$E$2004,'Status'!$E$7,'Estimates'!$F$5:$F$2004,"&lt;&gt;")=0,"",SUMIFS('Estimates'!$F$5:$F$2004,'Estimates'!$A$5:$A$2004,$A95,'Estimates'!$B$5:$B$2004,"PPS",'Estimates'!$D$5:$D$2004,'Status'!$G$6,'Estimates'!$H$5:$H$2004,1,'Estimates'!$E$5:$E$2004,'Status'!$E$7)))))</x:f>
      </x:c>
      <x:c r="M95" s="13" t="str">
        <x:f>IF(AND(ISNUMBER(J95),ISNUMBER(K95)),K95-J95,"")</x:f>
      </x:c>
      <x:c r="N95" s="13" t="str">
        <x:f>IF(AND(ISNUMBER(K95),ISNUMBER(L95)),L95-K95,"")</x:f>
      </x:c>
      <x:c r="O95" s="13" t="str">
        <x:f>IF(AND(COUNT(J95:L95)=3,COUNT('Status'!$E$6:$G$6)=3,'Status'!$E$6&gt;'Status'!$F$6,'Status'!$F$6&gt;'Status'!$G$6,'Status'!$G$6&gt;0),ABS(L95-(K95+(K95-J95)*('Status'!$G$6-'Status'!$F$6)/('Status'!$F$6-'Status'!$E$6))),"")</x:f>
      </x:c>
      <x:c r="P95" s="13" t="str">
        <x:f>IF(AND(COUNT(J95:L95)=3,COUNT('Status'!$E$6:$G$6)=3,'Status'!$E$6&gt;'Status'!$F$6,'Status'!$F$6&gt;'Status'!$G$6,'Status'!$G$6&gt;0),('Status'!$F$6*L95-'Status'!$G$6*K95)/('Status'!$F$6-'Status'!$G$6),"")</x:f>
      </x:c>
      <x:c r="Q95" s="20"/>
      <x:c r="R95" s="13" t="str">
        <x:f>IF(COUNTA($A95)=0,"",IF('Status'!$B$6="MPS 1",IF(ISNUMBER(C95),C95,""),IF('Status'!$B$6="MPS 2",IF(ISNUMBER(D95),D95,""),IF('Status'!$B$6="MPS 3",IF(ISNUMBER(E95),E95,""),IF('Status'!$B$6="MPS extrap",IF(ISNUMBER(I95),I95,""),IF('Status'!$B$6="PPS 1",IF(ISNUMBER(J95),J95,""),IF('Status'!$B$6="PPS 2",IF(ISNUMBER(K95),K95,""),IF('Status'!$B$6="PPS 3",IF(ISNUMBER(L95),L95,""),IF('Status'!$B$6="PPS extrap",IF(ISNUMBER(P95),P95,""),IF('Status'!$B$6="Calibrated",IF(ISNUMBER(Q95),Q95,""),""))))))))))</x:f>
      </x:c>
      <x:c r="S95" s="2" t="str">
        <x:f>IF(COUNTA(A95)=0,"",IF(COUNTIFS('Estimates'!$A$5:$A$2004,A95,'Estimates'!$B$5:$B$2004,"MPS",'Estimates'!$H$5:$H$2004,1)+COUNTIFS('Estimates'!$A$5:$A$2004,A95,'Estimates'!$B$5:$B$2004,"PPS",'Estimates'!$H$5:$H$2004,1)&gt;0,1,0))</x:f>
      </x:c>
      <x:c r="T95" s="2" t="str">
        <x:f>IF(COUNTA(A95)=0,"",IF(COUNTIFS($A$6:$A$165,A95)&gt;1,"Duplicate target",IF(COUNTIFS(C95:E95,"DUP")+COUNTIFS(J95:L95,"DUP")&gt;0,"Duplicate accepted run",IF(COUNTIFS('Estimates'!$A$5:$A$2004,A95,'Estimates'!$H$5:$H$2004,1)-COUNTIFS('Estimates'!$A$5:$A$2004,A95,'Estimates'!$H$5:$H$2004,1,'Estimates'!$F$5:$F$2004,"&lt;&gt;")&gt;0,"Accepted value missing",""))))</x:f>
      </x:c>
    </x:row>
    <x:row r="96">
      <x:c r="A96" s="21"/>
      <x:c r="B96" s="19"/>
      <x:c r="C96" s="13" t="str">
        <x:f>IF(OR(COUNTA($A96)=0,NOT(ISNUMBER('Status'!$E$5))),"",IF(COUNTIFS('Estimates'!$A$5:$A$2004,$A96,'Estimates'!$B$5:$B$2004,"MPS",'Estimates'!$C$5:$C$2004,'Status'!$E$5,'Estimates'!$H$5:$H$2004,1)=0,"",IF(COUNTIFS('Estimates'!$A$5:$A$2004,$A96,'Estimates'!$B$5:$B$2004,"MPS",'Estimates'!$C$5:$C$2004,'Status'!$E$5,'Estimates'!$H$5:$H$2004,1)&gt;1,"DUP",IF(COUNTIFS('Estimates'!$A$5:$A$2004,$A96,'Estimates'!$B$5:$B$2004,"MPS",'Estimates'!$C$5:$C$2004,'Status'!$E$5,'Estimates'!$H$5:$H$2004,1,'Estimates'!$F$5:$F$2004,"&lt;&gt;")=0,"",SUMIFS('Estimates'!$F$5:$F$2004,'Estimates'!$A$5:$A$2004,$A96,'Estimates'!$B$5:$B$2004,"MPS",'Estimates'!$C$5:$C$2004,'Status'!$E$5,'Estimates'!$H$5:$H$2004,1)))))</x:f>
      </x:c>
      <x:c r="D96" s="13" t="str">
        <x:f>IF(OR(COUNTA($A96)=0,NOT(ISNUMBER('Status'!$F$5))),"",IF(COUNTIFS('Estimates'!$A$5:$A$2004,$A96,'Estimates'!$B$5:$B$2004,"MPS",'Estimates'!$C$5:$C$2004,'Status'!$F$5,'Estimates'!$H$5:$H$2004,1)=0,"",IF(COUNTIFS('Estimates'!$A$5:$A$2004,$A96,'Estimates'!$B$5:$B$2004,"MPS",'Estimates'!$C$5:$C$2004,'Status'!$F$5,'Estimates'!$H$5:$H$2004,1)&gt;1,"DUP",IF(COUNTIFS('Estimates'!$A$5:$A$2004,$A96,'Estimates'!$B$5:$B$2004,"MPS",'Estimates'!$C$5:$C$2004,'Status'!$F$5,'Estimates'!$H$5:$H$2004,1,'Estimates'!$F$5:$F$2004,"&lt;&gt;")=0,"",SUMIFS('Estimates'!$F$5:$F$2004,'Estimates'!$A$5:$A$2004,$A96,'Estimates'!$B$5:$B$2004,"MPS",'Estimates'!$C$5:$C$2004,'Status'!$F$5,'Estimates'!$H$5:$H$2004,1)))))</x:f>
      </x:c>
      <x:c r="E96" s="13" t="str">
        <x:f>IF(OR(COUNTA($A96)=0,NOT(ISNUMBER('Status'!$G$5))),"",IF(COUNTIFS('Estimates'!$A$5:$A$2004,$A96,'Estimates'!$B$5:$B$2004,"MPS",'Estimates'!$C$5:$C$2004,'Status'!$G$5,'Estimates'!$H$5:$H$2004,1)=0,"",IF(COUNTIFS('Estimates'!$A$5:$A$2004,$A96,'Estimates'!$B$5:$B$2004,"MPS",'Estimates'!$C$5:$C$2004,'Status'!$G$5,'Estimates'!$H$5:$H$2004,1)&gt;1,"DUP",IF(COUNTIFS('Estimates'!$A$5:$A$2004,$A96,'Estimates'!$B$5:$B$2004,"MPS",'Estimates'!$C$5:$C$2004,'Status'!$G$5,'Estimates'!$H$5:$H$2004,1,'Estimates'!$F$5:$F$2004,"&lt;&gt;")=0,"",SUMIFS('Estimates'!$F$5:$F$2004,'Estimates'!$A$5:$A$2004,$A96,'Estimates'!$B$5:$B$2004,"MPS",'Estimates'!$C$5:$C$2004,'Status'!$G$5,'Estimates'!$H$5:$H$2004,1)))))</x:f>
      </x:c>
      <x:c r="F96" s="13" t="str">
        <x:f>IF(AND(ISNUMBER(C96),ISNUMBER(D96)),D96-C96,"")</x:f>
      </x:c>
      <x:c r="G96" s="13" t="str">
        <x:f>IF(AND(ISNUMBER(D96),ISNUMBER(E96)),E96-D96,"")</x:f>
      </x:c>
      <x:c r="H96" s="13" t="str">
        <x:f>IF(AND(COUNT(C96:E96)=3,COUNT('Status'!$E$5:$G$5)=3,'Status'!$E$5&gt;0,'Status'!$E$5&lt;'Status'!$F$5,'Status'!$F$5&lt;'Status'!$G$5),ABS(E96-(D96+(D96-C96)*((1/'Status'!$G$5)-(1/'Status'!$F$5))/((1/'Status'!$F$5)-(1/'Status'!$E$5)))),"")</x:f>
      </x:c>
      <x:c r="I96" s="13" t="str">
        <x:f>IF(AND(COUNT(C96:E96)=3,COUNT('Status'!$E$5:$G$5)=3,'Status'!$E$5&gt;0,'Status'!$E$5&lt;'Status'!$F$5,'Status'!$F$5&lt;'Status'!$G$5),((1/'Status'!$F$5)*E96-(1/'Status'!$G$5)*D96)/((1/'Status'!$F$5)-(1/'Status'!$G$5)),"")</x:f>
      </x:c>
      <x:c r="J96" s="13" t="str">
        <x:f>IF(OR(COUNTA($A96)=0,NOT(ISNUMBER('Status'!$E$6))),"",IF(COUNTIFS('Estimates'!$A$5:$A$2004,$A96,'Estimates'!$B$5:$B$2004,"PPS",'Estimates'!$D$5:$D$2004,'Status'!$E$6,'Estimates'!$H$5:$H$2004,1,'Estimates'!$E$5:$E$2004,'Status'!$E$7)=0,"",IF(COUNTIFS('Estimates'!$A$5:$A$2004,$A96,'Estimates'!$B$5:$B$2004,"PPS",'Estimates'!$D$5:$D$2004,'Status'!$E$6,'Estimates'!$H$5:$H$2004,1,'Estimates'!$E$5:$E$2004,'Status'!$E$7)&gt;1,"DUP",IF(COUNTIFS('Estimates'!$A$5:$A$2004,$A96,'Estimates'!$B$5:$B$2004,"PPS",'Estimates'!$D$5:$D$2004,'Status'!$E$6,'Estimates'!$H$5:$H$2004,1,'Estimates'!$E$5:$E$2004,'Status'!$E$7,'Estimates'!$F$5:$F$2004,"&lt;&gt;")=0,"",SUMIFS('Estimates'!$F$5:$F$2004,'Estimates'!$A$5:$A$2004,$A96,'Estimates'!$B$5:$B$2004,"PPS",'Estimates'!$D$5:$D$2004,'Status'!$E$6,'Estimates'!$H$5:$H$2004,1,'Estimates'!$E$5:$E$2004,'Status'!$E$7)))))</x:f>
      </x:c>
      <x:c r="K96" s="13" t="str">
        <x:f>IF(OR(COUNTA($A96)=0,NOT(ISNUMBER('Status'!$F$6))),"",IF(COUNTIFS('Estimates'!$A$5:$A$2004,$A96,'Estimates'!$B$5:$B$2004,"PPS",'Estimates'!$D$5:$D$2004,'Status'!$F$6,'Estimates'!$H$5:$H$2004,1,'Estimates'!$E$5:$E$2004,'Status'!$E$7)=0,"",IF(COUNTIFS('Estimates'!$A$5:$A$2004,$A96,'Estimates'!$B$5:$B$2004,"PPS",'Estimates'!$D$5:$D$2004,'Status'!$F$6,'Estimates'!$H$5:$H$2004,1,'Estimates'!$E$5:$E$2004,'Status'!$E$7)&gt;1,"DUP",IF(COUNTIFS('Estimates'!$A$5:$A$2004,$A96,'Estimates'!$B$5:$B$2004,"PPS",'Estimates'!$D$5:$D$2004,'Status'!$F$6,'Estimates'!$H$5:$H$2004,1,'Estimates'!$E$5:$E$2004,'Status'!$E$7,'Estimates'!$F$5:$F$2004,"&lt;&gt;")=0,"",SUMIFS('Estimates'!$F$5:$F$2004,'Estimates'!$A$5:$A$2004,$A96,'Estimates'!$B$5:$B$2004,"PPS",'Estimates'!$D$5:$D$2004,'Status'!$F$6,'Estimates'!$H$5:$H$2004,1,'Estimates'!$E$5:$E$2004,'Status'!$E$7)))))</x:f>
      </x:c>
      <x:c r="L96" s="13" t="str">
        <x:f>IF(OR(COUNTA($A96)=0,NOT(ISNUMBER('Status'!$G$6))),"",IF(COUNTIFS('Estimates'!$A$5:$A$2004,$A96,'Estimates'!$B$5:$B$2004,"PPS",'Estimates'!$D$5:$D$2004,'Status'!$G$6,'Estimates'!$H$5:$H$2004,1,'Estimates'!$E$5:$E$2004,'Status'!$E$7)=0,"",IF(COUNTIFS('Estimates'!$A$5:$A$2004,$A96,'Estimates'!$B$5:$B$2004,"PPS",'Estimates'!$D$5:$D$2004,'Status'!$G$6,'Estimates'!$H$5:$H$2004,1,'Estimates'!$E$5:$E$2004,'Status'!$E$7)&gt;1,"DUP",IF(COUNTIFS('Estimates'!$A$5:$A$2004,$A96,'Estimates'!$B$5:$B$2004,"PPS",'Estimates'!$D$5:$D$2004,'Status'!$G$6,'Estimates'!$H$5:$H$2004,1,'Estimates'!$E$5:$E$2004,'Status'!$E$7,'Estimates'!$F$5:$F$2004,"&lt;&gt;")=0,"",SUMIFS('Estimates'!$F$5:$F$2004,'Estimates'!$A$5:$A$2004,$A96,'Estimates'!$B$5:$B$2004,"PPS",'Estimates'!$D$5:$D$2004,'Status'!$G$6,'Estimates'!$H$5:$H$2004,1,'Estimates'!$E$5:$E$2004,'Status'!$E$7)))))</x:f>
      </x:c>
      <x:c r="M96" s="13" t="str">
        <x:f>IF(AND(ISNUMBER(J96),ISNUMBER(K96)),K96-J96,"")</x:f>
      </x:c>
      <x:c r="N96" s="13" t="str">
        <x:f>IF(AND(ISNUMBER(K96),ISNUMBER(L96)),L96-K96,"")</x:f>
      </x:c>
      <x:c r="O96" s="13" t="str">
        <x:f>IF(AND(COUNT(J96:L96)=3,COUNT('Status'!$E$6:$G$6)=3,'Status'!$E$6&gt;'Status'!$F$6,'Status'!$F$6&gt;'Status'!$G$6,'Status'!$G$6&gt;0),ABS(L96-(K96+(K96-J96)*('Status'!$G$6-'Status'!$F$6)/('Status'!$F$6-'Status'!$E$6))),"")</x:f>
      </x:c>
      <x:c r="P96" s="13" t="str">
        <x:f>IF(AND(COUNT(J96:L96)=3,COUNT('Status'!$E$6:$G$6)=3,'Status'!$E$6&gt;'Status'!$F$6,'Status'!$F$6&gt;'Status'!$G$6,'Status'!$G$6&gt;0),('Status'!$F$6*L96-'Status'!$G$6*K96)/('Status'!$F$6-'Status'!$G$6),"")</x:f>
      </x:c>
      <x:c r="Q96" s="20"/>
      <x:c r="R96" s="13" t="str">
        <x:f>IF(COUNTA($A96)=0,"",IF('Status'!$B$6="MPS 1",IF(ISNUMBER(C96),C96,""),IF('Status'!$B$6="MPS 2",IF(ISNUMBER(D96),D96,""),IF('Status'!$B$6="MPS 3",IF(ISNUMBER(E96),E96,""),IF('Status'!$B$6="MPS extrap",IF(ISNUMBER(I96),I96,""),IF('Status'!$B$6="PPS 1",IF(ISNUMBER(J96),J96,""),IF('Status'!$B$6="PPS 2",IF(ISNUMBER(K96),K96,""),IF('Status'!$B$6="PPS 3",IF(ISNUMBER(L96),L96,""),IF('Status'!$B$6="PPS extrap",IF(ISNUMBER(P96),P96,""),IF('Status'!$B$6="Calibrated",IF(ISNUMBER(Q96),Q96,""),""))))))))))</x:f>
      </x:c>
      <x:c r="S96" s="2" t="str">
        <x:f>IF(COUNTA(A96)=0,"",IF(COUNTIFS('Estimates'!$A$5:$A$2004,A96,'Estimates'!$B$5:$B$2004,"MPS",'Estimates'!$H$5:$H$2004,1)+COUNTIFS('Estimates'!$A$5:$A$2004,A96,'Estimates'!$B$5:$B$2004,"PPS",'Estimates'!$H$5:$H$2004,1)&gt;0,1,0))</x:f>
      </x:c>
      <x:c r="T96" s="2" t="str">
        <x:f>IF(COUNTA(A96)=0,"",IF(COUNTIFS($A$6:$A$165,A96)&gt;1,"Duplicate target",IF(COUNTIFS(C96:E96,"DUP")+COUNTIFS(J96:L96,"DUP")&gt;0,"Duplicate accepted run",IF(COUNTIFS('Estimates'!$A$5:$A$2004,A96,'Estimates'!$H$5:$H$2004,1)-COUNTIFS('Estimates'!$A$5:$A$2004,A96,'Estimates'!$H$5:$H$2004,1,'Estimates'!$F$5:$F$2004,"&lt;&gt;")&gt;0,"Accepted value missing",""))))</x:f>
      </x:c>
    </x:row>
    <x:row r="97">
      <x:c r="A97" s="21"/>
      <x:c r="B97" s="19"/>
      <x:c r="C97" s="13" t="str">
        <x:f>IF(OR(COUNTA($A97)=0,NOT(ISNUMBER('Status'!$E$5))),"",IF(COUNTIFS('Estimates'!$A$5:$A$2004,$A97,'Estimates'!$B$5:$B$2004,"MPS",'Estimates'!$C$5:$C$2004,'Status'!$E$5,'Estimates'!$H$5:$H$2004,1)=0,"",IF(COUNTIFS('Estimates'!$A$5:$A$2004,$A97,'Estimates'!$B$5:$B$2004,"MPS",'Estimates'!$C$5:$C$2004,'Status'!$E$5,'Estimates'!$H$5:$H$2004,1)&gt;1,"DUP",IF(COUNTIFS('Estimates'!$A$5:$A$2004,$A97,'Estimates'!$B$5:$B$2004,"MPS",'Estimates'!$C$5:$C$2004,'Status'!$E$5,'Estimates'!$H$5:$H$2004,1,'Estimates'!$F$5:$F$2004,"&lt;&gt;")=0,"",SUMIFS('Estimates'!$F$5:$F$2004,'Estimates'!$A$5:$A$2004,$A97,'Estimates'!$B$5:$B$2004,"MPS",'Estimates'!$C$5:$C$2004,'Status'!$E$5,'Estimates'!$H$5:$H$2004,1)))))</x:f>
      </x:c>
      <x:c r="D97" s="13" t="str">
        <x:f>IF(OR(COUNTA($A97)=0,NOT(ISNUMBER('Status'!$F$5))),"",IF(COUNTIFS('Estimates'!$A$5:$A$2004,$A97,'Estimates'!$B$5:$B$2004,"MPS",'Estimates'!$C$5:$C$2004,'Status'!$F$5,'Estimates'!$H$5:$H$2004,1)=0,"",IF(COUNTIFS('Estimates'!$A$5:$A$2004,$A97,'Estimates'!$B$5:$B$2004,"MPS",'Estimates'!$C$5:$C$2004,'Status'!$F$5,'Estimates'!$H$5:$H$2004,1)&gt;1,"DUP",IF(COUNTIFS('Estimates'!$A$5:$A$2004,$A97,'Estimates'!$B$5:$B$2004,"MPS",'Estimates'!$C$5:$C$2004,'Status'!$F$5,'Estimates'!$H$5:$H$2004,1,'Estimates'!$F$5:$F$2004,"&lt;&gt;")=0,"",SUMIFS('Estimates'!$F$5:$F$2004,'Estimates'!$A$5:$A$2004,$A97,'Estimates'!$B$5:$B$2004,"MPS",'Estimates'!$C$5:$C$2004,'Status'!$F$5,'Estimates'!$H$5:$H$2004,1)))))</x:f>
      </x:c>
      <x:c r="E97" s="13" t="str">
        <x:f>IF(OR(COUNTA($A97)=0,NOT(ISNUMBER('Status'!$G$5))),"",IF(COUNTIFS('Estimates'!$A$5:$A$2004,$A97,'Estimates'!$B$5:$B$2004,"MPS",'Estimates'!$C$5:$C$2004,'Status'!$G$5,'Estimates'!$H$5:$H$2004,1)=0,"",IF(COUNTIFS('Estimates'!$A$5:$A$2004,$A97,'Estimates'!$B$5:$B$2004,"MPS",'Estimates'!$C$5:$C$2004,'Status'!$G$5,'Estimates'!$H$5:$H$2004,1)&gt;1,"DUP",IF(COUNTIFS('Estimates'!$A$5:$A$2004,$A97,'Estimates'!$B$5:$B$2004,"MPS",'Estimates'!$C$5:$C$2004,'Status'!$G$5,'Estimates'!$H$5:$H$2004,1,'Estimates'!$F$5:$F$2004,"&lt;&gt;")=0,"",SUMIFS('Estimates'!$F$5:$F$2004,'Estimates'!$A$5:$A$2004,$A97,'Estimates'!$B$5:$B$2004,"MPS",'Estimates'!$C$5:$C$2004,'Status'!$G$5,'Estimates'!$H$5:$H$2004,1)))))</x:f>
      </x:c>
      <x:c r="F97" s="13" t="str">
        <x:f>IF(AND(ISNUMBER(C97),ISNUMBER(D97)),D97-C97,"")</x:f>
      </x:c>
      <x:c r="G97" s="13" t="str">
        <x:f>IF(AND(ISNUMBER(D97),ISNUMBER(E97)),E97-D97,"")</x:f>
      </x:c>
      <x:c r="H97" s="13" t="str">
        <x:f>IF(AND(COUNT(C97:E97)=3,COUNT('Status'!$E$5:$G$5)=3,'Status'!$E$5&gt;0,'Status'!$E$5&lt;'Status'!$F$5,'Status'!$F$5&lt;'Status'!$G$5),ABS(E97-(D97+(D97-C97)*((1/'Status'!$G$5)-(1/'Status'!$F$5))/((1/'Status'!$F$5)-(1/'Status'!$E$5)))),"")</x:f>
      </x:c>
      <x:c r="I97" s="13" t="str">
        <x:f>IF(AND(COUNT(C97:E97)=3,COUNT('Status'!$E$5:$G$5)=3,'Status'!$E$5&gt;0,'Status'!$E$5&lt;'Status'!$F$5,'Status'!$F$5&lt;'Status'!$G$5),((1/'Status'!$F$5)*E97-(1/'Status'!$G$5)*D97)/((1/'Status'!$F$5)-(1/'Status'!$G$5)),"")</x:f>
      </x:c>
      <x:c r="J97" s="13" t="str">
        <x:f>IF(OR(COUNTA($A97)=0,NOT(ISNUMBER('Status'!$E$6))),"",IF(COUNTIFS('Estimates'!$A$5:$A$2004,$A97,'Estimates'!$B$5:$B$2004,"PPS",'Estimates'!$D$5:$D$2004,'Status'!$E$6,'Estimates'!$H$5:$H$2004,1,'Estimates'!$E$5:$E$2004,'Status'!$E$7)=0,"",IF(COUNTIFS('Estimates'!$A$5:$A$2004,$A97,'Estimates'!$B$5:$B$2004,"PPS",'Estimates'!$D$5:$D$2004,'Status'!$E$6,'Estimates'!$H$5:$H$2004,1,'Estimates'!$E$5:$E$2004,'Status'!$E$7)&gt;1,"DUP",IF(COUNTIFS('Estimates'!$A$5:$A$2004,$A97,'Estimates'!$B$5:$B$2004,"PPS",'Estimates'!$D$5:$D$2004,'Status'!$E$6,'Estimates'!$H$5:$H$2004,1,'Estimates'!$E$5:$E$2004,'Status'!$E$7,'Estimates'!$F$5:$F$2004,"&lt;&gt;")=0,"",SUMIFS('Estimates'!$F$5:$F$2004,'Estimates'!$A$5:$A$2004,$A97,'Estimates'!$B$5:$B$2004,"PPS",'Estimates'!$D$5:$D$2004,'Status'!$E$6,'Estimates'!$H$5:$H$2004,1,'Estimates'!$E$5:$E$2004,'Status'!$E$7)))))</x:f>
      </x:c>
      <x:c r="K97" s="13" t="str">
        <x:f>IF(OR(COUNTA($A97)=0,NOT(ISNUMBER('Status'!$F$6))),"",IF(COUNTIFS('Estimates'!$A$5:$A$2004,$A97,'Estimates'!$B$5:$B$2004,"PPS",'Estimates'!$D$5:$D$2004,'Status'!$F$6,'Estimates'!$H$5:$H$2004,1,'Estimates'!$E$5:$E$2004,'Status'!$E$7)=0,"",IF(COUNTIFS('Estimates'!$A$5:$A$2004,$A97,'Estimates'!$B$5:$B$2004,"PPS",'Estimates'!$D$5:$D$2004,'Status'!$F$6,'Estimates'!$H$5:$H$2004,1,'Estimates'!$E$5:$E$2004,'Status'!$E$7)&gt;1,"DUP",IF(COUNTIFS('Estimates'!$A$5:$A$2004,$A97,'Estimates'!$B$5:$B$2004,"PPS",'Estimates'!$D$5:$D$2004,'Status'!$F$6,'Estimates'!$H$5:$H$2004,1,'Estimates'!$E$5:$E$2004,'Status'!$E$7,'Estimates'!$F$5:$F$2004,"&lt;&gt;")=0,"",SUMIFS('Estimates'!$F$5:$F$2004,'Estimates'!$A$5:$A$2004,$A97,'Estimates'!$B$5:$B$2004,"PPS",'Estimates'!$D$5:$D$2004,'Status'!$F$6,'Estimates'!$H$5:$H$2004,1,'Estimates'!$E$5:$E$2004,'Status'!$E$7)))))</x:f>
      </x:c>
      <x:c r="L97" s="13" t="str">
        <x:f>IF(OR(COUNTA($A97)=0,NOT(ISNUMBER('Status'!$G$6))),"",IF(COUNTIFS('Estimates'!$A$5:$A$2004,$A97,'Estimates'!$B$5:$B$2004,"PPS",'Estimates'!$D$5:$D$2004,'Status'!$G$6,'Estimates'!$H$5:$H$2004,1,'Estimates'!$E$5:$E$2004,'Status'!$E$7)=0,"",IF(COUNTIFS('Estimates'!$A$5:$A$2004,$A97,'Estimates'!$B$5:$B$2004,"PPS",'Estimates'!$D$5:$D$2004,'Status'!$G$6,'Estimates'!$H$5:$H$2004,1,'Estimates'!$E$5:$E$2004,'Status'!$E$7)&gt;1,"DUP",IF(COUNTIFS('Estimates'!$A$5:$A$2004,$A97,'Estimates'!$B$5:$B$2004,"PPS",'Estimates'!$D$5:$D$2004,'Status'!$G$6,'Estimates'!$H$5:$H$2004,1,'Estimates'!$E$5:$E$2004,'Status'!$E$7,'Estimates'!$F$5:$F$2004,"&lt;&gt;")=0,"",SUMIFS('Estimates'!$F$5:$F$2004,'Estimates'!$A$5:$A$2004,$A97,'Estimates'!$B$5:$B$2004,"PPS",'Estimates'!$D$5:$D$2004,'Status'!$G$6,'Estimates'!$H$5:$H$2004,1,'Estimates'!$E$5:$E$2004,'Status'!$E$7)))))</x:f>
      </x:c>
      <x:c r="M97" s="13" t="str">
        <x:f>IF(AND(ISNUMBER(J97),ISNUMBER(K97)),K97-J97,"")</x:f>
      </x:c>
      <x:c r="N97" s="13" t="str">
        <x:f>IF(AND(ISNUMBER(K97),ISNUMBER(L97)),L97-K97,"")</x:f>
      </x:c>
      <x:c r="O97" s="13" t="str">
        <x:f>IF(AND(COUNT(J97:L97)=3,COUNT('Status'!$E$6:$G$6)=3,'Status'!$E$6&gt;'Status'!$F$6,'Status'!$F$6&gt;'Status'!$G$6,'Status'!$G$6&gt;0),ABS(L97-(K97+(K97-J97)*('Status'!$G$6-'Status'!$F$6)/('Status'!$F$6-'Status'!$E$6))),"")</x:f>
      </x:c>
      <x:c r="P97" s="13" t="str">
        <x:f>IF(AND(COUNT(J97:L97)=3,COUNT('Status'!$E$6:$G$6)=3,'Status'!$E$6&gt;'Status'!$F$6,'Status'!$F$6&gt;'Status'!$G$6,'Status'!$G$6&gt;0),('Status'!$F$6*L97-'Status'!$G$6*K97)/('Status'!$F$6-'Status'!$G$6),"")</x:f>
      </x:c>
      <x:c r="Q97" s="20"/>
      <x:c r="R97" s="13" t="str">
        <x:f>IF(COUNTA($A97)=0,"",IF('Status'!$B$6="MPS 1",IF(ISNUMBER(C97),C97,""),IF('Status'!$B$6="MPS 2",IF(ISNUMBER(D97),D97,""),IF('Status'!$B$6="MPS 3",IF(ISNUMBER(E97),E97,""),IF('Status'!$B$6="MPS extrap",IF(ISNUMBER(I97),I97,""),IF('Status'!$B$6="PPS 1",IF(ISNUMBER(J97),J97,""),IF('Status'!$B$6="PPS 2",IF(ISNUMBER(K97),K97,""),IF('Status'!$B$6="PPS 3",IF(ISNUMBER(L97),L97,""),IF('Status'!$B$6="PPS extrap",IF(ISNUMBER(P97),P97,""),IF('Status'!$B$6="Calibrated",IF(ISNUMBER(Q97),Q97,""),""))))))))))</x:f>
      </x:c>
      <x:c r="S97" s="2" t="str">
        <x:f>IF(COUNTA(A97)=0,"",IF(COUNTIFS('Estimates'!$A$5:$A$2004,A97,'Estimates'!$B$5:$B$2004,"MPS",'Estimates'!$H$5:$H$2004,1)+COUNTIFS('Estimates'!$A$5:$A$2004,A97,'Estimates'!$B$5:$B$2004,"PPS",'Estimates'!$H$5:$H$2004,1)&gt;0,1,0))</x:f>
      </x:c>
      <x:c r="T97" s="2" t="str">
        <x:f>IF(COUNTA(A97)=0,"",IF(COUNTIFS($A$6:$A$165,A97)&gt;1,"Duplicate target",IF(COUNTIFS(C97:E97,"DUP")+COUNTIFS(J97:L97,"DUP")&gt;0,"Duplicate accepted run",IF(COUNTIFS('Estimates'!$A$5:$A$2004,A97,'Estimates'!$H$5:$H$2004,1)-COUNTIFS('Estimates'!$A$5:$A$2004,A97,'Estimates'!$H$5:$H$2004,1,'Estimates'!$F$5:$F$2004,"&lt;&gt;")&gt;0,"Accepted value missing",""))))</x:f>
      </x:c>
    </x:row>
    <x:row r="98">
      <x:c r="A98" s="21"/>
      <x:c r="B98" s="19"/>
      <x:c r="C98" s="13" t="str">
        <x:f>IF(OR(COUNTA($A98)=0,NOT(ISNUMBER('Status'!$E$5))),"",IF(COUNTIFS('Estimates'!$A$5:$A$2004,$A98,'Estimates'!$B$5:$B$2004,"MPS",'Estimates'!$C$5:$C$2004,'Status'!$E$5,'Estimates'!$H$5:$H$2004,1)=0,"",IF(COUNTIFS('Estimates'!$A$5:$A$2004,$A98,'Estimates'!$B$5:$B$2004,"MPS",'Estimates'!$C$5:$C$2004,'Status'!$E$5,'Estimates'!$H$5:$H$2004,1)&gt;1,"DUP",IF(COUNTIFS('Estimates'!$A$5:$A$2004,$A98,'Estimates'!$B$5:$B$2004,"MPS",'Estimates'!$C$5:$C$2004,'Status'!$E$5,'Estimates'!$H$5:$H$2004,1,'Estimates'!$F$5:$F$2004,"&lt;&gt;")=0,"",SUMIFS('Estimates'!$F$5:$F$2004,'Estimates'!$A$5:$A$2004,$A98,'Estimates'!$B$5:$B$2004,"MPS",'Estimates'!$C$5:$C$2004,'Status'!$E$5,'Estimates'!$H$5:$H$2004,1)))))</x:f>
      </x:c>
      <x:c r="D98" s="13" t="str">
        <x:f>IF(OR(COUNTA($A98)=0,NOT(ISNUMBER('Status'!$F$5))),"",IF(COUNTIFS('Estimates'!$A$5:$A$2004,$A98,'Estimates'!$B$5:$B$2004,"MPS",'Estimates'!$C$5:$C$2004,'Status'!$F$5,'Estimates'!$H$5:$H$2004,1)=0,"",IF(COUNTIFS('Estimates'!$A$5:$A$2004,$A98,'Estimates'!$B$5:$B$2004,"MPS",'Estimates'!$C$5:$C$2004,'Status'!$F$5,'Estimates'!$H$5:$H$2004,1)&gt;1,"DUP",IF(COUNTIFS('Estimates'!$A$5:$A$2004,$A98,'Estimates'!$B$5:$B$2004,"MPS",'Estimates'!$C$5:$C$2004,'Status'!$F$5,'Estimates'!$H$5:$H$2004,1,'Estimates'!$F$5:$F$2004,"&lt;&gt;")=0,"",SUMIFS('Estimates'!$F$5:$F$2004,'Estimates'!$A$5:$A$2004,$A98,'Estimates'!$B$5:$B$2004,"MPS",'Estimates'!$C$5:$C$2004,'Status'!$F$5,'Estimates'!$H$5:$H$2004,1)))))</x:f>
      </x:c>
      <x:c r="E98" s="13" t="str">
        <x:f>IF(OR(COUNTA($A98)=0,NOT(ISNUMBER('Status'!$G$5))),"",IF(COUNTIFS('Estimates'!$A$5:$A$2004,$A98,'Estimates'!$B$5:$B$2004,"MPS",'Estimates'!$C$5:$C$2004,'Status'!$G$5,'Estimates'!$H$5:$H$2004,1)=0,"",IF(COUNTIFS('Estimates'!$A$5:$A$2004,$A98,'Estimates'!$B$5:$B$2004,"MPS",'Estimates'!$C$5:$C$2004,'Status'!$G$5,'Estimates'!$H$5:$H$2004,1)&gt;1,"DUP",IF(COUNTIFS('Estimates'!$A$5:$A$2004,$A98,'Estimates'!$B$5:$B$2004,"MPS",'Estimates'!$C$5:$C$2004,'Status'!$G$5,'Estimates'!$H$5:$H$2004,1,'Estimates'!$F$5:$F$2004,"&lt;&gt;")=0,"",SUMIFS('Estimates'!$F$5:$F$2004,'Estimates'!$A$5:$A$2004,$A98,'Estimates'!$B$5:$B$2004,"MPS",'Estimates'!$C$5:$C$2004,'Status'!$G$5,'Estimates'!$H$5:$H$2004,1)))))</x:f>
      </x:c>
      <x:c r="F98" s="13" t="str">
        <x:f>IF(AND(ISNUMBER(C98),ISNUMBER(D98)),D98-C98,"")</x:f>
      </x:c>
      <x:c r="G98" s="13" t="str">
        <x:f>IF(AND(ISNUMBER(D98),ISNUMBER(E98)),E98-D98,"")</x:f>
      </x:c>
      <x:c r="H98" s="13" t="str">
        <x:f>IF(AND(COUNT(C98:E98)=3,COUNT('Status'!$E$5:$G$5)=3,'Status'!$E$5&gt;0,'Status'!$E$5&lt;'Status'!$F$5,'Status'!$F$5&lt;'Status'!$G$5),ABS(E98-(D98+(D98-C98)*((1/'Status'!$G$5)-(1/'Status'!$F$5))/((1/'Status'!$F$5)-(1/'Status'!$E$5)))),"")</x:f>
      </x:c>
      <x:c r="I98" s="13" t="str">
        <x:f>IF(AND(COUNT(C98:E98)=3,COUNT('Status'!$E$5:$G$5)=3,'Status'!$E$5&gt;0,'Status'!$E$5&lt;'Status'!$F$5,'Status'!$F$5&lt;'Status'!$G$5),((1/'Status'!$F$5)*E98-(1/'Status'!$G$5)*D98)/((1/'Status'!$F$5)-(1/'Status'!$G$5)),"")</x:f>
      </x:c>
      <x:c r="J98" s="13" t="str">
        <x:f>IF(OR(COUNTA($A98)=0,NOT(ISNUMBER('Status'!$E$6))),"",IF(COUNTIFS('Estimates'!$A$5:$A$2004,$A98,'Estimates'!$B$5:$B$2004,"PPS",'Estimates'!$D$5:$D$2004,'Status'!$E$6,'Estimates'!$H$5:$H$2004,1,'Estimates'!$E$5:$E$2004,'Status'!$E$7)=0,"",IF(COUNTIFS('Estimates'!$A$5:$A$2004,$A98,'Estimates'!$B$5:$B$2004,"PPS",'Estimates'!$D$5:$D$2004,'Status'!$E$6,'Estimates'!$H$5:$H$2004,1,'Estimates'!$E$5:$E$2004,'Status'!$E$7)&gt;1,"DUP",IF(COUNTIFS('Estimates'!$A$5:$A$2004,$A98,'Estimates'!$B$5:$B$2004,"PPS",'Estimates'!$D$5:$D$2004,'Status'!$E$6,'Estimates'!$H$5:$H$2004,1,'Estimates'!$E$5:$E$2004,'Status'!$E$7,'Estimates'!$F$5:$F$2004,"&lt;&gt;")=0,"",SUMIFS('Estimates'!$F$5:$F$2004,'Estimates'!$A$5:$A$2004,$A98,'Estimates'!$B$5:$B$2004,"PPS",'Estimates'!$D$5:$D$2004,'Status'!$E$6,'Estimates'!$H$5:$H$2004,1,'Estimates'!$E$5:$E$2004,'Status'!$E$7)))))</x:f>
      </x:c>
      <x:c r="K98" s="13" t="str">
        <x:f>IF(OR(COUNTA($A98)=0,NOT(ISNUMBER('Status'!$F$6))),"",IF(COUNTIFS('Estimates'!$A$5:$A$2004,$A98,'Estimates'!$B$5:$B$2004,"PPS",'Estimates'!$D$5:$D$2004,'Status'!$F$6,'Estimates'!$H$5:$H$2004,1,'Estimates'!$E$5:$E$2004,'Status'!$E$7)=0,"",IF(COUNTIFS('Estimates'!$A$5:$A$2004,$A98,'Estimates'!$B$5:$B$2004,"PPS",'Estimates'!$D$5:$D$2004,'Status'!$F$6,'Estimates'!$H$5:$H$2004,1,'Estimates'!$E$5:$E$2004,'Status'!$E$7)&gt;1,"DUP",IF(COUNTIFS('Estimates'!$A$5:$A$2004,$A98,'Estimates'!$B$5:$B$2004,"PPS",'Estimates'!$D$5:$D$2004,'Status'!$F$6,'Estimates'!$H$5:$H$2004,1,'Estimates'!$E$5:$E$2004,'Status'!$E$7,'Estimates'!$F$5:$F$2004,"&lt;&gt;")=0,"",SUMIFS('Estimates'!$F$5:$F$2004,'Estimates'!$A$5:$A$2004,$A98,'Estimates'!$B$5:$B$2004,"PPS",'Estimates'!$D$5:$D$2004,'Status'!$F$6,'Estimates'!$H$5:$H$2004,1,'Estimates'!$E$5:$E$2004,'Status'!$E$7)))))</x:f>
      </x:c>
      <x:c r="L98" s="13" t="str">
        <x:f>IF(OR(COUNTA($A98)=0,NOT(ISNUMBER('Status'!$G$6))),"",IF(COUNTIFS('Estimates'!$A$5:$A$2004,$A98,'Estimates'!$B$5:$B$2004,"PPS",'Estimates'!$D$5:$D$2004,'Status'!$G$6,'Estimates'!$H$5:$H$2004,1,'Estimates'!$E$5:$E$2004,'Status'!$E$7)=0,"",IF(COUNTIFS('Estimates'!$A$5:$A$2004,$A98,'Estimates'!$B$5:$B$2004,"PPS",'Estimates'!$D$5:$D$2004,'Status'!$G$6,'Estimates'!$H$5:$H$2004,1,'Estimates'!$E$5:$E$2004,'Status'!$E$7)&gt;1,"DUP",IF(COUNTIFS('Estimates'!$A$5:$A$2004,$A98,'Estimates'!$B$5:$B$2004,"PPS",'Estimates'!$D$5:$D$2004,'Status'!$G$6,'Estimates'!$H$5:$H$2004,1,'Estimates'!$E$5:$E$2004,'Status'!$E$7,'Estimates'!$F$5:$F$2004,"&lt;&gt;")=0,"",SUMIFS('Estimates'!$F$5:$F$2004,'Estimates'!$A$5:$A$2004,$A98,'Estimates'!$B$5:$B$2004,"PPS",'Estimates'!$D$5:$D$2004,'Status'!$G$6,'Estimates'!$H$5:$H$2004,1,'Estimates'!$E$5:$E$2004,'Status'!$E$7)))))</x:f>
      </x:c>
      <x:c r="M98" s="13" t="str">
        <x:f>IF(AND(ISNUMBER(J98),ISNUMBER(K98)),K98-J98,"")</x:f>
      </x:c>
      <x:c r="N98" s="13" t="str">
        <x:f>IF(AND(ISNUMBER(K98),ISNUMBER(L98)),L98-K98,"")</x:f>
      </x:c>
      <x:c r="O98" s="13" t="str">
        <x:f>IF(AND(COUNT(J98:L98)=3,COUNT('Status'!$E$6:$G$6)=3,'Status'!$E$6&gt;'Status'!$F$6,'Status'!$F$6&gt;'Status'!$G$6,'Status'!$G$6&gt;0),ABS(L98-(K98+(K98-J98)*('Status'!$G$6-'Status'!$F$6)/('Status'!$F$6-'Status'!$E$6))),"")</x:f>
      </x:c>
      <x:c r="P98" s="13" t="str">
        <x:f>IF(AND(COUNT(J98:L98)=3,COUNT('Status'!$E$6:$G$6)=3,'Status'!$E$6&gt;'Status'!$F$6,'Status'!$F$6&gt;'Status'!$G$6,'Status'!$G$6&gt;0),('Status'!$F$6*L98-'Status'!$G$6*K98)/('Status'!$F$6-'Status'!$G$6),"")</x:f>
      </x:c>
      <x:c r="Q98" s="20"/>
      <x:c r="R98" s="13" t="str">
        <x:f>IF(COUNTA($A98)=0,"",IF('Status'!$B$6="MPS 1",IF(ISNUMBER(C98),C98,""),IF('Status'!$B$6="MPS 2",IF(ISNUMBER(D98),D98,""),IF('Status'!$B$6="MPS 3",IF(ISNUMBER(E98),E98,""),IF('Status'!$B$6="MPS extrap",IF(ISNUMBER(I98),I98,""),IF('Status'!$B$6="PPS 1",IF(ISNUMBER(J98),J98,""),IF('Status'!$B$6="PPS 2",IF(ISNUMBER(K98),K98,""),IF('Status'!$B$6="PPS 3",IF(ISNUMBER(L98),L98,""),IF('Status'!$B$6="PPS extrap",IF(ISNUMBER(P98),P98,""),IF('Status'!$B$6="Calibrated",IF(ISNUMBER(Q98),Q98,""),""))))))))))</x:f>
      </x:c>
      <x:c r="S98" s="2" t="str">
        <x:f>IF(COUNTA(A98)=0,"",IF(COUNTIFS('Estimates'!$A$5:$A$2004,A98,'Estimates'!$B$5:$B$2004,"MPS",'Estimates'!$H$5:$H$2004,1)+COUNTIFS('Estimates'!$A$5:$A$2004,A98,'Estimates'!$B$5:$B$2004,"PPS",'Estimates'!$H$5:$H$2004,1)&gt;0,1,0))</x:f>
      </x:c>
      <x:c r="T98" s="2" t="str">
        <x:f>IF(COUNTA(A98)=0,"",IF(COUNTIFS($A$6:$A$165,A98)&gt;1,"Duplicate target",IF(COUNTIFS(C98:E98,"DUP")+COUNTIFS(J98:L98,"DUP")&gt;0,"Duplicate accepted run",IF(COUNTIFS('Estimates'!$A$5:$A$2004,A98,'Estimates'!$H$5:$H$2004,1)-COUNTIFS('Estimates'!$A$5:$A$2004,A98,'Estimates'!$H$5:$H$2004,1,'Estimates'!$F$5:$F$2004,"&lt;&gt;")&gt;0,"Accepted value missing",""))))</x:f>
      </x:c>
    </x:row>
    <x:row r="99">
      <x:c r="A99" s="21"/>
      <x:c r="B99" s="19"/>
      <x:c r="C99" s="13" t="str">
        <x:f>IF(OR(COUNTA($A99)=0,NOT(ISNUMBER('Status'!$E$5))),"",IF(COUNTIFS('Estimates'!$A$5:$A$2004,$A99,'Estimates'!$B$5:$B$2004,"MPS",'Estimates'!$C$5:$C$2004,'Status'!$E$5,'Estimates'!$H$5:$H$2004,1)=0,"",IF(COUNTIFS('Estimates'!$A$5:$A$2004,$A99,'Estimates'!$B$5:$B$2004,"MPS",'Estimates'!$C$5:$C$2004,'Status'!$E$5,'Estimates'!$H$5:$H$2004,1)&gt;1,"DUP",IF(COUNTIFS('Estimates'!$A$5:$A$2004,$A99,'Estimates'!$B$5:$B$2004,"MPS",'Estimates'!$C$5:$C$2004,'Status'!$E$5,'Estimates'!$H$5:$H$2004,1,'Estimates'!$F$5:$F$2004,"&lt;&gt;")=0,"",SUMIFS('Estimates'!$F$5:$F$2004,'Estimates'!$A$5:$A$2004,$A99,'Estimates'!$B$5:$B$2004,"MPS",'Estimates'!$C$5:$C$2004,'Status'!$E$5,'Estimates'!$H$5:$H$2004,1)))))</x:f>
      </x:c>
      <x:c r="D99" s="13" t="str">
        <x:f>IF(OR(COUNTA($A99)=0,NOT(ISNUMBER('Status'!$F$5))),"",IF(COUNTIFS('Estimates'!$A$5:$A$2004,$A99,'Estimates'!$B$5:$B$2004,"MPS",'Estimates'!$C$5:$C$2004,'Status'!$F$5,'Estimates'!$H$5:$H$2004,1)=0,"",IF(COUNTIFS('Estimates'!$A$5:$A$2004,$A99,'Estimates'!$B$5:$B$2004,"MPS",'Estimates'!$C$5:$C$2004,'Status'!$F$5,'Estimates'!$H$5:$H$2004,1)&gt;1,"DUP",IF(COUNTIFS('Estimates'!$A$5:$A$2004,$A99,'Estimates'!$B$5:$B$2004,"MPS",'Estimates'!$C$5:$C$2004,'Status'!$F$5,'Estimates'!$H$5:$H$2004,1,'Estimates'!$F$5:$F$2004,"&lt;&gt;")=0,"",SUMIFS('Estimates'!$F$5:$F$2004,'Estimates'!$A$5:$A$2004,$A99,'Estimates'!$B$5:$B$2004,"MPS",'Estimates'!$C$5:$C$2004,'Status'!$F$5,'Estimates'!$H$5:$H$2004,1)))))</x:f>
      </x:c>
      <x:c r="E99" s="13" t="str">
        <x:f>IF(OR(COUNTA($A99)=0,NOT(ISNUMBER('Status'!$G$5))),"",IF(COUNTIFS('Estimates'!$A$5:$A$2004,$A99,'Estimates'!$B$5:$B$2004,"MPS",'Estimates'!$C$5:$C$2004,'Status'!$G$5,'Estimates'!$H$5:$H$2004,1)=0,"",IF(COUNTIFS('Estimates'!$A$5:$A$2004,$A99,'Estimates'!$B$5:$B$2004,"MPS",'Estimates'!$C$5:$C$2004,'Status'!$G$5,'Estimates'!$H$5:$H$2004,1)&gt;1,"DUP",IF(COUNTIFS('Estimates'!$A$5:$A$2004,$A99,'Estimates'!$B$5:$B$2004,"MPS",'Estimates'!$C$5:$C$2004,'Status'!$G$5,'Estimates'!$H$5:$H$2004,1,'Estimates'!$F$5:$F$2004,"&lt;&gt;")=0,"",SUMIFS('Estimates'!$F$5:$F$2004,'Estimates'!$A$5:$A$2004,$A99,'Estimates'!$B$5:$B$2004,"MPS",'Estimates'!$C$5:$C$2004,'Status'!$G$5,'Estimates'!$H$5:$H$2004,1)))))</x:f>
      </x:c>
      <x:c r="F99" s="13" t="str">
        <x:f>IF(AND(ISNUMBER(C99),ISNUMBER(D99)),D99-C99,"")</x:f>
      </x:c>
      <x:c r="G99" s="13" t="str">
        <x:f>IF(AND(ISNUMBER(D99),ISNUMBER(E99)),E99-D99,"")</x:f>
      </x:c>
      <x:c r="H99" s="13" t="str">
        <x:f>IF(AND(COUNT(C99:E99)=3,COUNT('Status'!$E$5:$G$5)=3,'Status'!$E$5&gt;0,'Status'!$E$5&lt;'Status'!$F$5,'Status'!$F$5&lt;'Status'!$G$5),ABS(E99-(D99+(D99-C99)*((1/'Status'!$G$5)-(1/'Status'!$F$5))/((1/'Status'!$F$5)-(1/'Status'!$E$5)))),"")</x:f>
      </x:c>
      <x:c r="I99" s="13" t="str">
        <x:f>IF(AND(COUNT(C99:E99)=3,COUNT('Status'!$E$5:$G$5)=3,'Status'!$E$5&gt;0,'Status'!$E$5&lt;'Status'!$F$5,'Status'!$F$5&lt;'Status'!$G$5),((1/'Status'!$F$5)*E99-(1/'Status'!$G$5)*D99)/((1/'Status'!$F$5)-(1/'Status'!$G$5)),"")</x:f>
      </x:c>
      <x:c r="J99" s="13" t="str">
        <x:f>IF(OR(COUNTA($A99)=0,NOT(ISNUMBER('Status'!$E$6))),"",IF(COUNTIFS('Estimates'!$A$5:$A$2004,$A99,'Estimates'!$B$5:$B$2004,"PPS",'Estimates'!$D$5:$D$2004,'Status'!$E$6,'Estimates'!$H$5:$H$2004,1,'Estimates'!$E$5:$E$2004,'Status'!$E$7)=0,"",IF(COUNTIFS('Estimates'!$A$5:$A$2004,$A99,'Estimates'!$B$5:$B$2004,"PPS",'Estimates'!$D$5:$D$2004,'Status'!$E$6,'Estimates'!$H$5:$H$2004,1,'Estimates'!$E$5:$E$2004,'Status'!$E$7)&gt;1,"DUP",IF(COUNTIFS('Estimates'!$A$5:$A$2004,$A99,'Estimates'!$B$5:$B$2004,"PPS",'Estimates'!$D$5:$D$2004,'Status'!$E$6,'Estimates'!$H$5:$H$2004,1,'Estimates'!$E$5:$E$2004,'Status'!$E$7,'Estimates'!$F$5:$F$2004,"&lt;&gt;")=0,"",SUMIFS('Estimates'!$F$5:$F$2004,'Estimates'!$A$5:$A$2004,$A99,'Estimates'!$B$5:$B$2004,"PPS",'Estimates'!$D$5:$D$2004,'Status'!$E$6,'Estimates'!$H$5:$H$2004,1,'Estimates'!$E$5:$E$2004,'Status'!$E$7)))))</x:f>
      </x:c>
      <x:c r="K99" s="13" t="str">
        <x:f>IF(OR(COUNTA($A99)=0,NOT(ISNUMBER('Status'!$F$6))),"",IF(COUNTIFS('Estimates'!$A$5:$A$2004,$A99,'Estimates'!$B$5:$B$2004,"PPS",'Estimates'!$D$5:$D$2004,'Status'!$F$6,'Estimates'!$H$5:$H$2004,1,'Estimates'!$E$5:$E$2004,'Status'!$E$7)=0,"",IF(COUNTIFS('Estimates'!$A$5:$A$2004,$A99,'Estimates'!$B$5:$B$2004,"PPS",'Estimates'!$D$5:$D$2004,'Status'!$F$6,'Estimates'!$H$5:$H$2004,1,'Estimates'!$E$5:$E$2004,'Status'!$E$7)&gt;1,"DUP",IF(COUNTIFS('Estimates'!$A$5:$A$2004,$A99,'Estimates'!$B$5:$B$2004,"PPS",'Estimates'!$D$5:$D$2004,'Status'!$F$6,'Estimates'!$H$5:$H$2004,1,'Estimates'!$E$5:$E$2004,'Status'!$E$7,'Estimates'!$F$5:$F$2004,"&lt;&gt;")=0,"",SUMIFS('Estimates'!$F$5:$F$2004,'Estimates'!$A$5:$A$2004,$A99,'Estimates'!$B$5:$B$2004,"PPS",'Estimates'!$D$5:$D$2004,'Status'!$F$6,'Estimates'!$H$5:$H$2004,1,'Estimates'!$E$5:$E$2004,'Status'!$E$7)))))</x:f>
      </x:c>
      <x:c r="L99" s="13" t="str">
        <x:f>IF(OR(COUNTA($A99)=0,NOT(ISNUMBER('Status'!$G$6))),"",IF(COUNTIFS('Estimates'!$A$5:$A$2004,$A99,'Estimates'!$B$5:$B$2004,"PPS",'Estimates'!$D$5:$D$2004,'Status'!$G$6,'Estimates'!$H$5:$H$2004,1,'Estimates'!$E$5:$E$2004,'Status'!$E$7)=0,"",IF(COUNTIFS('Estimates'!$A$5:$A$2004,$A99,'Estimates'!$B$5:$B$2004,"PPS",'Estimates'!$D$5:$D$2004,'Status'!$G$6,'Estimates'!$H$5:$H$2004,1,'Estimates'!$E$5:$E$2004,'Status'!$E$7)&gt;1,"DUP",IF(COUNTIFS('Estimates'!$A$5:$A$2004,$A99,'Estimates'!$B$5:$B$2004,"PPS",'Estimates'!$D$5:$D$2004,'Status'!$G$6,'Estimates'!$H$5:$H$2004,1,'Estimates'!$E$5:$E$2004,'Status'!$E$7,'Estimates'!$F$5:$F$2004,"&lt;&gt;")=0,"",SUMIFS('Estimates'!$F$5:$F$2004,'Estimates'!$A$5:$A$2004,$A99,'Estimates'!$B$5:$B$2004,"PPS",'Estimates'!$D$5:$D$2004,'Status'!$G$6,'Estimates'!$H$5:$H$2004,1,'Estimates'!$E$5:$E$2004,'Status'!$E$7)))))</x:f>
      </x:c>
      <x:c r="M99" s="13" t="str">
        <x:f>IF(AND(ISNUMBER(J99),ISNUMBER(K99)),K99-J99,"")</x:f>
      </x:c>
      <x:c r="N99" s="13" t="str">
        <x:f>IF(AND(ISNUMBER(K99),ISNUMBER(L99)),L99-K99,"")</x:f>
      </x:c>
      <x:c r="O99" s="13" t="str">
        <x:f>IF(AND(COUNT(J99:L99)=3,COUNT('Status'!$E$6:$G$6)=3,'Status'!$E$6&gt;'Status'!$F$6,'Status'!$F$6&gt;'Status'!$G$6,'Status'!$G$6&gt;0),ABS(L99-(K99+(K99-J99)*('Status'!$G$6-'Status'!$F$6)/('Status'!$F$6-'Status'!$E$6))),"")</x:f>
      </x:c>
      <x:c r="P99" s="13" t="str">
        <x:f>IF(AND(COUNT(J99:L99)=3,COUNT('Status'!$E$6:$G$6)=3,'Status'!$E$6&gt;'Status'!$F$6,'Status'!$F$6&gt;'Status'!$G$6,'Status'!$G$6&gt;0),('Status'!$F$6*L99-'Status'!$G$6*K99)/('Status'!$F$6-'Status'!$G$6),"")</x:f>
      </x:c>
      <x:c r="Q99" s="20"/>
      <x:c r="R99" s="13" t="str">
        <x:f>IF(COUNTA($A99)=0,"",IF('Status'!$B$6="MPS 1",IF(ISNUMBER(C99),C99,""),IF('Status'!$B$6="MPS 2",IF(ISNUMBER(D99),D99,""),IF('Status'!$B$6="MPS 3",IF(ISNUMBER(E99),E99,""),IF('Status'!$B$6="MPS extrap",IF(ISNUMBER(I99),I99,""),IF('Status'!$B$6="PPS 1",IF(ISNUMBER(J99),J99,""),IF('Status'!$B$6="PPS 2",IF(ISNUMBER(K99),K99,""),IF('Status'!$B$6="PPS 3",IF(ISNUMBER(L99),L99,""),IF('Status'!$B$6="PPS extrap",IF(ISNUMBER(P99),P99,""),IF('Status'!$B$6="Calibrated",IF(ISNUMBER(Q99),Q99,""),""))))))))))</x:f>
      </x:c>
      <x:c r="S99" s="2" t="str">
        <x:f>IF(COUNTA(A99)=0,"",IF(COUNTIFS('Estimates'!$A$5:$A$2004,A99,'Estimates'!$B$5:$B$2004,"MPS",'Estimates'!$H$5:$H$2004,1)+COUNTIFS('Estimates'!$A$5:$A$2004,A99,'Estimates'!$B$5:$B$2004,"PPS",'Estimates'!$H$5:$H$2004,1)&gt;0,1,0))</x:f>
      </x:c>
      <x:c r="T99" s="2" t="str">
        <x:f>IF(COUNTA(A99)=0,"",IF(COUNTIFS($A$6:$A$165,A99)&gt;1,"Duplicate target",IF(COUNTIFS(C99:E99,"DUP")+COUNTIFS(J99:L99,"DUP")&gt;0,"Duplicate accepted run",IF(COUNTIFS('Estimates'!$A$5:$A$2004,A99,'Estimates'!$H$5:$H$2004,1)-COUNTIFS('Estimates'!$A$5:$A$2004,A99,'Estimates'!$H$5:$H$2004,1,'Estimates'!$F$5:$F$2004,"&lt;&gt;")&gt;0,"Accepted value missing",""))))</x:f>
      </x:c>
    </x:row>
    <x:row r="100">
      <x:c r="A100" s="21"/>
      <x:c r="B100" s="19"/>
      <x:c r="C100" s="13" t="str">
        <x:f>IF(OR(COUNTA($A100)=0,NOT(ISNUMBER('Status'!$E$5))),"",IF(COUNTIFS('Estimates'!$A$5:$A$2004,$A100,'Estimates'!$B$5:$B$2004,"MPS",'Estimates'!$C$5:$C$2004,'Status'!$E$5,'Estimates'!$H$5:$H$2004,1)=0,"",IF(COUNTIFS('Estimates'!$A$5:$A$2004,$A100,'Estimates'!$B$5:$B$2004,"MPS",'Estimates'!$C$5:$C$2004,'Status'!$E$5,'Estimates'!$H$5:$H$2004,1)&gt;1,"DUP",IF(COUNTIFS('Estimates'!$A$5:$A$2004,$A100,'Estimates'!$B$5:$B$2004,"MPS",'Estimates'!$C$5:$C$2004,'Status'!$E$5,'Estimates'!$H$5:$H$2004,1,'Estimates'!$F$5:$F$2004,"&lt;&gt;")=0,"",SUMIFS('Estimates'!$F$5:$F$2004,'Estimates'!$A$5:$A$2004,$A100,'Estimates'!$B$5:$B$2004,"MPS",'Estimates'!$C$5:$C$2004,'Status'!$E$5,'Estimates'!$H$5:$H$2004,1)))))</x:f>
      </x:c>
      <x:c r="D100" s="13" t="str">
        <x:f>IF(OR(COUNTA($A100)=0,NOT(ISNUMBER('Status'!$F$5))),"",IF(COUNTIFS('Estimates'!$A$5:$A$2004,$A100,'Estimates'!$B$5:$B$2004,"MPS",'Estimates'!$C$5:$C$2004,'Status'!$F$5,'Estimates'!$H$5:$H$2004,1)=0,"",IF(COUNTIFS('Estimates'!$A$5:$A$2004,$A100,'Estimates'!$B$5:$B$2004,"MPS",'Estimates'!$C$5:$C$2004,'Status'!$F$5,'Estimates'!$H$5:$H$2004,1)&gt;1,"DUP",IF(COUNTIFS('Estimates'!$A$5:$A$2004,$A100,'Estimates'!$B$5:$B$2004,"MPS",'Estimates'!$C$5:$C$2004,'Status'!$F$5,'Estimates'!$H$5:$H$2004,1,'Estimates'!$F$5:$F$2004,"&lt;&gt;")=0,"",SUMIFS('Estimates'!$F$5:$F$2004,'Estimates'!$A$5:$A$2004,$A100,'Estimates'!$B$5:$B$2004,"MPS",'Estimates'!$C$5:$C$2004,'Status'!$F$5,'Estimates'!$H$5:$H$2004,1)))))</x:f>
      </x:c>
      <x:c r="E100" s="13" t="str">
        <x:f>IF(OR(COUNTA($A100)=0,NOT(ISNUMBER('Status'!$G$5))),"",IF(COUNTIFS('Estimates'!$A$5:$A$2004,$A100,'Estimates'!$B$5:$B$2004,"MPS",'Estimates'!$C$5:$C$2004,'Status'!$G$5,'Estimates'!$H$5:$H$2004,1)=0,"",IF(COUNTIFS('Estimates'!$A$5:$A$2004,$A100,'Estimates'!$B$5:$B$2004,"MPS",'Estimates'!$C$5:$C$2004,'Status'!$G$5,'Estimates'!$H$5:$H$2004,1)&gt;1,"DUP",IF(COUNTIFS('Estimates'!$A$5:$A$2004,$A100,'Estimates'!$B$5:$B$2004,"MPS",'Estimates'!$C$5:$C$2004,'Status'!$G$5,'Estimates'!$H$5:$H$2004,1,'Estimates'!$F$5:$F$2004,"&lt;&gt;")=0,"",SUMIFS('Estimates'!$F$5:$F$2004,'Estimates'!$A$5:$A$2004,$A100,'Estimates'!$B$5:$B$2004,"MPS",'Estimates'!$C$5:$C$2004,'Status'!$G$5,'Estimates'!$H$5:$H$2004,1)))))</x:f>
      </x:c>
      <x:c r="F100" s="13" t="str">
        <x:f>IF(AND(ISNUMBER(C100),ISNUMBER(D100)),D100-C100,"")</x:f>
      </x:c>
      <x:c r="G100" s="13" t="str">
        <x:f>IF(AND(ISNUMBER(D100),ISNUMBER(E100)),E100-D100,"")</x:f>
      </x:c>
      <x:c r="H100" s="13" t="str">
        <x:f>IF(AND(COUNT(C100:E100)=3,COUNT('Status'!$E$5:$G$5)=3,'Status'!$E$5&gt;0,'Status'!$E$5&lt;'Status'!$F$5,'Status'!$F$5&lt;'Status'!$G$5),ABS(E100-(D100+(D100-C100)*((1/'Status'!$G$5)-(1/'Status'!$F$5))/((1/'Status'!$F$5)-(1/'Status'!$E$5)))),"")</x:f>
      </x:c>
      <x:c r="I100" s="13" t="str">
        <x:f>IF(AND(COUNT(C100:E100)=3,COUNT('Status'!$E$5:$G$5)=3,'Status'!$E$5&gt;0,'Status'!$E$5&lt;'Status'!$F$5,'Status'!$F$5&lt;'Status'!$G$5),((1/'Status'!$F$5)*E100-(1/'Status'!$G$5)*D100)/((1/'Status'!$F$5)-(1/'Status'!$G$5)),"")</x:f>
      </x:c>
      <x:c r="J100" s="13" t="str">
        <x:f>IF(OR(COUNTA($A100)=0,NOT(ISNUMBER('Status'!$E$6))),"",IF(COUNTIFS('Estimates'!$A$5:$A$2004,$A100,'Estimates'!$B$5:$B$2004,"PPS",'Estimates'!$D$5:$D$2004,'Status'!$E$6,'Estimates'!$H$5:$H$2004,1,'Estimates'!$E$5:$E$2004,'Status'!$E$7)=0,"",IF(COUNTIFS('Estimates'!$A$5:$A$2004,$A100,'Estimates'!$B$5:$B$2004,"PPS",'Estimates'!$D$5:$D$2004,'Status'!$E$6,'Estimates'!$H$5:$H$2004,1,'Estimates'!$E$5:$E$2004,'Status'!$E$7)&gt;1,"DUP",IF(COUNTIFS('Estimates'!$A$5:$A$2004,$A100,'Estimates'!$B$5:$B$2004,"PPS",'Estimates'!$D$5:$D$2004,'Status'!$E$6,'Estimates'!$H$5:$H$2004,1,'Estimates'!$E$5:$E$2004,'Status'!$E$7,'Estimates'!$F$5:$F$2004,"&lt;&gt;")=0,"",SUMIFS('Estimates'!$F$5:$F$2004,'Estimates'!$A$5:$A$2004,$A100,'Estimates'!$B$5:$B$2004,"PPS",'Estimates'!$D$5:$D$2004,'Status'!$E$6,'Estimates'!$H$5:$H$2004,1,'Estimates'!$E$5:$E$2004,'Status'!$E$7)))))</x:f>
      </x:c>
      <x:c r="K100" s="13" t="str">
        <x:f>IF(OR(COUNTA($A100)=0,NOT(ISNUMBER('Status'!$F$6))),"",IF(COUNTIFS('Estimates'!$A$5:$A$2004,$A100,'Estimates'!$B$5:$B$2004,"PPS",'Estimates'!$D$5:$D$2004,'Status'!$F$6,'Estimates'!$H$5:$H$2004,1,'Estimates'!$E$5:$E$2004,'Status'!$E$7)=0,"",IF(COUNTIFS('Estimates'!$A$5:$A$2004,$A100,'Estimates'!$B$5:$B$2004,"PPS",'Estimates'!$D$5:$D$2004,'Status'!$F$6,'Estimates'!$H$5:$H$2004,1,'Estimates'!$E$5:$E$2004,'Status'!$E$7)&gt;1,"DUP",IF(COUNTIFS('Estimates'!$A$5:$A$2004,$A100,'Estimates'!$B$5:$B$2004,"PPS",'Estimates'!$D$5:$D$2004,'Status'!$F$6,'Estimates'!$H$5:$H$2004,1,'Estimates'!$E$5:$E$2004,'Status'!$E$7,'Estimates'!$F$5:$F$2004,"&lt;&gt;")=0,"",SUMIFS('Estimates'!$F$5:$F$2004,'Estimates'!$A$5:$A$2004,$A100,'Estimates'!$B$5:$B$2004,"PPS",'Estimates'!$D$5:$D$2004,'Status'!$F$6,'Estimates'!$H$5:$H$2004,1,'Estimates'!$E$5:$E$2004,'Status'!$E$7)))))</x:f>
      </x:c>
      <x:c r="L100" s="13" t="str">
        <x:f>IF(OR(COUNTA($A100)=0,NOT(ISNUMBER('Status'!$G$6))),"",IF(COUNTIFS('Estimates'!$A$5:$A$2004,$A100,'Estimates'!$B$5:$B$2004,"PPS",'Estimates'!$D$5:$D$2004,'Status'!$G$6,'Estimates'!$H$5:$H$2004,1,'Estimates'!$E$5:$E$2004,'Status'!$E$7)=0,"",IF(COUNTIFS('Estimates'!$A$5:$A$2004,$A100,'Estimates'!$B$5:$B$2004,"PPS",'Estimates'!$D$5:$D$2004,'Status'!$G$6,'Estimates'!$H$5:$H$2004,1,'Estimates'!$E$5:$E$2004,'Status'!$E$7)&gt;1,"DUP",IF(COUNTIFS('Estimates'!$A$5:$A$2004,$A100,'Estimates'!$B$5:$B$2004,"PPS",'Estimates'!$D$5:$D$2004,'Status'!$G$6,'Estimates'!$H$5:$H$2004,1,'Estimates'!$E$5:$E$2004,'Status'!$E$7,'Estimates'!$F$5:$F$2004,"&lt;&gt;")=0,"",SUMIFS('Estimates'!$F$5:$F$2004,'Estimates'!$A$5:$A$2004,$A100,'Estimates'!$B$5:$B$2004,"PPS",'Estimates'!$D$5:$D$2004,'Status'!$G$6,'Estimates'!$H$5:$H$2004,1,'Estimates'!$E$5:$E$2004,'Status'!$E$7)))))</x:f>
      </x:c>
      <x:c r="M100" s="13" t="str">
        <x:f>IF(AND(ISNUMBER(J100),ISNUMBER(K100)),K100-J100,"")</x:f>
      </x:c>
      <x:c r="N100" s="13" t="str">
        <x:f>IF(AND(ISNUMBER(K100),ISNUMBER(L100)),L100-K100,"")</x:f>
      </x:c>
      <x:c r="O100" s="13" t="str">
        <x:f>IF(AND(COUNT(J100:L100)=3,COUNT('Status'!$E$6:$G$6)=3,'Status'!$E$6&gt;'Status'!$F$6,'Status'!$F$6&gt;'Status'!$G$6,'Status'!$G$6&gt;0),ABS(L100-(K100+(K100-J100)*('Status'!$G$6-'Status'!$F$6)/('Status'!$F$6-'Status'!$E$6))),"")</x:f>
      </x:c>
      <x:c r="P100" s="13" t="str">
        <x:f>IF(AND(COUNT(J100:L100)=3,COUNT('Status'!$E$6:$G$6)=3,'Status'!$E$6&gt;'Status'!$F$6,'Status'!$F$6&gt;'Status'!$G$6,'Status'!$G$6&gt;0),('Status'!$F$6*L100-'Status'!$G$6*K100)/('Status'!$F$6-'Status'!$G$6),"")</x:f>
      </x:c>
      <x:c r="Q100" s="20"/>
      <x:c r="R100" s="13" t="str">
        <x:f>IF(COUNTA($A100)=0,"",IF('Status'!$B$6="MPS 1",IF(ISNUMBER(C100),C100,""),IF('Status'!$B$6="MPS 2",IF(ISNUMBER(D100),D100,""),IF('Status'!$B$6="MPS 3",IF(ISNUMBER(E100),E100,""),IF('Status'!$B$6="MPS extrap",IF(ISNUMBER(I100),I100,""),IF('Status'!$B$6="PPS 1",IF(ISNUMBER(J100),J100,""),IF('Status'!$B$6="PPS 2",IF(ISNUMBER(K100),K100,""),IF('Status'!$B$6="PPS 3",IF(ISNUMBER(L100),L100,""),IF('Status'!$B$6="PPS extrap",IF(ISNUMBER(P100),P100,""),IF('Status'!$B$6="Calibrated",IF(ISNUMBER(Q100),Q100,""),""))))))))))</x:f>
      </x:c>
      <x:c r="S100" s="2" t="str">
        <x:f>IF(COUNTA(A100)=0,"",IF(COUNTIFS('Estimates'!$A$5:$A$2004,A100,'Estimates'!$B$5:$B$2004,"MPS",'Estimates'!$H$5:$H$2004,1)+COUNTIFS('Estimates'!$A$5:$A$2004,A100,'Estimates'!$B$5:$B$2004,"PPS",'Estimates'!$H$5:$H$2004,1)&gt;0,1,0))</x:f>
      </x:c>
      <x:c r="T100" s="2" t="str">
        <x:f>IF(COUNTA(A100)=0,"",IF(COUNTIFS($A$6:$A$165,A100)&gt;1,"Duplicate target",IF(COUNTIFS(C100:E100,"DUP")+COUNTIFS(J100:L100,"DUP")&gt;0,"Duplicate accepted run",IF(COUNTIFS('Estimates'!$A$5:$A$2004,A100,'Estimates'!$H$5:$H$2004,1)-COUNTIFS('Estimates'!$A$5:$A$2004,A100,'Estimates'!$H$5:$H$2004,1,'Estimates'!$F$5:$F$2004,"&lt;&gt;")&gt;0,"Accepted value missing",""))))</x:f>
      </x:c>
    </x:row>
    <x:row r="101">
      <x:c r="A101" s="21"/>
      <x:c r="B101" s="19"/>
      <x:c r="C101" s="13" t="str">
        <x:f>IF(OR(COUNTA($A101)=0,NOT(ISNUMBER('Status'!$E$5))),"",IF(COUNTIFS('Estimates'!$A$5:$A$2004,$A101,'Estimates'!$B$5:$B$2004,"MPS",'Estimates'!$C$5:$C$2004,'Status'!$E$5,'Estimates'!$H$5:$H$2004,1)=0,"",IF(COUNTIFS('Estimates'!$A$5:$A$2004,$A101,'Estimates'!$B$5:$B$2004,"MPS",'Estimates'!$C$5:$C$2004,'Status'!$E$5,'Estimates'!$H$5:$H$2004,1)&gt;1,"DUP",IF(COUNTIFS('Estimates'!$A$5:$A$2004,$A101,'Estimates'!$B$5:$B$2004,"MPS",'Estimates'!$C$5:$C$2004,'Status'!$E$5,'Estimates'!$H$5:$H$2004,1,'Estimates'!$F$5:$F$2004,"&lt;&gt;")=0,"",SUMIFS('Estimates'!$F$5:$F$2004,'Estimates'!$A$5:$A$2004,$A101,'Estimates'!$B$5:$B$2004,"MPS",'Estimates'!$C$5:$C$2004,'Status'!$E$5,'Estimates'!$H$5:$H$2004,1)))))</x:f>
      </x:c>
      <x:c r="D101" s="13" t="str">
        <x:f>IF(OR(COUNTA($A101)=0,NOT(ISNUMBER('Status'!$F$5))),"",IF(COUNTIFS('Estimates'!$A$5:$A$2004,$A101,'Estimates'!$B$5:$B$2004,"MPS",'Estimates'!$C$5:$C$2004,'Status'!$F$5,'Estimates'!$H$5:$H$2004,1)=0,"",IF(COUNTIFS('Estimates'!$A$5:$A$2004,$A101,'Estimates'!$B$5:$B$2004,"MPS",'Estimates'!$C$5:$C$2004,'Status'!$F$5,'Estimates'!$H$5:$H$2004,1)&gt;1,"DUP",IF(COUNTIFS('Estimates'!$A$5:$A$2004,$A101,'Estimates'!$B$5:$B$2004,"MPS",'Estimates'!$C$5:$C$2004,'Status'!$F$5,'Estimates'!$H$5:$H$2004,1,'Estimates'!$F$5:$F$2004,"&lt;&gt;")=0,"",SUMIFS('Estimates'!$F$5:$F$2004,'Estimates'!$A$5:$A$2004,$A101,'Estimates'!$B$5:$B$2004,"MPS",'Estimates'!$C$5:$C$2004,'Status'!$F$5,'Estimates'!$H$5:$H$2004,1)))))</x:f>
      </x:c>
      <x:c r="E101" s="13" t="str">
        <x:f>IF(OR(COUNTA($A101)=0,NOT(ISNUMBER('Status'!$G$5))),"",IF(COUNTIFS('Estimates'!$A$5:$A$2004,$A101,'Estimates'!$B$5:$B$2004,"MPS",'Estimates'!$C$5:$C$2004,'Status'!$G$5,'Estimates'!$H$5:$H$2004,1)=0,"",IF(COUNTIFS('Estimates'!$A$5:$A$2004,$A101,'Estimates'!$B$5:$B$2004,"MPS",'Estimates'!$C$5:$C$2004,'Status'!$G$5,'Estimates'!$H$5:$H$2004,1)&gt;1,"DUP",IF(COUNTIFS('Estimates'!$A$5:$A$2004,$A101,'Estimates'!$B$5:$B$2004,"MPS",'Estimates'!$C$5:$C$2004,'Status'!$G$5,'Estimates'!$H$5:$H$2004,1,'Estimates'!$F$5:$F$2004,"&lt;&gt;")=0,"",SUMIFS('Estimates'!$F$5:$F$2004,'Estimates'!$A$5:$A$2004,$A101,'Estimates'!$B$5:$B$2004,"MPS",'Estimates'!$C$5:$C$2004,'Status'!$G$5,'Estimates'!$H$5:$H$2004,1)))))</x:f>
      </x:c>
      <x:c r="F101" s="13" t="str">
        <x:f>IF(AND(ISNUMBER(C101),ISNUMBER(D101)),D101-C101,"")</x:f>
      </x:c>
      <x:c r="G101" s="13" t="str">
        <x:f>IF(AND(ISNUMBER(D101),ISNUMBER(E101)),E101-D101,"")</x:f>
      </x:c>
      <x:c r="H101" s="13" t="str">
        <x:f>IF(AND(COUNT(C101:E101)=3,COUNT('Status'!$E$5:$G$5)=3,'Status'!$E$5&gt;0,'Status'!$E$5&lt;'Status'!$F$5,'Status'!$F$5&lt;'Status'!$G$5),ABS(E101-(D101+(D101-C101)*((1/'Status'!$G$5)-(1/'Status'!$F$5))/((1/'Status'!$F$5)-(1/'Status'!$E$5)))),"")</x:f>
      </x:c>
      <x:c r="I101" s="13" t="str">
        <x:f>IF(AND(COUNT(C101:E101)=3,COUNT('Status'!$E$5:$G$5)=3,'Status'!$E$5&gt;0,'Status'!$E$5&lt;'Status'!$F$5,'Status'!$F$5&lt;'Status'!$G$5),((1/'Status'!$F$5)*E101-(1/'Status'!$G$5)*D101)/((1/'Status'!$F$5)-(1/'Status'!$G$5)),"")</x:f>
      </x:c>
      <x:c r="J101" s="13" t="str">
        <x:f>IF(OR(COUNTA($A101)=0,NOT(ISNUMBER('Status'!$E$6))),"",IF(COUNTIFS('Estimates'!$A$5:$A$2004,$A101,'Estimates'!$B$5:$B$2004,"PPS",'Estimates'!$D$5:$D$2004,'Status'!$E$6,'Estimates'!$H$5:$H$2004,1,'Estimates'!$E$5:$E$2004,'Status'!$E$7)=0,"",IF(COUNTIFS('Estimates'!$A$5:$A$2004,$A101,'Estimates'!$B$5:$B$2004,"PPS",'Estimates'!$D$5:$D$2004,'Status'!$E$6,'Estimates'!$H$5:$H$2004,1,'Estimates'!$E$5:$E$2004,'Status'!$E$7)&gt;1,"DUP",IF(COUNTIFS('Estimates'!$A$5:$A$2004,$A101,'Estimates'!$B$5:$B$2004,"PPS",'Estimates'!$D$5:$D$2004,'Status'!$E$6,'Estimates'!$H$5:$H$2004,1,'Estimates'!$E$5:$E$2004,'Status'!$E$7,'Estimates'!$F$5:$F$2004,"&lt;&gt;")=0,"",SUMIFS('Estimates'!$F$5:$F$2004,'Estimates'!$A$5:$A$2004,$A101,'Estimates'!$B$5:$B$2004,"PPS",'Estimates'!$D$5:$D$2004,'Status'!$E$6,'Estimates'!$H$5:$H$2004,1,'Estimates'!$E$5:$E$2004,'Status'!$E$7)))))</x:f>
      </x:c>
      <x:c r="K101" s="13" t="str">
        <x:f>IF(OR(COUNTA($A101)=0,NOT(ISNUMBER('Status'!$F$6))),"",IF(COUNTIFS('Estimates'!$A$5:$A$2004,$A101,'Estimates'!$B$5:$B$2004,"PPS",'Estimates'!$D$5:$D$2004,'Status'!$F$6,'Estimates'!$H$5:$H$2004,1,'Estimates'!$E$5:$E$2004,'Status'!$E$7)=0,"",IF(COUNTIFS('Estimates'!$A$5:$A$2004,$A101,'Estimates'!$B$5:$B$2004,"PPS",'Estimates'!$D$5:$D$2004,'Status'!$F$6,'Estimates'!$H$5:$H$2004,1,'Estimates'!$E$5:$E$2004,'Status'!$E$7)&gt;1,"DUP",IF(COUNTIFS('Estimates'!$A$5:$A$2004,$A101,'Estimates'!$B$5:$B$2004,"PPS",'Estimates'!$D$5:$D$2004,'Status'!$F$6,'Estimates'!$H$5:$H$2004,1,'Estimates'!$E$5:$E$2004,'Status'!$E$7,'Estimates'!$F$5:$F$2004,"&lt;&gt;")=0,"",SUMIFS('Estimates'!$F$5:$F$2004,'Estimates'!$A$5:$A$2004,$A101,'Estimates'!$B$5:$B$2004,"PPS",'Estimates'!$D$5:$D$2004,'Status'!$F$6,'Estimates'!$H$5:$H$2004,1,'Estimates'!$E$5:$E$2004,'Status'!$E$7)))))</x:f>
      </x:c>
      <x:c r="L101" s="13" t="str">
        <x:f>IF(OR(COUNTA($A101)=0,NOT(ISNUMBER('Status'!$G$6))),"",IF(COUNTIFS('Estimates'!$A$5:$A$2004,$A101,'Estimates'!$B$5:$B$2004,"PPS",'Estimates'!$D$5:$D$2004,'Status'!$G$6,'Estimates'!$H$5:$H$2004,1,'Estimates'!$E$5:$E$2004,'Status'!$E$7)=0,"",IF(COUNTIFS('Estimates'!$A$5:$A$2004,$A101,'Estimates'!$B$5:$B$2004,"PPS",'Estimates'!$D$5:$D$2004,'Status'!$G$6,'Estimates'!$H$5:$H$2004,1,'Estimates'!$E$5:$E$2004,'Status'!$E$7)&gt;1,"DUP",IF(COUNTIFS('Estimates'!$A$5:$A$2004,$A101,'Estimates'!$B$5:$B$2004,"PPS",'Estimates'!$D$5:$D$2004,'Status'!$G$6,'Estimates'!$H$5:$H$2004,1,'Estimates'!$E$5:$E$2004,'Status'!$E$7,'Estimates'!$F$5:$F$2004,"&lt;&gt;")=0,"",SUMIFS('Estimates'!$F$5:$F$2004,'Estimates'!$A$5:$A$2004,$A101,'Estimates'!$B$5:$B$2004,"PPS",'Estimates'!$D$5:$D$2004,'Status'!$G$6,'Estimates'!$H$5:$H$2004,1,'Estimates'!$E$5:$E$2004,'Status'!$E$7)))))</x:f>
      </x:c>
      <x:c r="M101" s="13" t="str">
        <x:f>IF(AND(ISNUMBER(J101),ISNUMBER(K101)),K101-J101,"")</x:f>
      </x:c>
      <x:c r="N101" s="13" t="str">
        <x:f>IF(AND(ISNUMBER(K101),ISNUMBER(L101)),L101-K101,"")</x:f>
      </x:c>
      <x:c r="O101" s="13" t="str">
        <x:f>IF(AND(COUNT(J101:L101)=3,COUNT('Status'!$E$6:$G$6)=3,'Status'!$E$6&gt;'Status'!$F$6,'Status'!$F$6&gt;'Status'!$G$6,'Status'!$G$6&gt;0),ABS(L101-(K101+(K101-J101)*('Status'!$G$6-'Status'!$F$6)/('Status'!$F$6-'Status'!$E$6))),"")</x:f>
      </x:c>
      <x:c r="P101" s="13" t="str">
        <x:f>IF(AND(COUNT(J101:L101)=3,COUNT('Status'!$E$6:$G$6)=3,'Status'!$E$6&gt;'Status'!$F$6,'Status'!$F$6&gt;'Status'!$G$6,'Status'!$G$6&gt;0),('Status'!$F$6*L101-'Status'!$G$6*K101)/('Status'!$F$6-'Status'!$G$6),"")</x:f>
      </x:c>
      <x:c r="Q101" s="20"/>
      <x:c r="R101" s="13" t="str">
        <x:f>IF(COUNTA($A101)=0,"",IF('Status'!$B$6="MPS 1",IF(ISNUMBER(C101),C101,""),IF('Status'!$B$6="MPS 2",IF(ISNUMBER(D101),D101,""),IF('Status'!$B$6="MPS 3",IF(ISNUMBER(E101),E101,""),IF('Status'!$B$6="MPS extrap",IF(ISNUMBER(I101),I101,""),IF('Status'!$B$6="PPS 1",IF(ISNUMBER(J101),J101,""),IF('Status'!$B$6="PPS 2",IF(ISNUMBER(K101),K101,""),IF('Status'!$B$6="PPS 3",IF(ISNUMBER(L101),L101,""),IF('Status'!$B$6="PPS extrap",IF(ISNUMBER(P101),P101,""),IF('Status'!$B$6="Calibrated",IF(ISNUMBER(Q101),Q101,""),""))))))))))</x:f>
      </x:c>
      <x:c r="S101" s="2" t="str">
        <x:f>IF(COUNTA(A101)=0,"",IF(COUNTIFS('Estimates'!$A$5:$A$2004,A101,'Estimates'!$B$5:$B$2004,"MPS",'Estimates'!$H$5:$H$2004,1)+COUNTIFS('Estimates'!$A$5:$A$2004,A101,'Estimates'!$B$5:$B$2004,"PPS",'Estimates'!$H$5:$H$2004,1)&gt;0,1,0))</x:f>
      </x:c>
      <x:c r="T101" s="2" t="str">
        <x:f>IF(COUNTA(A101)=0,"",IF(COUNTIFS($A$6:$A$165,A101)&gt;1,"Duplicate target",IF(COUNTIFS(C101:E101,"DUP")+COUNTIFS(J101:L101,"DUP")&gt;0,"Duplicate accepted run",IF(COUNTIFS('Estimates'!$A$5:$A$2004,A101,'Estimates'!$H$5:$H$2004,1)-COUNTIFS('Estimates'!$A$5:$A$2004,A101,'Estimates'!$H$5:$H$2004,1,'Estimates'!$F$5:$F$2004,"&lt;&gt;")&gt;0,"Accepted value missing",""))))</x:f>
      </x:c>
    </x:row>
    <x:row r="102">
      <x:c r="A102" s="21"/>
      <x:c r="B102" s="19"/>
      <x:c r="C102" s="13" t="str">
        <x:f>IF(OR(COUNTA($A102)=0,NOT(ISNUMBER('Status'!$E$5))),"",IF(COUNTIFS('Estimates'!$A$5:$A$2004,$A102,'Estimates'!$B$5:$B$2004,"MPS",'Estimates'!$C$5:$C$2004,'Status'!$E$5,'Estimates'!$H$5:$H$2004,1)=0,"",IF(COUNTIFS('Estimates'!$A$5:$A$2004,$A102,'Estimates'!$B$5:$B$2004,"MPS",'Estimates'!$C$5:$C$2004,'Status'!$E$5,'Estimates'!$H$5:$H$2004,1)&gt;1,"DUP",IF(COUNTIFS('Estimates'!$A$5:$A$2004,$A102,'Estimates'!$B$5:$B$2004,"MPS",'Estimates'!$C$5:$C$2004,'Status'!$E$5,'Estimates'!$H$5:$H$2004,1,'Estimates'!$F$5:$F$2004,"&lt;&gt;")=0,"",SUMIFS('Estimates'!$F$5:$F$2004,'Estimates'!$A$5:$A$2004,$A102,'Estimates'!$B$5:$B$2004,"MPS",'Estimates'!$C$5:$C$2004,'Status'!$E$5,'Estimates'!$H$5:$H$2004,1)))))</x:f>
      </x:c>
      <x:c r="D102" s="13" t="str">
        <x:f>IF(OR(COUNTA($A102)=0,NOT(ISNUMBER('Status'!$F$5))),"",IF(COUNTIFS('Estimates'!$A$5:$A$2004,$A102,'Estimates'!$B$5:$B$2004,"MPS",'Estimates'!$C$5:$C$2004,'Status'!$F$5,'Estimates'!$H$5:$H$2004,1)=0,"",IF(COUNTIFS('Estimates'!$A$5:$A$2004,$A102,'Estimates'!$B$5:$B$2004,"MPS",'Estimates'!$C$5:$C$2004,'Status'!$F$5,'Estimates'!$H$5:$H$2004,1)&gt;1,"DUP",IF(COUNTIFS('Estimates'!$A$5:$A$2004,$A102,'Estimates'!$B$5:$B$2004,"MPS",'Estimates'!$C$5:$C$2004,'Status'!$F$5,'Estimates'!$H$5:$H$2004,1,'Estimates'!$F$5:$F$2004,"&lt;&gt;")=0,"",SUMIFS('Estimates'!$F$5:$F$2004,'Estimates'!$A$5:$A$2004,$A102,'Estimates'!$B$5:$B$2004,"MPS",'Estimates'!$C$5:$C$2004,'Status'!$F$5,'Estimates'!$H$5:$H$2004,1)))))</x:f>
      </x:c>
      <x:c r="E102" s="13" t="str">
        <x:f>IF(OR(COUNTA($A102)=0,NOT(ISNUMBER('Status'!$G$5))),"",IF(COUNTIFS('Estimates'!$A$5:$A$2004,$A102,'Estimates'!$B$5:$B$2004,"MPS",'Estimates'!$C$5:$C$2004,'Status'!$G$5,'Estimates'!$H$5:$H$2004,1)=0,"",IF(COUNTIFS('Estimates'!$A$5:$A$2004,$A102,'Estimates'!$B$5:$B$2004,"MPS",'Estimates'!$C$5:$C$2004,'Status'!$G$5,'Estimates'!$H$5:$H$2004,1)&gt;1,"DUP",IF(COUNTIFS('Estimates'!$A$5:$A$2004,$A102,'Estimates'!$B$5:$B$2004,"MPS",'Estimates'!$C$5:$C$2004,'Status'!$G$5,'Estimates'!$H$5:$H$2004,1,'Estimates'!$F$5:$F$2004,"&lt;&gt;")=0,"",SUMIFS('Estimates'!$F$5:$F$2004,'Estimates'!$A$5:$A$2004,$A102,'Estimates'!$B$5:$B$2004,"MPS",'Estimates'!$C$5:$C$2004,'Status'!$G$5,'Estimates'!$H$5:$H$2004,1)))))</x:f>
      </x:c>
      <x:c r="F102" s="13" t="str">
        <x:f>IF(AND(ISNUMBER(C102),ISNUMBER(D102)),D102-C102,"")</x:f>
      </x:c>
      <x:c r="G102" s="13" t="str">
        <x:f>IF(AND(ISNUMBER(D102),ISNUMBER(E102)),E102-D102,"")</x:f>
      </x:c>
      <x:c r="H102" s="13" t="str">
        <x:f>IF(AND(COUNT(C102:E102)=3,COUNT('Status'!$E$5:$G$5)=3,'Status'!$E$5&gt;0,'Status'!$E$5&lt;'Status'!$F$5,'Status'!$F$5&lt;'Status'!$G$5),ABS(E102-(D102+(D102-C102)*((1/'Status'!$G$5)-(1/'Status'!$F$5))/((1/'Status'!$F$5)-(1/'Status'!$E$5)))),"")</x:f>
      </x:c>
      <x:c r="I102" s="13" t="str">
        <x:f>IF(AND(COUNT(C102:E102)=3,COUNT('Status'!$E$5:$G$5)=3,'Status'!$E$5&gt;0,'Status'!$E$5&lt;'Status'!$F$5,'Status'!$F$5&lt;'Status'!$G$5),((1/'Status'!$F$5)*E102-(1/'Status'!$G$5)*D102)/((1/'Status'!$F$5)-(1/'Status'!$G$5)),"")</x:f>
      </x:c>
      <x:c r="J102" s="13" t="str">
        <x:f>IF(OR(COUNTA($A102)=0,NOT(ISNUMBER('Status'!$E$6))),"",IF(COUNTIFS('Estimates'!$A$5:$A$2004,$A102,'Estimates'!$B$5:$B$2004,"PPS",'Estimates'!$D$5:$D$2004,'Status'!$E$6,'Estimates'!$H$5:$H$2004,1,'Estimates'!$E$5:$E$2004,'Status'!$E$7)=0,"",IF(COUNTIFS('Estimates'!$A$5:$A$2004,$A102,'Estimates'!$B$5:$B$2004,"PPS",'Estimates'!$D$5:$D$2004,'Status'!$E$6,'Estimates'!$H$5:$H$2004,1,'Estimates'!$E$5:$E$2004,'Status'!$E$7)&gt;1,"DUP",IF(COUNTIFS('Estimates'!$A$5:$A$2004,$A102,'Estimates'!$B$5:$B$2004,"PPS",'Estimates'!$D$5:$D$2004,'Status'!$E$6,'Estimates'!$H$5:$H$2004,1,'Estimates'!$E$5:$E$2004,'Status'!$E$7,'Estimates'!$F$5:$F$2004,"&lt;&gt;")=0,"",SUMIFS('Estimates'!$F$5:$F$2004,'Estimates'!$A$5:$A$2004,$A102,'Estimates'!$B$5:$B$2004,"PPS",'Estimates'!$D$5:$D$2004,'Status'!$E$6,'Estimates'!$H$5:$H$2004,1,'Estimates'!$E$5:$E$2004,'Status'!$E$7)))))</x:f>
      </x:c>
      <x:c r="K102" s="13" t="str">
        <x:f>IF(OR(COUNTA($A102)=0,NOT(ISNUMBER('Status'!$F$6))),"",IF(COUNTIFS('Estimates'!$A$5:$A$2004,$A102,'Estimates'!$B$5:$B$2004,"PPS",'Estimates'!$D$5:$D$2004,'Status'!$F$6,'Estimates'!$H$5:$H$2004,1,'Estimates'!$E$5:$E$2004,'Status'!$E$7)=0,"",IF(COUNTIFS('Estimates'!$A$5:$A$2004,$A102,'Estimates'!$B$5:$B$2004,"PPS",'Estimates'!$D$5:$D$2004,'Status'!$F$6,'Estimates'!$H$5:$H$2004,1,'Estimates'!$E$5:$E$2004,'Status'!$E$7)&gt;1,"DUP",IF(COUNTIFS('Estimates'!$A$5:$A$2004,$A102,'Estimates'!$B$5:$B$2004,"PPS",'Estimates'!$D$5:$D$2004,'Status'!$F$6,'Estimates'!$H$5:$H$2004,1,'Estimates'!$E$5:$E$2004,'Status'!$E$7,'Estimates'!$F$5:$F$2004,"&lt;&gt;")=0,"",SUMIFS('Estimates'!$F$5:$F$2004,'Estimates'!$A$5:$A$2004,$A102,'Estimates'!$B$5:$B$2004,"PPS",'Estimates'!$D$5:$D$2004,'Status'!$F$6,'Estimates'!$H$5:$H$2004,1,'Estimates'!$E$5:$E$2004,'Status'!$E$7)))))</x:f>
      </x:c>
      <x:c r="L102" s="13" t="str">
        <x:f>IF(OR(COUNTA($A102)=0,NOT(ISNUMBER('Status'!$G$6))),"",IF(COUNTIFS('Estimates'!$A$5:$A$2004,$A102,'Estimates'!$B$5:$B$2004,"PPS",'Estimates'!$D$5:$D$2004,'Status'!$G$6,'Estimates'!$H$5:$H$2004,1,'Estimates'!$E$5:$E$2004,'Status'!$E$7)=0,"",IF(COUNTIFS('Estimates'!$A$5:$A$2004,$A102,'Estimates'!$B$5:$B$2004,"PPS",'Estimates'!$D$5:$D$2004,'Status'!$G$6,'Estimates'!$H$5:$H$2004,1,'Estimates'!$E$5:$E$2004,'Status'!$E$7)&gt;1,"DUP",IF(COUNTIFS('Estimates'!$A$5:$A$2004,$A102,'Estimates'!$B$5:$B$2004,"PPS",'Estimates'!$D$5:$D$2004,'Status'!$G$6,'Estimates'!$H$5:$H$2004,1,'Estimates'!$E$5:$E$2004,'Status'!$E$7,'Estimates'!$F$5:$F$2004,"&lt;&gt;")=0,"",SUMIFS('Estimates'!$F$5:$F$2004,'Estimates'!$A$5:$A$2004,$A102,'Estimates'!$B$5:$B$2004,"PPS",'Estimates'!$D$5:$D$2004,'Status'!$G$6,'Estimates'!$H$5:$H$2004,1,'Estimates'!$E$5:$E$2004,'Status'!$E$7)))))</x:f>
      </x:c>
      <x:c r="M102" s="13" t="str">
        <x:f>IF(AND(ISNUMBER(J102),ISNUMBER(K102)),K102-J102,"")</x:f>
      </x:c>
      <x:c r="N102" s="13" t="str">
        <x:f>IF(AND(ISNUMBER(K102),ISNUMBER(L102)),L102-K102,"")</x:f>
      </x:c>
      <x:c r="O102" s="13" t="str">
        <x:f>IF(AND(COUNT(J102:L102)=3,COUNT('Status'!$E$6:$G$6)=3,'Status'!$E$6&gt;'Status'!$F$6,'Status'!$F$6&gt;'Status'!$G$6,'Status'!$G$6&gt;0),ABS(L102-(K102+(K102-J102)*('Status'!$G$6-'Status'!$F$6)/('Status'!$F$6-'Status'!$E$6))),"")</x:f>
      </x:c>
      <x:c r="P102" s="13" t="str">
        <x:f>IF(AND(COUNT(J102:L102)=3,COUNT('Status'!$E$6:$G$6)=3,'Status'!$E$6&gt;'Status'!$F$6,'Status'!$F$6&gt;'Status'!$G$6,'Status'!$G$6&gt;0),('Status'!$F$6*L102-'Status'!$G$6*K102)/('Status'!$F$6-'Status'!$G$6),"")</x:f>
      </x:c>
      <x:c r="Q102" s="20"/>
      <x:c r="R102" s="13" t="str">
        <x:f>IF(COUNTA($A102)=0,"",IF('Status'!$B$6="MPS 1",IF(ISNUMBER(C102),C102,""),IF('Status'!$B$6="MPS 2",IF(ISNUMBER(D102),D102,""),IF('Status'!$B$6="MPS 3",IF(ISNUMBER(E102),E102,""),IF('Status'!$B$6="MPS extrap",IF(ISNUMBER(I102),I102,""),IF('Status'!$B$6="PPS 1",IF(ISNUMBER(J102),J102,""),IF('Status'!$B$6="PPS 2",IF(ISNUMBER(K102),K102,""),IF('Status'!$B$6="PPS 3",IF(ISNUMBER(L102),L102,""),IF('Status'!$B$6="PPS extrap",IF(ISNUMBER(P102),P102,""),IF('Status'!$B$6="Calibrated",IF(ISNUMBER(Q102),Q102,""),""))))))))))</x:f>
      </x:c>
      <x:c r="S102" s="2" t="str">
        <x:f>IF(COUNTA(A102)=0,"",IF(COUNTIFS('Estimates'!$A$5:$A$2004,A102,'Estimates'!$B$5:$B$2004,"MPS",'Estimates'!$H$5:$H$2004,1)+COUNTIFS('Estimates'!$A$5:$A$2004,A102,'Estimates'!$B$5:$B$2004,"PPS",'Estimates'!$H$5:$H$2004,1)&gt;0,1,0))</x:f>
      </x:c>
      <x:c r="T102" s="2" t="str">
        <x:f>IF(COUNTA(A102)=0,"",IF(COUNTIFS($A$6:$A$165,A102)&gt;1,"Duplicate target",IF(COUNTIFS(C102:E102,"DUP")+COUNTIFS(J102:L102,"DUP")&gt;0,"Duplicate accepted run",IF(COUNTIFS('Estimates'!$A$5:$A$2004,A102,'Estimates'!$H$5:$H$2004,1)-COUNTIFS('Estimates'!$A$5:$A$2004,A102,'Estimates'!$H$5:$H$2004,1,'Estimates'!$F$5:$F$2004,"&lt;&gt;")&gt;0,"Accepted value missing",""))))</x:f>
      </x:c>
    </x:row>
    <x:row r="103">
      <x:c r="A103" s="21"/>
      <x:c r="B103" s="19"/>
      <x:c r="C103" s="13" t="str">
        <x:f>IF(OR(COUNTA($A103)=0,NOT(ISNUMBER('Status'!$E$5))),"",IF(COUNTIFS('Estimates'!$A$5:$A$2004,$A103,'Estimates'!$B$5:$B$2004,"MPS",'Estimates'!$C$5:$C$2004,'Status'!$E$5,'Estimates'!$H$5:$H$2004,1)=0,"",IF(COUNTIFS('Estimates'!$A$5:$A$2004,$A103,'Estimates'!$B$5:$B$2004,"MPS",'Estimates'!$C$5:$C$2004,'Status'!$E$5,'Estimates'!$H$5:$H$2004,1)&gt;1,"DUP",IF(COUNTIFS('Estimates'!$A$5:$A$2004,$A103,'Estimates'!$B$5:$B$2004,"MPS",'Estimates'!$C$5:$C$2004,'Status'!$E$5,'Estimates'!$H$5:$H$2004,1,'Estimates'!$F$5:$F$2004,"&lt;&gt;")=0,"",SUMIFS('Estimates'!$F$5:$F$2004,'Estimates'!$A$5:$A$2004,$A103,'Estimates'!$B$5:$B$2004,"MPS",'Estimates'!$C$5:$C$2004,'Status'!$E$5,'Estimates'!$H$5:$H$2004,1)))))</x:f>
      </x:c>
      <x:c r="D103" s="13" t="str">
        <x:f>IF(OR(COUNTA($A103)=0,NOT(ISNUMBER('Status'!$F$5))),"",IF(COUNTIFS('Estimates'!$A$5:$A$2004,$A103,'Estimates'!$B$5:$B$2004,"MPS",'Estimates'!$C$5:$C$2004,'Status'!$F$5,'Estimates'!$H$5:$H$2004,1)=0,"",IF(COUNTIFS('Estimates'!$A$5:$A$2004,$A103,'Estimates'!$B$5:$B$2004,"MPS",'Estimates'!$C$5:$C$2004,'Status'!$F$5,'Estimates'!$H$5:$H$2004,1)&gt;1,"DUP",IF(COUNTIFS('Estimates'!$A$5:$A$2004,$A103,'Estimates'!$B$5:$B$2004,"MPS",'Estimates'!$C$5:$C$2004,'Status'!$F$5,'Estimates'!$H$5:$H$2004,1,'Estimates'!$F$5:$F$2004,"&lt;&gt;")=0,"",SUMIFS('Estimates'!$F$5:$F$2004,'Estimates'!$A$5:$A$2004,$A103,'Estimates'!$B$5:$B$2004,"MPS",'Estimates'!$C$5:$C$2004,'Status'!$F$5,'Estimates'!$H$5:$H$2004,1)))))</x:f>
      </x:c>
      <x:c r="E103" s="13" t="str">
        <x:f>IF(OR(COUNTA($A103)=0,NOT(ISNUMBER('Status'!$G$5))),"",IF(COUNTIFS('Estimates'!$A$5:$A$2004,$A103,'Estimates'!$B$5:$B$2004,"MPS",'Estimates'!$C$5:$C$2004,'Status'!$G$5,'Estimates'!$H$5:$H$2004,1)=0,"",IF(COUNTIFS('Estimates'!$A$5:$A$2004,$A103,'Estimates'!$B$5:$B$2004,"MPS",'Estimates'!$C$5:$C$2004,'Status'!$G$5,'Estimates'!$H$5:$H$2004,1)&gt;1,"DUP",IF(COUNTIFS('Estimates'!$A$5:$A$2004,$A103,'Estimates'!$B$5:$B$2004,"MPS",'Estimates'!$C$5:$C$2004,'Status'!$G$5,'Estimates'!$H$5:$H$2004,1,'Estimates'!$F$5:$F$2004,"&lt;&gt;")=0,"",SUMIFS('Estimates'!$F$5:$F$2004,'Estimates'!$A$5:$A$2004,$A103,'Estimates'!$B$5:$B$2004,"MPS",'Estimates'!$C$5:$C$2004,'Status'!$G$5,'Estimates'!$H$5:$H$2004,1)))))</x:f>
      </x:c>
      <x:c r="F103" s="13" t="str">
        <x:f>IF(AND(ISNUMBER(C103),ISNUMBER(D103)),D103-C103,"")</x:f>
      </x:c>
      <x:c r="G103" s="13" t="str">
        <x:f>IF(AND(ISNUMBER(D103),ISNUMBER(E103)),E103-D103,"")</x:f>
      </x:c>
      <x:c r="H103" s="13" t="str">
        <x:f>IF(AND(COUNT(C103:E103)=3,COUNT('Status'!$E$5:$G$5)=3,'Status'!$E$5&gt;0,'Status'!$E$5&lt;'Status'!$F$5,'Status'!$F$5&lt;'Status'!$G$5),ABS(E103-(D103+(D103-C103)*((1/'Status'!$G$5)-(1/'Status'!$F$5))/((1/'Status'!$F$5)-(1/'Status'!$E$5)))),"")</x:f>
      </x:c>
      <x:c r="I103" s="13" t="str">
        <x:f>IF(AND(COUNT(C103:E103)=3,COUNT('Status'!$E$5:$G$5)=3,'Status'!$E$5&gt;0,'Status'!$E$5&lt;'Status'!$F$5,'Status'!$F$5&lt;'Status'!$G$5),((1/'Status'!$F$5)*E103-(1/'Status'!$G$5)*D103)/((1/'Status'!$F$5)-(1/'Status'!$G$5)),"")</x:f>
      </x:c>
      <x:c r="J103" s="13" t="str">
        <x:f>IF(OR(COUNTA($A103)=0,NOT(ISNUMBER('Status'!$E$6))),"",IF(COUNTIFS('Estimates'!$A$5:$A$2004,$A103,'Estimates'!$B$5:$B$2004,"PPS",'Estimates'!$D$5:$D$2004,'Status'!$E$6,'Estimates'!$H$5:$H$2004,1,'Estimates'!$E$5:$E$2004,'Status'!$E$7)=0,"",IF(COUNTIFS('Estimates'!$A$5:$A$2004,$A103,'Estimates'!$B$5:$B$2004,"PPS",'Estimates'!$D$5:$D$2004,'Status'!$E$6,'Estimates'!$H$5:$H$2004,1,'Estimates'!$E$5:$E$2004,'Status'!$E$7)&gt;1,"DUP",IF(COUNTIFS('Estimates'!$A$5:$A$2004,$A103,'Estimates'!$B$5:$B$2004,"PPS",'Estimates'!$D$5:$D$2004,'Status'!$E$6,'Estimates'!$H$5:$H$2004,1,'Estimates'!$E$5:$E$2004,'Status'!$E$7,'Estimates'!$F$5:$F$2004,"&lt;&gt;")=0,"",SUMIFS('Estimates'!$F$5:$F$2004,'Estimates'!$A$5:$A$2004,$A103,'Estimates'!$B$5:$B$2004,"PPS",'Estimates'!$D$5:$D$2004,'Status'!$E$6,'Estimates'!$H$5:$H$2004,1,'Estimates'!$E$5:$E$2004,'Status'!$E$7)))))</x:f>
      </x:c>
      <x:c r="K103" s="13" t="str">
        <x:f>IF(OR(COUNTA($A103)=0,NOT(ISNUMBER('Status'!$F$6))),"",IF(COUNTIFS('Estimates'!$A$5:$A$2004,$A103,'Estimates'!$B$5:$B$2004,"PPS",'Estimates'!$D$5:$D$2004,'Status'!$F$6,'Estimates'!$H$5:$H$2004,1,'Estimates'!$E$5:$E$2004,'Status'!$E$7)=0,"",IF(COUNTIFS('Estimates'!$A$5:$A$2004,$A103,'Estimates'!$B$5:$B$2004,"PPS",'Estimates'!$D$5:$D$2004,'Status'!$F$6,'Estimates'!$H$5:$H$2004,1,'Estimates'!$E$5:$E$2004,'Status'!$E$7)&gt;1,"DUP",IF(COUNTIFS('Estimates'!$A$5:$A$2004,$A103,'Estimates'!$B$5:$B$2004,"PPS",'Estimates'!$D$5:$D$2004,'Status'!$F$6,'Estimates'!$H$5:$H$2004,1,'Estimates'!$E$5:$E$2004,'Status'!$E$7,'Estimates'!$F$5:$F$2004,"&lt;&gt;")=0,"",SUMIFS('Estimates'!$F$5:$F$2004,'Estimates'!$A$5:$A$2004,$A103,'Estimates'!$B$5:$B$2004,"PPS",'Estimates'!$D$5:$D$2004,'Status'!$F$6,'Estimates'!$H$5:$H$2004,1,'Estimates'!$E$5:$E$2004,'Status'!$E$7)))))</x:f>
      </x:c>
      <x:c r="L103" s="13" t="str">
        <x:f>IF(OR(COUNTA($A103)=0,NOT(ISNUMBER('Status'!$G$6))),"",IF(COUNTIFS('Estimates'!$A$5:$A$2004,$A103,'Estimates'!$B$5:$B$2004,"PPS",'Estimates'!$D$5:$D$2004,'Status'!$G$6,'Estimates'!$H$5:$H$2004,1,'Estimates'!$E$5:$E$2004,'Status'!$E$7)=0,"",IF(COUNTIFS('Estimates'!$A$5:$A$2004,$A103,'Estimates'!$B$5:$B$2004,"PPS",'Estimates'!$D$5:$D$2004,'Status'!$G$6,'Estimates'!$H$5:$H$2004,1,'Estimates'!$E$5:$E$2004,'Status'!$E$7)&gt;1,"DUP",IF(COUNTIFS('Estimates'!$A$5:$A$2004,$A103,'Estimates'!$B$5:$B$2004,"PPS",'Estimates'!$D$5:$D$2004,'Status'!$G$6,'Estimates'!$H$5:$H$2004,1,'Estimates'!$E$5:$E$2004,'Status'!$E$7,'Estimates'!$F$5:$F$2004,"&lt;&gt;")=0,"",SUMIFS('Estimates'!$F$5:$F$2004,'Estimates'!$A$5:$A$2004,$A103,'Estimates'!$B$5:$B$2004,"PPS",'Estimates'!$D$5:$D$2004,'Status'!$G$6,'Estimates'!$H$5:$H$2004,1,'Estimates'!$E$5:$E$2004,'Status'!$E$7)))))</x:f>
      </x:c>
      <x:c r="M103" s="13" t="str">
        <x:f>IF(AND(ISNUMBER(J103),ISNUMBER(K103)),K103-J103,"")</x:f>
      </x:c>
      <x:c r="N103" s="13" t="str">
        <x:f>IF(AND(ISNUMBER(K103),ISNUMBER(L103)),L103-K103,"")</x:f>
      </x:c>
      <x:c r="O103" s="13" t="str">
        <x:f>IF(AND(COUNT(J103:L103)=3,COUNT('Status'!$E$6:$G$6)=3,'Status'!$E$6&gt;'Status'!$F$6,'Status'!$F$6&gt;'Status'!$G$6,'Status'!$G$6&gt;0),ABS(L103-(K103+(K103-J103)*('Status'!$G$6-'Status'!$F$6)/('Status'!$F$6-'Status'!$E$6))),"")</x:f>
      </x:c>
      <x:c r="P103" s="13" t="str">
        <x:f>IF(AND(COUNT(J103:L103)=3,COUNT('Status'!$E$6:$G$6)=3,'Status'!$E$6&gt;'Status'!$F$6,'Status'!$F$6&gt;'Status'!$G$6,'Status'!$G$6&gt;0),('Status'!$F$6*L103-'Status'!$G$6*K103)/('Status'!$F$6-'Status'!$G$6),"")</x:f>
      </x:c>
      <x:c r="Q103" s="20"/>
      <x:c r="R103" s="13" t="str">
        <x:f>IF(COUNTA($A103)=0,"",IF('Status'!$B$6="MPS 1",IF(ISNUMBER(C103),C103,""),IF('Status'!$B$6="MPS 2",IF(ISNUMBER(D103),D103,""),IF('Status'!$B$6="MPS 3",IF(ISNUMBER(E103),E103,""),IF('Status'!$B$6="MPS extrap",IF(ISNUMBER(I103),I103,""),IF('Status'!$B$6="PPS 1",IF(ISNUMBER(J103),J103,""),IF('Status'!$B$6="PPS 2",IF(ISNUMBER(K103),K103,""),IF('Status'!$B$6="PPS 3",IF(ISNUMBER(L103),L103,""),IF('Status'!$B$6="PPS extrap",IF(ISNUMBER(P103),P103,""),IF('Status'!$B$6="Calibrated",IF(ISNUMBER(Q103),Q103,""),""))))))))))</x:f>
      </x:c>
      <x:c r="S103" s="2" t="str">
        <x:f>IF(COUNTA(A103)=0,"",IF(COUNTIFS('Estimates'!$A$5:$A$2004,A103,'Estimates'!$B$5:$B$2004,"MPS",'Estimates'!$H$5:$H$2004,1)+COUNTIFS('Estimates'!$A$5:$A$2004,A103,'Estimates'!$B$5:$B$2004,"PPS",'Estimates'!$H$5:$H$2004,1)&gt;0,1,0))</x:f>
      </x:c>
      <x:c r="T103" s="2" t="str">
        <x:f>IF(COUNTA(A103)=0,"",IF(COUNTIFS($A$6:$A$165,A103)&gt;1,"Duplicate target",IF(COUNTIFS(C103:E103,"DUP")+COUNTIFS(J103:L103,"DUP")&gt;0,"Duplicate accepted run",IF(COUNTIFS('Estimates'!$A$5:$A$2004,A103,'Estimates'!$H$5:$H$2004,1)-COUNTIFS('Estimates'!$A$5:$A$2004,A103,'Estimates'!$H$5:$H$2004,1,'Estimates'!$F$5:$F$2004,"&lt;&gt;")&gt;0,"Accepted value missing",""))))</x:f>
      </x:c>
    </x:row>
    <x:row r="104">
      <x:c r="A104" s="21"/>
      <x:c r="B104" s="19"/>
      <x:c r="C104" s="13" t="str">
        <x:f>IF(OR(COUNTA($A104)=0,NOT(ISNUMBER('Status'!$E$5))),"",IF(COUNTIFS('Estimates'!$A$5:$A$2004,$A104,'Estimates'!$B$5:$B$2004,"MPS",'Estimates'!$C$5:$C$2004,'Status'!$E$5,'Estimates'!$H$5:$H$2004,1)=0,"",IF(COUNTIFS('Estimates'!$A$5:$A$2004,$A104,'Estimates'!$B$5:$B$2004,"MPS",'Estimates'!$C$5:$C$2004,'Status'!$E$5,'Estimates'!$H$5:$H$2004,1)&gt;1,"DUP",IF(COUNTIFS('Estimates'!$A$5:$A$2004,$A104,'Estimates'!$B$5:$B$2004,"MPS",'Estimates'!$C$5:$C$2004,'Status'!$E$5,'Estimates'!$H$5:$H$2004,1,'Estimates'!$F$5:$F$2004,"&lt;&gt;")=0,"",SUMIFS('Estimates'!$F$5:$F$2004,'Estimates'!$A$5:$A$2004,$A104,'Estimates'!$B$5:$B$2004,"MPS",'Estimates'!$C$5:$C$2004,'Status'!$E$5,'Estimates'!$H$5:$H$2004,1)))))</x:f>
      </x:c>
      <x:c r="D104" s="13" t="str">
        <x:f>IF(OR(COUNTA($A104)=0,NOT(ISNUMBER('Status'!$F$5))),"",IF(COUNTIFS('Estimates'!$A$5:$A$2004,$A104,'Estimates'!$B$5:$B$2004,"MPS",'Estimates'!$C$5:$C$2004,'Status'!$F$5,'Estimates'!$H$5:$H$2004,1)=0,"",IF(COUNTIFS('Estimates'!$A$5:$A$2004,$A104,'Estimates'!$B$5:$B$2004,"MPS",'Estimates'!$C$5:$C$2004,'Status'!$F$5,'Estimates'!$H$5:$H$2004,1)&gt;1,"DUP",IF(COUNTIFS('Estimates'!$A$5:$A$2004,$A104,'Estimates'!$B$5:$B$2004,"MPS",'Estimates'!$C$5:$C$2004,'Status'!$F$5,'Estimates'!$H$5:$H$2004,1,'Estimates'!$F$5:$F$2004,"&lt;&gt;")=0,"",SUMIFS('Estimates'!$F$5:$F$2004,'Estimates'!$A$5:$A$2004,$A104,'Estimates'!$B$5:$B$2004,"MPS",'Estimates'!$C$5:$C$2004,'Status'!$F$5,'Estimates'!$H$5:$H$2004,1)))))</x:f>
      </x:c>
      <x:c r="E104" s="13" t="str">
        <x:f>IF(OR(COUNTA($A104)=0,NOT(ISNUMBER('Status'!$G$5))),"",IF(COUNTIFS('Estimates'!$A$5:$A$2004,$A104,'Estimates'!$B$5:$B$2004,"MPS",'Estimates'!$C$5:$C$2004,'Status'!$G$5,'Estimates'!$H$5:$H$2004,1)=0,"",IF(COUNTIFS('Estimates'!$A$5:$A$2004,$A104,'Estimates'!$B$5:$B$2004,"MPS",'Estimates'!$C$5:$C$2004,'Status'!$G$5,'Estimates'!$H$5:$H$2004,1)&gt;1,"DUP",IF(COUNTIFS('Estimates'!$A$5:$A$2004,$A104,'Estimates'!$B$5:$B$2004,"MPS",'Estimates'!$C$5:$C$2004,'Status'!$G$5,'Estimates'!$H$5:$H$2004,1,'Estimates'!$F$5:$F$2004,"&lt;&gt;")=0,"",SUMIFS('Estimates'!$F$5:$F$2004,'Estimates'!$A$5:$A$2004,$A104,'Estimates'!$B$5:$B$2004,"MPS",'Estimates'!$C$5:$C$2004,'Status'!$G$5,'Estimates'!$H$5:$H$2004,1)))))</x:f>
      </x:c>
      <x:c r="F104" s="13" t="str">
        <x:f>IF(AND(ISNUMBER(C104),ISNUMBER(D104)),D104-C104,"")</x:f>
      </x:c>
      <x:c r="G104" s="13" t="str">
        <x:f>IF(AND(ISNUMBER(D104),ISNUMBER(E104)),E104-D104,"")</x:f>
      </x:c>
      <x:c r="H104" s="13" t="str">
        <x:f>IF(AND(COUNT(C104:E104)=3,COUNT('Status'!$E$5:$G$5)=3,'Status'!$E$5&gt;0,'Status'!$E$5&lt;'Status'!$F$5,'Status'!$F$5&lt;'Status'!$G$5),ABS(E104-(D104+(D104-C104)*((1/'Status'!$G$5)-(1/'Status'!$F$5))/((1/'Status'!$F$5)-(1/'Status'!$E$5)))),"")</x:f>
      </x:c>
      <x:c r="I104" s="13" t="str">
        <x:f>IF(AND(COUNT(C104:E104)=3,COUNT('Status'!$E$5:$G$5)=3,'Status'!$E$5&gt;0,'Status'!$E$5&lt;'Status'!$F$5,'Status'!$F$5&lt;'Status'!$G$5),((1/'Status'!$F$5)*E104-(1/'Status'!$G$5)*D104)/((1/'Status'!$F$5)-(1/'Status'!$G$5)),"")</x:f>
      </x:c>
      <x:c r="J104" s="13" t="str">
        <x:f>IF(OR(COUNTA($A104)=0,NOT(ISNUMBER('Status'!$E$6))),"",IF(COUNTIFS('Estimates'!$A$5:$A$2004,$A104,'Estimates'!$B$5:$B$2004,"PPS",'Estimates'!$D$5:$D$2004,'Status'!$E$6,'Estimates'!$H$5:$H$2004,1,'Estimates'!$E$5:$E$2004,'Status'!$E$7)=0,"",IF(COUNTIFS('Estimates'!$A$5:$A$2004,$A104,'Estimates'!$B$5:$B$2004,"PPS",'Estimates'!$D$5:$D$2004,'Status'!$E$6,'Estimates'!$H$5:$H$2004,1,'Estimates'!$E$5:$E$2004,'Status'!$E$7)&gt;1,"DUP",IF(COUNTIFS('Estimates'!$A$5:$A$2004,$A104,'Estimates'!$B$5:$B$2004,"PPS",'Estimates'!$D$5:$D$2004,'Status'!$E$6,'Estimates'!$H$5:$H$2004,1,'Estimates'!$E$5:$E$2004,'Status'!$E$7,'Estimates'!$F$5:$F$2004,"&lt;&gt;")=0,"",SUMIFS('Estimates'!$F$5:$F$2004,'Estimates'!$A$5:$A$2004,$A104,'Estimates'!$B$5:$B$2004,"PPS",'Estimates'!$D$5:$D$2004,'Status'!$E$6,'Estimates'!$H$5:$H$2004,1,'Estimates'!$E$5:$E$2004,'Status'!$E$7)))))</x:f>
      </x:c>
      <x:c r="K104" s="13" t="str">
        <x:f>IF(OR(COUNTA($A104)=0,NOT(ISNUMBER('Status'!$F$6))),"",IF(COUNTIFS('Estimates'!$A$5:$A$2004,$A104,'Estimates'!$B$5:$B$2004,"PPS",'Estimates'!$D$5:$D$2004,'Status'!$F$6,'Estimates'!$H$5:$H$2004,1,'Estimates'!$E$5:$E$2004,'Status'!$E$7)=0,"",IF(COUNTIFS('Estimates'!$A$5:$A$2004,$A104,'Estimates'!$B$5:$B$2004,"PPS",'Estimates'!$D$5:$D$2004,'Status'!$F$6,'Estimates'!$H$5:$H$2004,1,'Estimates'!$E$5:$E$2004,'Status'!$E$7)&gt;1,"DUP",IF(COUNTIFS('Estimates'!$A$5:$A$2004,$A104,'Estimates'!$B$5:$B$2004,"PPS",'Estimates'!$D$5:$D$2004,'Status'!$F$6,'Estimates'!$H$5:$H$2004,1,'Estimates'!$E$5:$E$2004,'Status'!$E$7,'Estimates'!$F$5:$F$2004,"&lt;&gt;")=0,"",SUMIFS('Estimates'!$F$5:$F$2004,'Estimates'!$A$5:$A$2004,$A104,'Estimates'!$B$5:$B$2004,"PPS",'Estimates'!$D$5:$D$2004,'Status'!$F$6,'Estimates'!$H$5:$H$2004,1,'Estimates'!$E$5:$E$2004,'Status'!$E$7)))))</x:f>
      </x:c>
      <x:c r="L104" s="13" t="str">
        <x:f>IF(OR(COUNTA($A104)=0,NOT(ISNUMBER('Status'!$G$6))),"",IF(COUNTIFS('Estimates'!$A$5:$A$2004,$A104,'Estimates'!$B$5:$B$2004,"PPS",'Estimates'!$D$5:$D$2004,'Status'!$G$6,'Estimates'!$H$5:$H$2004,1,'Estimates'!$E$5:$E$2004,'Status'!$E$7)=0,"",IF(COUNTIFS('Estimates'!$A$5:$A$2004,$A104,'Estimates'!$B$5:$B$2004,"PPS",'Estimates'!$D$5:$D$2004,'Status'!$G$6,'Estimates'!$H$5:$H$2004,1,'Estimates'!$E$5:$E$2004,'Status'!$E$7)&gt;1,"DUP",IF(COUNTIFS('Estimates'!$A$5:$A$2004,$A104,'Estimates'!$B$5:$B$2004,"PPS",'Estimates'!$D$5:$D$2004,'Status'!$G$6,'Estimates'!$H$5:$H$2004,1,'Estimates'!$E$5:$E$2004,'Status'!$E$7,'Estimates'!$F$5:$F$2004,"&lt;&gt;")=0,"",SUMIFS('Estimates'!$F$5:$F$2004,'Estimates'!$A$5:$A$2004,$A104,'Estimates'!$B$5:$B$2004,"PPS",'Estimates'!$D$5:$D$2004,'Status'!$G$6,'Estimates'!$H$5:$H$2004,1,'Estimates'!$E$5:$E$2004,'Status'!$E$7)))))</x:f>
      </x:c>
      <x:c r="M104" s="13" t="str">
        <x:f>IF(AND(ISNUMBER(J104),ISNUMBER(K104)),K104-J104,"")</x:f>
      </x:c>
      <x:c r="N104" s="13" t="str">
        <x:f>IF(AND(ISNUMBER(K104),ISNUMBER(L104)),L104-K104,"")</x:f>
      </x:c>
      <x:c r="O104" s="13" t="str">
        <x:f>IF(AND(COUNT(J104:L104)=3,COUNT('Status'!$E$6:$G$6)=3,'Status'!$E$6&gt;'Status'!$F$6,'Status'!$F$6&gt;'Status'!$G$6,'Status'!$G$6&gt;0),ABS(L104-(K104+(K104-J104)*('Status'!$G$6-'Status'!$F$6)/('Status'!$F$6-'Status'!$E$6))),"")</x:f>
      </x:c>
      <x:c r="P104" s="13" t="str">
        <x:f>IF(AND(COUNT(J104:L104)=3,COUNT('Status'!$E$6:$G$6)=3,'Status'!$E$6&gt;'Status'!$F$6,'Status'!$F$6&gt;'Status'!$G$6,'Status'!$G$6&gt;0),('Status'!$F$6*L104-'Status'!$G$6*K104)/('Status'!$F$6-'Status'!$G$6),"")</x:f>
      </x:c>
      <x:c r="Q104" s="20"/>
      <x:c r="R104" s="13" t="str">
        <x:f>IF(COUNTA($A104)=0,"",IF('Status'!$B$6="MPS 1",IF(ISNUMBER(C104),C104,""),IF('Status'!$B$6="MPS 2",IF(ISNUMBER(D104),D104,""),IF('Status'!$B$6="MPS 3",IF(ISNUMBER(E104),E104,""),IF('Status'!$B$6="MPS extrap",IF(ISNUMBER(I104),I104,""),IF('Status'!$B$6="PPS 1",IF(ISNUMBER(J104),J104,""),IF('Status'!$B$6="PPS 2",IF(ISNUMBER(K104),K104,""),IF('Status'!$B$6="PPS 3",IF(ISNUMBER(L104),L104,""),IF('Status'!$B$6="PPS extrap",IF(ISNUMBER(P104),P104,""),IF('Status'!$B$6="Calibrated",IF(ISNUMBER(Q104),Q104,""),""))))))))))</x:f>
      </x:c>
      <x:c r="S104" s="2" t="str">
        <x:f>IF(COUNTA(A104)=0,"",IF(COUNTIFS('Estimates'!$A$5:$A$2004,A104,'Estimates'!$B$5:$B$2004,"MPS",'Estimates'!$H$5:$H$2004,1)+COUNTIFS('Estimates'!$A$5:$A$2004,A104,'Estimates'!$B$5:$B$2004,"PPS",'Estimates'!$H$5:$H$2004,1)&gt;0,1,0))</x:f>
      </x:c>
      <x:c r="T104" s="2" t="str">
        <x:f>IF(COUNTA(A104)=0,"",IF(COUNTIFS($A$6:$A$165,A104)&gt;1,"Duplicate target",IF(COUNTIFS(C104:E104,"DUP")+COUNTIFS(J104:L104,"DUP")&gt;0,"Duplicate accepted run",IF(COUNTIFS('Estimates'!$A$5:$A$2004,A104,'Estimates'!$H$5:$H$2004,1)-COUNTIFS('Estimates'!$A$5:$A$2004,A104,'Estimates'!$H$5:$H$2004,1,'Estimates'!$F$5:$F$2004,"&lt;&gt;")&gt;0,"Accepted value missing",""))))</x:f>
      </x:c>
    </x:row>
    <x:row r="105">
      <x:c r="A105" s="21"/>
      <x:c r="B105" s="19"/>
      <x:c r="C105" s="13" t="str">
        <x:f>IF(OR(COUNTA($A105)=0,NOT(ISNUMBER('Status'!$E$5))),"",IF(COUNTIFS('Estimates'!$A$5:$A$2004,$A105,'Estimates'!$B$5:$B$2004,"MPS",'Estimates'!$C$5:$C$2004,'Status'!$E$5,'Estimates'!$H$5:$H$2004,1)=0,"",IF(COUNTIFS('Estimates'!$A$5:$A$2004,$A105,'Estimates'!$B$5:$B$2004,"MPS",'Estimates'!$C$5:$C$2004,'Status'!$E$5,'Estimates'!$H$5:$H$2004,1)&gt;1,"DUP",IF(COUNTIFS('Estimates'!$A$5:$A$2004,$A105,'Estimates'!$B$5:$B$2004,"MPS",'Estimates'!$C$5:$C$2004,'Status'!$E$5,'Estimates'!$H$5:$H$2004,1,'Estimates'!$F$5:$F$2004,"&lt;&gt;")=0,"",SUMIFS('Estimates'!$F$5:$F$2004,'Estimates'!$A$5:$A$2004,$A105,'Estimates'!$B$5:$B$2004,"MPS",'Estimates'!$C$5:$C$2004,'Status'!$E$5,'Estimates'!$H$5:$H$2004,1)))))</x:f>
      </x:c>
      <x:c r="D105" s="13" t="str">
        <x:f>IF(OR(COUNTA($A105)=0,NOT(ISNUMBER('Status'!$F$5))),"",IF(COUNTIFS('Estimates'!$A$5:$A$2004,$A105,'Estimates'!$B$5:$B$2004,"MPS",'Estimates'!$C$5:$C$2004,'Status'!$F$5,'Estimates'!$H$5:$H$2004,1)=0,"",IF(COUNTIFS('Estimates'!$A$5:$A$2004,$A105,'Estimates'!$B$5:$B$2004,"MPS",'Estimates'!$C$5:$C$2004,'Status'!$F$5,'Estimates'!$H$5:$H$2004,1)&gt;1,"DUP",IF(COUNTIFS('Estimates'!$A$5:$A$2004,$A105,'Estimates'!$B$5:$B$2004,"MPS",'Estimates'!$C$5:$C$2004,'Status'!$F$5,'Estimates'!$H$5:$H$2004,1,'Estimates'!$F$5:$F$2004,"&lt;&gt;")=0,"",SUMIFS('Estimates'!$F$5:$F$2004,'Estimates'!$A$5:$A$2004,$A105,'Estimates'!$B$5:$B$2004,"MPS",'Estimates'!$C$5:$C$2004,'Status'!$F$5,'Estimates'!$H$5:$H$2004,1)))))</x:f>
      </x:c>
      <x:c r="E105" s="13" t="str">
        <x:f>IF(OR(COUNTA($A105)=0,NOT(ISNUMBER('Status'!$G$5))),"",IF(COUNTIFS('Estimates'!$A$5:$A$2004,$A105,'Estimates'!$B$5:$B$2004,"MPS",'Estimates'!$C$5:$C$2004,'Status'!$G$5,'Estimates'!$H$5:$H$2004,1)=0,"",IF(COUNTIFS('Estimates'!$A$5:$A$2004,$A105,'Estimates'!$B$5:$B$2004,"MPS",'Estimates'!$C$5:$C$2004,'Status'!$G$5,'Estimates'!$H$5:$H$2004,1)&gt;1,"DUP",IF(COUNTIFS('Estimates'!$A$5:$A$2004,$A105,'Estimates'!$B$5:$B$2004,"MPS",'Estimates'!$C$5:$C$2004,'Status'!$G$5,'Estimates'!$H$5:$H$2004,1,'Estimates'!$F$5:$F$2004,"&lt;&gt;")=0,"",SUMIFS('Estimates'!$F$5:$F$2004,'Estimates'!$A$5:$A$2004,$A105,'Estimates'!$B$5:$B$2004,"MPS",'Estimates'!$C$5:$C$2004,'Status'!$G$5,'Estimates'!$H$5:$H$2004,1)))))</x:f>
      </x:c>
      <x:c r="F105" s="13" t="str">
        <x:f>IF(AND(ISNUMBER(C105),ISNUMBER(D105)),D105-C105,"")</x:f>
      </x:c>
      <x:c r="G105" s="13" t="str">
        <x:f>IF(AND(ISNUMBER(D105),ISNUMBER(E105)),E105-D105,"")</x:f>
      </x:c>
      <x:c r="H105" s="13" t="str">
        <x:f>IF(AND(COUNT(C105:E105)=3,COUNT('Status'!$E$5:$G$5)=3,'Status'!$E$5&gt;0,'Status'!$E$5&lt;'Status'!$F$5,'Status'!$F$5&lt;'Status'!$G$5),ABS(E105-(D105+(D105-C105)*((1/'Status'!$G$5)-(1/'Status'!$F$5))/((1/'Status'!$F$5)-(1/'Status'!$E$5)))),"")</x:f>
      </x:c>
      <x:c r="I105" s="13" t="str">
        <x:f>IF(AND(COUNT(C105:E105)=3,COUNT('Status'!$E$5:$G$5)=3,'Status'!$E$5&gt;0,'Status'!$E$5&lt;'Status'!$F$5,'Status'!$F$5&lt;'Status'!$G$5),((1/'Status'!$F$5)*E105-(1/'Status'!$G$5)*D105)/((1/'Status'!$F$5)-(1/'Status'!$G$5)),"")</x:f>
      </x:c>
      <x:c r="J105" s="13" t="str">
        <x:f>IF(OR(COUNTA($A105)=0,NOT(ISNUMBER('Status'!$E$6))),"",IF(COUNTIFS('Estimates'!$A$5:$A$2004,$A105,'Estimates'!$B$5:$B$2004,"PPS",'Estimates'!$D$5:$D$2004,'Status'!$E$6,'Estimates'!$H$5:$H$2004,1,'Estimates'!$E$5:$E$2004,'Status'!$E$7)=0,"",IF(COUNTIFS('Estimates'!$A$5:$A$2004,$A105,'Estimates'!$B$5:$B$2004,"PPS",'Estimates'!$D$5:$D$2004,'Status'!$E$6,'Estimates'!$H$5:$H$2004,1,'Estimates'!$E$5:$E$2004,'Status'!$E$7)&gt;1,"DUP",IF(COUNTIFS('Estimates'!$A$5:$A$2004,$A105,'Estimates'!$B$5:$B$2004,"PPS",'Estimates'!$D$5:$D$2004,'Status'!$E$6,'Estimates'!$H$5:$H$2004,1,'Estimates'!$E$5:$E$2004,'Status'!$E$7,'Estimates'!$F$5:$F$2004,"&lt;&gt;")=0,"",SUMIFS('Estimates'!$F$5:$F$2004,'Estimates'!$A$5:$A$2004,$A105,'Estimates'!$B$5:$B$2004,"PPS",'Estimates'!$D$5:$D$2004,'Status'!$E$6,'Estimates'!$H$5:$H$2004,1,'Estimates'!$E$5:$E$2004,'Status'!$E$7)))))</x:f>
      </x:c>
      <x:c r="K105" s="13" t="str">
        <x:f>IF(OR(COUNTA($A105)=0,NOT(ISNUMBER('Status'!$F$6))),"",IF(COUNTIFS('Estimates'!$A$5:$A$2004,$A105,'Estimates'!$B$5:$B$2004,"PPS",'Estimates'!$D$5:$D$2004,'Status'!$F$6,'Estimates'!$H$5:$H$2004,1,'Estimates'!$E$5:$E$2004,'Status'!$E$7)=0,"",IF(COUNTIFS('Estimates'!$A$5:$A$2004,$A105,'Estimates'!$B$5:$B$2004,"PPS",'Estimates'!$D$5:$D$2004,'Status'!$F$6,'Estimates'!$H$5:$H$2004,1,'Estimates'!$E$5:$E$2004,'Status'!$E$7)&gt;1,"DUP",IF(COUNTIFS('Estimates'!$A$5:$A$2004,$A105,'Estimates'!$B$5:$B$2004,"PPS",'Estimates'!$D$5:$D$2004,'Status'!$F$6,'Estimates'!$H$5:$H$2004,1,'Estimates'!$E$5:$E$2004,'Status'!$E$7,'Estimates'!$F$5:$F$2004,"&lt;&gt;")=0,"",SUMIFS('Estimates'!$F$5:$F$2004,'Estimates'!$A$5:$A$2004,$A105,'Estimates'!$B$5:$B$2004,"PPS",'Estimates'!$D$5:$D$2004,'Status'!$F$6,'Estimates'!$H$5:$H$2004,1,'Estimates'!$E$5:$E$2004,'Status'!$E$7)))))</x:f>
      </x:c>
      <x:c r="L105" s="13" t="str">
        <x:f>IF(OR(COUNTA($A105)=0,NOT(ISNUMBER('Status'!$G$6))),"",IF(COUNTIFS('Estimates'!$A$5:$A$2004,$A105,'Estimates'!$B$5:$B$2004,"PPS",'Estimates'!$D$5:$D$2004,'Status'!$G$6,'Estimates'!$H$5:$H$2004,1,'Estimates'!$E$5:$E$2004,'Status'!$E$7)=0,"",IF(COUNTIFS('Estimates'!$A$5:$A$2004,$A105,'Estimates'!$B$5:$B$2004,"PPS",'Estimates'!$D$5:$D$2004,'Status'!$G$6,'Estimates'!$H$5:$H$2004,1,'Estimates'!$E$5:$E$2004,'Status'!$E$7)&gt;1,"DUP",IF(COUNTIFS('Estimates'!$A$5:$A$2004,$A105,'Estimates'!$B$5:$B$2004,"PPS",'Estimates'!$D$5:$D$2004,'Status'!$G$6,'Estimates'!$H$5:$H$2004,1,'Estimates'!$E$5:$E$2004,'Status'!$E$7,'Estimates'!$F$5:$F$2004,"&lt;&gt;")=0,"",SUMIFS('Estimates'!$F$5:$F$2004,'Estimates'!$A$5:$A$2004,$A105,'Estimates'!$B$5:$B$2004,"PPS",'Estimates'!$D$5:$D$2004,'Status'!$G$6,'Estimates'!$H$5:$H$2004,1,'Estimates'!$E$5:$E$2004,'Status'!$E$7)))))</x:f>
      </x:c>
      <x:c r="M105" s="13" t="str">
        <x:f>IF(AND(ISNUMBER(J105),ISNUMBER(K105)),K105-J105,"")</x:f>
      </x:c>
      <x:c r="N105" s="13" t="str">
        <x:f>IF(AND(ISNUMBER(K105),ISNUMBER(L105)),L105-K105,"")</x:f>
      </x:c>
      <x:c r="O105" s="13" t="str">
        <x:f>IF(AND(COUNT(J105:L105)=3,COUNT('Status'!$E$6:$G$6)=3,'Status'!$E$6&gt;'Status'!$F$6,'Status'!$F$6&gt;'Status'!$G$6,'Status'!$G$6&gt;0),ABS(L105-(K105+(K105-J105)*('Status'!$G$6-'Status'!$F$6)/('Status'!$F$6-'Status'!$E$6))),"")</x:f>
      </x:c>
      <x:c r="P105" s="13" t="str">
        <x:f>IF(AND(COUNT(J105:L105)=3,COUNT('Status'!$E$6:$G$6)=3,'Status'!$E$6&gt;'Status'!$F$6,'Status'!$F$6&gt;'Status'!$G$6,'Status'!$G$6&gt;0),('Status'!$F$6*L105-'Status'!$G$6*K105)/('Status'!$F$6-'Status'!$G$6),"")</x:f>
      </x:c>
      <x:c r="Q105" s="20"/>
      <x:c r="R105" s="13" t="str">
        <x:f>IF(COUNTA($A105)=0,"",IF('Status'!$B$6="MPS 1",IF(ISNUMBER(C105),C105,""),IF('Status'!$B$6="MPS 2",IF(ISNUMBER(D105),D105,""),IF('Status'!$B$6="MPS 3",IF(ISNUMBER(E105),E105,""),IF('Status'!$B$6="MPS extrap",IF(ISNUMBER(I105),I105,""),IF('Status'!$B$6="PPS 1",IF(ISNUMBER(J105),J105,""),IF('Status'!$B$6="PPS 2",IF(ISNUMBER(K105),K105,""),IF('Status'!$B$6="PPS 3",IF(ISNUMBER(L105),L105,""),IF('Status'!$B$6="PPS extrap",IF(ISNUMBER(P105),P105,""),IF('Status'!$B$6="Calibrated",IF(ISNUMBER(Q105),Q105,""),""))))))))))</x:f>
      </x:c>
      <x:c r="S105" s="2" t="str">
        <x:f>IF(COUNTA(A105)=0,"",IF(COUNTIFS('Estimates'!$A$5:$A$2004,A105,'Estimates'!$B$5:$B$2004,"MPS",'Estimates'!$H$5:$H$2004,1)+COUNTIFS('Estimates'!$A$5:$A$2004,A105,'Estimates'!$B$5:$B$2004,"PPS",'Estimates'!$H$5:$H$2004,1)&gt;0,1,0))</x:f>
      </x:c>
      <x:c r="T105" s="2" t="str">
        <x:f>IF(COUNTA(A105)=0,"",IF(COUNTIFS($A$6:$A$165,A105)&gt;1,"Duplicate target",IF(COUNTIFS(C105:E105,"DUP")+COUNTIFS(J105:L105,"DUP")&gt;0,"Duplicate accepted run",IF(COUNTIFS('Estimates'!$A$5:$A$2004,A105,'Estimates'!$H$5:$H$2004,1)-COUNTIFS('Estimates'!$A$5:$A$2004,A105,'Estimates'!$H$5:$H$2004,1,'Estimates'!$F$5:$F$2004,"&lt;&gt;")&gt;0,"Accepted value missing",""))))</x:f>
      </x:c>
    </x:row>
    <x:row r="106">
      <x:c r="A106" s="21"/>
      <x:c r="B106" s="19"/>
      <x:c r="C106" s="13" t="str">
        <x:f>IF(OR(COUNTA($A106)=0,NOT(ISNUMBER('Status'!$E$5))),"",IF(COUNTIFS('Estimates'!$A$5:$A$2004,$A106,'Estimates'!$B$5:$B$2004,"MPS",'Estimates'!$C$5:$C$2004,'Status'!$E$5,'Estimates'!$H$5:$H$2004,1)=0,"",IF(COUNTIFS('Estimates'!$A$5:$A$2004,$A106,'Estimates'!$B$5:$B$2004,"MPS",'Estimates'!$C$5:$C$2004,'Status'!$E$5,'Estimates'!$H$5:$H$2004,1)&gt;1,"DUP",IF(COUNTIFS('Estimates'!$A$5:$A$2004,$A106,'Estimates'!$B$5:$B$2004,"MPS",'Estimates'!$C$5:$C$2004,'Status'!$E$5,'Estimates'!$H$5:$H$2004,1,'Estimates'!$F$5:$F$2004,"&lt;&gt;")=0,"",SUMIFS('Estimates'!$F$5:$F$2004,'Estimates'!$A$5:$A$2004,$A106,'Estimates'!$B$5:$B$2004,"MPS",'Estimates'!$C$5:$C$2004,'Status'!$E$5,'Estimates'!$H$5:$H$2004,1)))))</x:f>
      </x:c>
      <x:c r="D106" s="13" t="str">
        <x:f>IF(OR(COUNTA($A106)=0,NOT(ISNUMBER('Status'!$F$5))),"",IF(COUNTIFS('Estimates'!$A$5:$A$2004,$A106,'Estimates'!$B$5:$B$2004,"MPS",'Estimates'!$C$5:$C$2004,'Status'!$F$5,'Estimates'!$H$5:$H$2004,1)=0,"",IF(COUNTIFS('Estimates'!$A$5:$A$2004,$A106,'Estimates'!$B$5:$B$2004,"MPS",'Estimates'!$C$5:$C$2004,'Status'!$F$5,'Estimates'!$H$5:$H$2004,1)&gt;1,"DUP",IF(COUNTIFS('Estimates'!$A$5:$A$2004,$A106,'Estimates'!$B$5:$B$2004,"MPS",'Estimates'!$C$5:$C$2004,'Status'!$F$5,'Estimates'!$H$5:$H$2004,1,'Estimates'!$F$5:$F$2004,"&lt;&gt;")=0,"",SUMIFS('Estimates'!$F$5:$F$2004,'Estimates'!$A$5:$A$2004,$A106,'Estimates'!$B$5:$B$2004,"MPS",'Estimates'!$C$5:$C$2004,'Status'!$F$5,'Estimates'!$H$5:$H$2004,1)))))</x:f>
      </x:c>
      <x:c r="E106" s="13" t="str">
        <x:f>IF(OR(COUNTA($A106)=0,NOT(ISNUMBER('Status'!$G$5))),"",IF(COUNTIFS('Estimates'!$A$5:$A$2004,$A106,'Estimates'!$B$5:$B$2004,"MPS",'Estimates'!$C$5:$C$2004,'Status'!$G$5,'Estimates'!$H$5:$H$2004,1)=0,"",IF(COUNTIFS('Estimates'!$A$5:$A$2004,$A106,'Estimates'!$B$5:$B$2004,"MPS",'Estimates'!$C$5:$C$2004,'Status'!$G$5,'Estimates'!$H$5:$H$2004,1)&gt;1,"DUP",IF(COUNTIFS('Estimates'!$A$5:$A$2004,$A106,'Estimates'!$B$5:$B$2004,"MPS",'Estimates'!$C$5:$C$2004,'Status'!$G$5,'Estimates'!$H$5:$H$2004,1,'Estimates'!$F$5:$F$2004,"&lt;&gt;")=0,"",SUMIFS('Estimates'!$F$5:$F$2004,'Estimates'!$A$5:$A$2004,$A106,'Estimates'!$B$5:$B$2004,"MPS",'Estimates'!$C$5:$C$2004,'Status'!$G$5,'Estimates'!$H$5:$H$2004,1)))))</x:f>
      </x:c>
      <x:c r="F106" s="13" t="str">
        <x:f>IF(AND(ISNUMBER(C106),ISNUMBER(D106)),D106-C106,"")</x:f>
      </x:c>
      <x:c r="G106" s="13" t="str">
        <x:f>IF(AND(ISNUMBER(D106),ISNUMBER(E106)),E106-D106,"")</x:f>
      </x:c>
      <x:c r="H106" s="13" t="str">
        <x:f>IF(AND(COUNT(C106:E106)=3,COUNT('Status'!$E$5:$G$5)=3,'Status'!$E$5&gt;0,'Status'!$E$5&lt;'Status'!$F$5,'Status'!$F$5&lt;'Status'!$G$5),ABS(E106-(D106+(D106-C106)*((1/'Status'!$G$5)-(1/'Status'!$F$5))/((1/'Status'!$F$5)-(1/'Status'!$E$5)))),"")</x:f>
      </x:c>
      <x:c r="I106" s="13" t="str">
        <x:f>IF(AND(COUNT(C106:E106)=3,COUNT('Status'!$E$5:$G$5)=3,'Status'!$E$5&gt;0,'Status'!$E$5&lt;'Status'!$F$5,'Status'!$F$5&lt;'Status'!$G$5),((1/'Status'!$F$5)*E106-(1/'Status'!$G$5)*D106)/((1/'Status'!$F$5)-(1/'Status'!$G$5)),"")</x:f>
      </x:c>
      <x:c r="J106" s="13" t="str">
        <x:f>IF(OR(COUNTA($A106)=0,NOT(ISNUMBER('Status'!$E$6))),"",IF(COUNTIFS('Estimates'!$A$5:$A$2004,$A106,'Estimates'!$B$5:$B$2004,"PPS",'Estimates'!$D$5:$D$2004,'Status'!$E$6,'Estimates'!$H$5:$H$2004,1,'Estimates'!$E$5:$E$2004,'Status'!$E$7)=0,"",IF(COUNTIFS('Estimates'!$A$5:$A$2004,$A106,'Estimates'!$B$5:$B$2004,"PPS",'Estimates'!$D$5:$D$2004,'Status'!$E$6,'Estimates'!$H$5:$H$2004,1,'Estimates'!$E$5:$E$2004,'Status'!$E$7)&gt;1,"DUP",IF(COUNTIFS('Estimates'!$A$5:$A$2004,$A106,'Estimates'!$B$5:$B$2004,"PPS",'Estimates'!$D$5:$D$2004,'Status'!$E$6,'Estimates'!$H$5:$H$2004,1,'Estimates'!$E$5:$E$2004,'Status'!$E$7,'Estimates'!$F$5:$F$2004,"&lt;&gt;")=0,"",SUMIFS('Estimates'!$F$5:$F$2004,'Estimates'!$A$5:$A$2004,$A106,'Estimates'!$B$5:$B$2004,"PPS",'Estimates'!$D$5:$D$2004,'Status'!$E$6,'Estimates'!$H$5:$H$2004,1,'Estimates'!$E$5:$E$2004,'Status'!$E$7)))))</x:f>
      </x:c>
      <x:c r="K106" s="13" t="str">
        <x:f>IF(OR(COUNTA($A106)=0,NOT(ISNUMBER('Status'!$F$6))),"",IF(COUNTIFS('Estimates'!$A$5:$A$2004,$A106,'Estimates'!$B$5:$B$2004,"PPS",'Estimates'!$D$5:$D$2004,'Status'!$F$6,'Estimates'!$H$5:$H$2004,1,'Estimates'!$E$5:$E$2004,'Status'!$E$7)=0,"",IF(COUNTIFS('Estimates'!$A$5:$A$2004,$A106,'Estimates'!$B$5:$B$2004,"PPS",'Estimates'!$D$5:$D$2004,'Status'!$F$6,'Estimates'!$H$5:$H$2004,1,'Estimates'!$E$5:$E$2004,'Status'!$E$7)&gt;1,"DUP",IF(COUNTIFS('Estimates'!$A$5:$A$2004,$A106,'Estimates'!$B$5:$B$2004,"PPS",'Estimates'!$D$5:$D$2004,'Status'!$F$6,'Estimates'!$H$5:$H$2004,1,'Estimates'!$E$5:$E$2004,'Status'!$E$7,'Estimates'!$F$5:$F$2004,"&lt;&gt;")=0,"",SUMIFS('Estimates'!$F$5:$F$2004,'Estimates'!$A$5:$A$2004,$A106,'Estimates'!$B$5:$B$2004,"PPS",'Estimates'!$D$5:$D$2004,'Status'!$F$6,'Estimates'!$H$5:$H$2004,1,'Estimates'!$E$5:$E$2004,'Status'!$E$7)))))</x:f>
      </x:c>
      <x:c r="L106" s="13" t="str">
        <x:f>IF(OR(COUNTA($A106)=0,NOT(ISNUMBER('Status'!$G$6))),"",IF(COUNTIFS('Estimates'!$A$5:$A$2004,$A106,'Estimates'!$B$5:$B$2004,"PPS",'Estimates'!$D$5:$D$2004,'Status'!$G$6,'Estimates'!$H$5:$H$2004,1,'Estimates'!$E$5:$E$2004,'Status'!$E$7)=0,"",IF(COUNTIFS('Estimates'!$A$5:$A$2004,$A106,'Estimates'!$B$5:$B$2004,"PPS",'Estimates'!$D$5:$D$2004,'Status'!$G$6,'Estimates'!$H$5:$H$2004,1,'Estimates'!$E$5:$E$2004,'Status'!$E$7)&gt;1,"DUP",IF(COUNTIFS('Estimates'!$A$5:$A$2004,$A106,'Estimates'!$B$5:$B$2004,"PPS",'Estimates'!$D$5:$D$2004,'Status'!$G$6,'Estimates'!$H$5:$H$2004,1,'Estimates'!$E$5:$E$2004,'Status'!$E$7,'Estimates'!$F$5:$F$2004,"&lt;&gt;")=0,"",SUMIFS('Estimates'!$F$5:$F$2004,'Estimates'!$A$5:$A$2004,$A106,'Estimates'!$B$5:$B$2004,"PPS",'Estimates'!$D$5:$D$2004,'Status'!$G$6,'Estimates'!$H$5:$H$2004,1,'Estimates'!$E$5:$E$2004,'Status'!$E$7)))))</x:f>
      </x:c>
      <x:c r="M106" s="13" t="str">
        <x:f>IF(AND(ISNUMBER(J106),ISNUMBER(K106)),K106-J106,"")</x:f>
      </x:c>
      <x:c r="N106" s="13" t="str">
        <x:f>IF(AND(ISNUMBER(K106),ISNUMBER(L106)),L106-K106,"")</x:f>
      </x:c>
      <x:c r="O106" s="13" t="str">
        <x:f>IF(AND(COUNT(J106:L106)=3,COUNT('Status'!$E$6:$G$6)=3,'Status'!$E$6&gt;'Status'!$F$6,'Status'!$F$6&gt;'Status'!$G$6,'Status'!$G$6&gt;0),ABS(L106-(K106+(K106-J106)*('Status'!$G$6-'Status'!$F$6)/('Status'!$F$6-'Status'!$E$6))),"")</x:f>
      </x:c>
      <x:c r="P106" s="13" t="str">
        <x:f>IF(AND(COUNT(J106:L106)=3,COUNT('Status'!$E$6:$G$6)=3,'Status'!$E$6&gt;'Status'!$F$6,'Status'!$F$6&gt;'Status'!$G$6,'Status'!$G$6&gt;0),('Status'!$F$6*L106-'Status'!$G$6*K106)/('Status'!$F$6-'Status'!$G$6),"")</x:f>
      </x:c>
      <x:c r="Q106" s="20"/>
      <x:c r="R106" s="13" t="str">
        <x:f>IF(COUNTA($A106)=0,"",IF('Status'!$B$6="MPS 1",IF(ISNUMBER(C106),C106,""),IF('Status'!$B$6="MPS 2",IF(ISNUMBER(D106),D106,""),IF('Status'!$B$6="MPS 3",IF(ISNUMBER(E106),E106,""),IF('Status'!$B$6="MPS extrap",IF(ISNUMBER(I106),I106,""),IF('Status'!$B$6="PPS 1",IF(ISNUMBER(J106),J106,""),IF('Status'!$B$6="PPS 2",IF(ISNUMBER(K106),K106,""),IF('Status'!$B$6="PPS 3",IF(ISNUMBER(L106),L106,""),IF('Status'!$B$6="PPS extrap",IF(ISNUMBER(P106),P106,""),IF('Status'!$B$6="Calibrated",IF(ISNUMBER(Q106),Q106,""),""))))))))))</x:f>
      </x:c>
      <x:c r="S106" s="2" t="str">
        <x:f>IF(COUNTA(A106)=0,"",IF(COUNTIFS('Estimates'!$A$5:$A$2004,A106,'Estimates'!$B$5:$B$2004,"MPS",'Estimates'!$H$5:$H$2004,1)+COUNTIFS('Estimates'!$A$5:$A$2004,A106,'Estimates'!$B$5:$B$2004,"PPS",'Estimates'!$H$5:$H$2004,1)&gt;0,1,0))</x:f>
      </x:c>
      <x:c r="T106" s="2" t="str">
        <x:f>IF(COUNTA(A106)=0,"",IF(COUNTIFS($A$6:$A$165,A106)&gt;1,"Duplicate target",IF(COUNTIFS(C106:E106,"DUP")+COUNTIFS(J106:L106,"DUP")&gt;0,"Duplicate accepted run",IF(COUNTIFS('Estimates'!$A$5:$A$2004,A106,'Estimates'!$H$5:$H$2004,1)-COUNTIFS('Estimates'!$A$5:$A$2004,A106,'Estimates'!$H$5:$H$2004,1,'Estimates'!$F$5:$F$2004,"&lt;&gt;")&gt;0,"Accepted value missing",""))))</x:f>
      </x:c>
    </x:row>
    <x:row r="107">
      <x:c r="A107" s="21"/>
      <x:c r="B107" s="19"/>
      <x:c r="C107" s="13" t="str">
        <x:f>IF(OR(COUNTA($A107)=0,NOT(ISNUMBER('Status'!$E$5))),"",IF(COUNTIFS('Estimates'!$A$5:$A$2004,$A107,'Estimates'!$B$5:$B$2004,"MPS",'Estimates'!$C$5:$C$2004,'Status'!$E$5,'Estimates'!$H$5:$H$2004,1)=0,"",IF(COUNTIFS('Estimates'!$A$5:$A$2004,$A107,'Estimates'!$B$5:$B$2004,"MPS",'Estimates'!$C$5:$C$2004,'Status'!$E$5,'Estimates'!$H$5:$H$2004,1)&gt;1,"DUP",IF(COUNTIFS('Estimates'!$A$5:$A$2004,$A107,'Estimates'!$B$5:$B$2004,"MPS",'Estimates'!$C$5:$C$2004,'Status'!$E$5,'Estimates'!$H$5:$H$2004,1,'Estimates'!$F$5:$F$2004,"&lt;&gt;")=0,"",SUMIFS('Estimates'!$F$5:$F$2004,'Estimates'!$A$5:$A$2004,$A107,'Estimates'!$B$5:$B$2004,"MPS",'Estimates'!$C$5:$C$2004,'Status'!$E$5,'Estimates'!$H$5:$H$2004,1)))))</x:f>
      </x:c>
      <x:c r="D107" s="13" t="str">
        <x:f>IF(OR(COUNTA($A107)=0,NOT(ISNUMBER('Status'!$F$5))),"",IF(COUNTIFS('Estimates'!$A$5:$A$2004,$A107,'Estimates'!$B$5:$B$2004,"MPS",'Estimates'!$C$5:$C$2004,'Status'!$F$5,'Estimates'!$H$5:$H$2004,1)=0,"",IF(COUNTIFS('Estimates'!$A$5:$A$2004,$A107,'Estimates'!$B$5:$B$2004,"MPS",'Estimates'!$C$5:$C$2004,'Status'!$F$5,'Estimates'!$H$5:$H$2004,1)&gt;1,"DUP",IF(COUNTIFS('Estimates'!$A$5:$A$2004,$A107,'Estimates'!$B$5:$B$2004,"MPS",'Estimates'!$C$5:$C$2004,'Status'!$F$5,'Estimates'!$H$5:$H$2004,1,'Estimates'!$F$5:$F$2004,"&lt;&gt;")=0,"",SUMIFS('Estimates'!$F$5:$F$2004,'Estimates'!$A$5:$A$2004,$A107,'Estimates'!$B$5:$B$2004,"MPS",'Estimates'!$C$5:$C$2004,'Status'!$F$5,'Estimates'!$H$5:$H$2004,1)))))</x:f>
      </x:c>
      <x:c r="E107" s="13" t="str">
        <x:f>IF(OR(COUNTA($A107)=0,NOT(ISNUMBER('Status'!$G$5))),"",IF(COUNTIFS('Estimates'!$A$5:$A$2004,$A107,'Estimates'!$B$5:$B$2004,"MPS",'Estimates'!$C$5:$C$2004,'Status'!$G$5,'Estimates'!$H$5:$H$2004,1)=0,"",IF(COUNTIFS('Estimates'!$A$5:$A$2004,$A107,'Estimates'!$B$5:$B$2004,"MPS",'Estimates'!$C$5:$C$2004,'Status'!$G$5,'Estimates'!$H$5:$H$2004,1)&gt;1,"DUP",IF(COUNTIFS('Estimates'!$A$5:$A$2004,$A107,'Estimates'!$B$5:$B$2004,"MPS",'Estimates'!$C$5:$C$2004,'Status'!$G$5,'Estimates'!$H$5:$H$2004,1,'Estimates'!$F$5:$F$2004,"&lt;&gt;")=0,"",SUMIFS('Estimates'!$F$5:$F$2004,'Estimates'!$A$5:$A$2004,$A107,'Estimates'!$B$5:$B$2004,"MPS",'Estimates'!$C$5:$C$2004,'Status'!$G$5,'Estimates'!$H$5:$H$2004,1)))))</x:f>
      </x:c>
      <x:c r="F107" s="13" t="str">
        <x:f>IF(AND(ISNUMBER(C107),ISNUMBER(D107)),D107-C107,"")</x:f>
      </x:c>
      <x:c r="G107" s="13" t="str">
        <x:f>IF(AND(ISNUMBER(D107),ISNUMBER(E107)),E107-D107,"")</x:f>
      </x:c>
      <x:c r="H107" s="13" t="str">
        <x:f>IF(AND(COUNT(C107:E107)=3,COUNT('Status'!$E$5:$G$5)=3,'Status'!$E$5&gt;0,'Status'!$E$5&lt;'Status'!$F$5,'Status'!$F$5&lt;'Status'!$G$5),ABS(E107-(D107+(D107-C107)*((1/'Status'!$G$5)-(1/'Status'!$F$5))/((1/'Status'!$F$5)-(1/'Status'!$E$5)))),"")</x:f>
      </x:c>
      <x:c r="I107" s="13" t="str">
        <x:f>IF(AND(COUNT(C107:E107)=3,COUNT('Status'!$E$5:$G$5)=3,'Status'!$E$5&gt;0,'Status'!$E$5&lt;'Status'!$F$5,'Status'!$F$5&lt;'Status'!$G$5),((1/'Status'!$F$5)*E107-(1/'Status'!$G$5)*D107)/((1/'Status'!$F$5)-(1/'Status'!$G$5)),"")</x:f>
      </x:c>
      <x:c r="J107" s="13" t="str">
        <x:f>IF(OR(COUNTA($A107)=0,NOT(ISNUMBER('Status'!$E$6))),"",IF(COUNTIFS('Estimates'!$A$5:$A$2004,$A107,'Estimates'!$B$5:$B$2004,"PPS",'Estimates'!$D$5:$D$2004,'Status'!$E$6,'Estimates'!$H$5:$H$2004,1,'Estimates'!$E$5:$E$2004,'Status'!$E$7)=0,"",IF(COUNTIFS('Estimates'!$A$5:$A$2004,$A107,'Estimates'!$B$5:$B$2004,"PPS",'Estimates'!$D$5:$D$2004,'Status'!$E$6,'Estimates'!$H$5:$H$2004,1,'Estimates'!$E$5:$E$2004,'Status'!$E$7)&gt;1,"DUP",IF(COUNTIFS('Estimates'!$A$5:$A$2004,$A107,'Estimates'!$B$5:$B$2004,"PPS",'Estimates'!$D$5:$D$2004,'Status'!$E$6,'Estimates'!$H$5:$H$2004,1,'Estimates'!$E$5:$E$2004,'Status'!$E$7,'Estimates'!$F$5:$F$2004,"&lt;&gt;")=0,"",SUMIFS('Estimates'!$F$5:$F$2004,'Estimates'!$A$5:$A$2004,$A107,'Estimates'!$B$5:$B$2004,"PPS",'Estimates'!$D$5:$D$2004,'Status'!$E$6,'Estimates'!$H$5:$H$2004,1,'Estimates'!$E$5:$E$2004,'Status'!$E$7)))))</x:f>
      </x:c>
      <x:c r="K107" s="13" t="str">
        <x:f>IF(OR(COUNTA($A107)=0,NOT(ISNUMBER('Status'!$F$6))),"",IF(COUNTIFS('Estimates'!$A$5:$A$2004,$A107,'Estimates'!$B$5:$B$2004,"PPS",'Estimates'!$D$5:$D$2004,'Status'!$F$6,'Estimates'!$H$5:$H$2004,1,'Estimates'!$E$5:$E$2004,'Status'!$E$7)=0,"",IF(COUNTIFS('Estimates'!$A$5:$A$2004,$A107,'Estimates'!$B$5:$B$2004,"PPS",'Estimates'!$D$5:$D$2004,'Status'!$F$6,'Estimates'!$H$5:$H$2004,1,'Estimates'!$E$5:$E$2004,'Status'!$E$7)&gt;1,"DUP",IF(COUNTIFS('Estimates'!$A$5:$A$2004,$A107,'Estimates'!$B$5:$B$2004,"PPS",'Estimates'!$D$5:$D$2004,'Status'!$F$6,'Estimates'!$H$5:$H$2004,1,'Estimates'!$E$5:$E$2004,'Status'!$E$7,'Estimates'!$F$5:$F$2004,"&lt;&gt;")=0,"",SUMIFS('Estimates'!$F$5:$F$2004,'Estimates'!$A$5:$A$2004,$A107,'Estimates'!$B$5:$B$2004,"PPS",'Estimates'!$D$5:$D$2004,'Status'!$F$6,'Estimates'!$H$5:$H$2004,1,'Estimates'!$E$5:$E$2004,'Status'!$E$7)))))</x:f>
      </x:c>
      <x:c r="L107" s="13" t="str">
        <x:f>IF(OR(COUNTA($A107)=0,NOT(ISNUMBER('Status'!$G$6))),"",IF(COUNTIFS('Estimates'!$A$5:$A$2004,$A107,'Estimates'!$B$5:$B$2004,"PPS",'Estimates'!$D$5:$D$2004,'Status'!$G$6,'Estimates'!$H$5:$H$2004,1,'Estimates'!$E$5:$E$2004,'Status'!$E$7)=0,"",IF(COUNTIFS('Estimates'!$A$5:$A$2004,$A107,'Estimates'!$B$5:$B$2004,"PPS",'Estimates'!$D$5:$D$2004,'Status'!$G$6,'Estimates'!$H$5:$H$2004,1,'Estimates'!$E$5:$E$2004,'Status'!$E$7)&gt;1,"DUP",IF(COUNTIFS('Estimates'!$A$5:$A$2004,$A107,'Estimates'!$B$5:$B$2004,"PPS",'Estimates'!$D$5:$D$2004,'Status'!$G$6,'Estimates'!$H$5:$H$2004,1,'Estimates'!$E$5:$E$2004,'Status'!$E$7,'Estimates'!$F$5:$F$2004,"&lt;&gt;")=0,"",SUMIFS('Estimates'!$F$5:$F$2004,'Estimates'!$A$5:$A$2004,$A107,'Estimates'!$B$5:$B$2004,"PPS",'Estimates'!$D$5:$D$2004,'Status'!$G$6,'Estimates'!$H$5:$H$2004,1,'Estimates'!$E$5:$E$2004,'Status'!$E$7)))))</x:f>
      </x:c>
      <x:c r="M107" s="13" t="str">
        <x:f>IF(AND(ISNUMBER(J107),ISNUMBER(K107)),K107-J107,"")</x:f>
      </x:c>
      <x:c r="N107" s="13" t="str">
        <x:f>IF(AND(ISNUMBER(K107),ISNUMBER(L107)),L107-K107,"")</x:f>
      </x:c>
      <x:c r="O107" s="13" t="str">
        <x:f>IF(AND(COUNT(J107:L107)=3,COUNT('Status'!$E$6:$G$6)=3,'Status'!$E$6&gt;'Status'!$F$6,'Status'!$F$6&gt;'Status'!$G$6,'Status'!$G$6&gt;0),ABS(L107-(K107+(K107-J107)*('Status'!$G$6-'Status'!$F$6)/('Status'!$F$6-'Status'!$E$6))),"")</x:f>
      </x:c>
      <x:c r="P107" s="13" t="str">
        <x:f>IF(AND(COUNT(J107:L107)=3,COUNT('Status'!$E$6:$G$6)=3,'Status'!$E$6&gt;'Status'!$F$6,'Status'!$F$6&gt;'Status'!$G$6,'Status'!$G$6&gt;0),('Status'!$F$6*L107-'Status'!$G$6*K107)/('Status'!$F$6-'Status'!$G$6),"")</x:f>
      </x:c>
      <x:c r="Q107" s="20"/>
      <x:c r="R107" s="13" t="str">
        <x:f>IF(COUNTA($A107)=0,"",IF('Status'!$B$6="MPS 1",IF(ISNUMBER(C107),C107,""),IF('Status'!$B$6="MPS 2",IF(ISNUMBER(D107),D107,""),IF('Status'!$B$6="MPS 3",IF(ISNUMBER(E107),E107,""),IF('Status'!$B$6="MPS extrap",IF(ISNUMBER(I107),I107,""),IF('Status'!$B$6="PPS 1",IF(ISNUMBER(J107),J107,""),IF('Status'!$B$6="PPS 2",IF(ISNUMBER(K107),K107,""),IF('Status'!$B$6="PPS 3",IF(ISNUMBER(L107),L107,""),IF('Status'!$B$6="PPS extrap",IF(ISNUMBER(P107),P107,""),IF('Status'!$B$6="Calibrated",IF(ISNUMBER(Q107),Q107,""),""))))))))))</x:f>
      </x:c>
      <x:c r="S107" s="2" t="str">
        <x:f>IF(COUNTA(A107)=0,"",IF(COUNTIFS('Estimates'!$A$5:$A$2004,A107,'Estimates'!$B$5:$B$2004,"MPS",'Estimates'!$H$5:$H$2004,1)+COUNTIFS('Estimates'!$A$5:$A$2004,A107,'Estimates'!$B$5:$B$2004,"PPS",'Estimates'!$H$5:$H$2004,1)&gt;0,1,0))</x:f>
      </x:c>
      <x:c r="T107" s="2" t="str">
        <x:f>IF(COUNTA(A107)=0,"",IF(COUNTIFS($A$6:$A$165,A107)&gt;1,"Duplicate target",IF(COUNTIFS(C107:E107,"DUP")+COUNTIFS(J107:L107,"DUP")&gt;0,"Duplicate accepted run",IF(COUNTIFS('Estimates'!$A$5:$A$2004,A107,'Estimates'!$H$5:$H$2004,1)-COUNTIFS('Estimates'!$A$5:$A$2004,A107,'Estimates'!$H$5:$H$2004,1,'Estimates'!$F$5:$F$2004,"&lt;&gt;")&gt;0,"Accepted value missing",""))))</x:f>
      </x:c>
    </x:row>
    <x:row r="108">
      <x:c r="A108" s="21"/>
      <x:c r="B108" s="19"/>
      <x:c r="C108" s="13" t="str">
        <x:f>IF(OR(COUNTA($A108)=0,NOT(ISNUMBER('Status'!$E$5))),"",IF(COUNTIFS('Estimates'!$A$5:$A$2004,$A108,'Estimates'!$B$5:$B$2004,"MPS",'Estimates'!$C$5:$C$2004,'Status'!$E$5,'Estimates'!$H$5:$H$2004,1)=0,"",IF(COUNTIFS('Estimates'!$A$5:$A$2004,$A108,'Estimates'!$B$5:$B$2004,"MPS",'Estimates'!$C$5:$C$2004,'Status'!$E$5,'Estimates'!$H$5:$H$2004,1)&gt;1,"DUP",IF(COUNTIFS('Estimates'!$A$5:$A$2004,$A108,'Estimates'!$B$5:$B$2004,"MPS",'Estimates'!$C$5:$C$2004,'Status'!$E$5,'Estimates'!$H$5:$H$2004,1,'Estimates'!$F$5:$F$2004,"&lt;&gt;")=0,"",SUMIFS('Estimates'!$F$5:$F$2004,'Estimates'!$A$5:$A$2004,$A108,'Estimates'!$B$5:$B$2004,"MPS",'Estimates'!$C$5:$C$2004,'Status'!$E$5,'Estimates'!$H$5:$H$2004,1)))))</x:f>
      </x:c>
      <x:c r="D108" s="13" t="str">
        <x:f>IF(OR(COUNTA($A108)=0,NOT(ISNUMBER('Status'!$F$5))),"",IF(COUNTIFS('Estimates'!$A$5:$A$2004,$A108,'Estimates'!$B$5:$B$2004,"MPS",'Estimates'!$C$5:$C$2004,'Status'!$F$5,'Estimates'!$H$5:$H$2004,1)=0,"",IF(COUNTIFS('Estimates'!$A$5:$A$2004,$A108,'Estimates'!$B$5:$B$2004,"MPS",'Estimates'!$C$5:$C$2004,'Status'!$F$5,'Estimates'!$H$5:$H$2004,1)&gt;1,"DUP",IF(COUNTIFS('Estimates'!$A$5:$A$2004,$A108,'Estimates'!$B$5:$B$2004,"MPS",'Estimates'!$C$5:$C$2004,'Status'!$F$5,'Estimates'!$H$5:$H$2004,1,'Estimates'!$F$5:$F$2004,"&lt;&gt;")=0,"",SUMIFS('Estimates'!$F$5:$F$2004,'Estimates'!$A$5:$A$2004,$A108,'Estimates'!$B$5:$B$2004,"MPS",'Estimates'!$C$5:$C$2004,'Status'!$F$5,'Estimates'!$H$5:$H$2004,1)))))</x:f>
      </x:c>
      <x:c r="E108" s="13" t="str">
        <x:f>IF(OR(COUNTA($A108)=0,NOT(ISNUMBER('Status'!$G$5))),"",IF(COUNTIFS('Estimates'!$A$5:$A$2004,$A108,'Estimates'!$B$5:$B$2004,"MPS",'Estimates'!$C$5:$C$2004,'Status'!$G$5,'Estimates'!$H$5:$H$2004,1)=0,"",IF(COUNTIFS('Estimates'!$A$5:$A$2004,$A108,'Estimates'!$B$5:$B$2004,"MPS",'Estimates'!$C$5:$C$2004,'Status'!$G$5,'Estimates'!$H$5:$H$2004,1)&gt;1,"DUP",IF(COUNTIFS('Estimates'!$A$5:$A$2004,$A108,'Estimates'!$B$5:$B$2004,"MPS",'Estimates'!$C$5:$C$2004,'Status'!$G$5,'Estimates'!$H$5:$H$2004,1,'Estimates'!$F$5:$F$2004,"&lt;&gt;")=0,"",SUMIFS('Estimates'!$F$5:$F$2004,'Estimates'!$A$5:$A$2004,$A108,'Estimates'!$B$5:$B$2004,"MPS",'Estimates'!$C$5:$C$2004,'Status'!$G$5,'Estimates'!$H$5:$H$2004,1)))))</x:f>
      </x:c>
      <x:c r="F108" s="13" t="str">
        <x:f>IF(AND(ISNUMBER(C108),ISNUMBER(D108)),D108-C108,"")</x:f>
      </x:c>
      <x:c r="G108" s="13" t="str">
        <x:f>IF(AND(ISNUMBER(D108),ISNUMBER(E108)),E108-D108,"")</x:f>
      </x:c>
      <x:c r="H108" s="13" t="str">
        <x:f>IF(AND(COUNT(C108:E108)=3,COUNT('Status'!$E$5:$G$5)=3,'Status'!$E$5&gt;0,'Status'!$E$5&lt;'Status'!$F$5,'Status'!$F$5&lt;'Status'!$G$5),ABS(E108-(D108+(D108-C108)*((1/'Status'!$G$5)-(1/'Status'!$F$5))/((1/'Status'!$F$5)-(1/'Status'!$E$5)))),"")</x:f>
      </x:c>
      <x:c r="I108" s="13" t="str">
        <x:f>IF(AND(COUNT(C108:E108)=3,COUNT('Status'!$E$5:$G$5)=3,'Status'!$E$5&gt;0,'Status'!$E$5&lt;'Status'!$F$5,'Status'!$F$5&lt;'Status'!$G$5),((1/'Status'!$F$5)*E108-(1/'Status'!$G$5)*D108)/((1/'Status'!$F$5)-(1/'Status'!$G$5)),"")</x:f>
      </x:c>
      <x:c r="J108" s="13" t="str">
        <x:f>IF(OR(COUNTA($A108)=0,NOT(ISNUMBER('Status'!$E$6))),"",IF(COUNTIFS('Estimates'!$A$5:$A$2004,$A108,'Estimates'!$B$5:$B$2004,"PPS",'Estimates'!$D$5:$D$2004,'Status'!$E$6,'Estimates'!$H$5:$H$2004,1,'Estimates'!$E$5:$E$2004,'Status'!$E$7)=0,"",IF(COUNTIFS('Estimates'!$A$5:$A$2004,$A108,'Estimates'!$B$5:$B$2004,"PPS",'Estimates'!$D$5:$D$2004,'Status'!$E$6,'Estimates'!$H$5:$H$2004,1,'Estimates'!$E$5:$E$2004,'Status'!$E$7)&gt;1,"DUP",IF(COUNTIFS('Estimates'!$A$5:$A$2004,$A108,'Estimates'!$B$5:$B$2004,"PPS",'Estimates'!$D$5:$D$2004,'Status'!$E$6,'Estimates'!$H$5:$H$2004,1,'Estimates'!$E$5:$E$2004,'Status'!$E$7,'Estimates'!$F$5:$F$2004,"&lt;&gt;")=0,"",SUMIFS('Estimates'!$F$5:$F$2004,'Estimates'!$A$5:$A$2004,$A108,'Estimates'!$B$5:$B$2004,"PPS",'Estimates'!$D$5:$D$2004,'Status'!$E$6,'Estimates'!$H$5:$H$2004,1,'Estimates'!$E$5:$E$2004,'Status'!$E$7)))))</x:f>
      </x:c>
      <x:c r="K108" s="13" t="str">
        <x:f>IF(OR(COUNTA($A108)=0,NOT(ISNUMBER('Status'!$F$6))),"",IF(COUNTIFS('Estimates'!$A$5:$A$2004,$A108,'Estimates'!$B$5:$B$2004,"PPS",'Estimates'!$D$5:$D$2004,'Status'!$F$6,'Estimates'!$H$5:$H$2004,1,'Estimates'!$E$5:$E$2004,'Status'!$E$7)=0,"",IF(COUNTIFS('Estimates'!$A$5:$A$2004,$A108,'Estimates'!$B$5:$B$2004,"PPS",'Estimates'!$D$5:$D$2004,'Status'!$F$6,'Estimates'!$H$5:$H$2004,1,'Estimates'!$E$5:$E$2004,'Status'!$E$7)&gt;1,"DUP",IF(COUNTIFS('Estimates'!$A$5:$A$2004,$A108,'Estimates'!$B$5:$B$2004,"PPS",'Estimates'!$D$5:$D$2004,'Status'!$F$6,'Estimates'!$H$5:$H$2004,1,'Estimates'!$E$5:$E$2004,'Status'!$E$7,'Estimates'!$F$5:$F$2004,"&lt;&gt;")=0,"",SUMIFS('Estimates'!$F$5:$F$2004,'Estimates'!$A$5:$A$2004,$A108,'Estimates'!$B$5:$B$2004,"PPS",'Estimates'!$D$5:$D$2004,'Status'!$F$6,'Estimates'!$H$5:$H$2004,1,'Estimates'!$E$5:$E$2004,'Status'!$E$7)))))</x:f>
      </x:c>
      <x:c r="L108" s="13" t="str">
        <x:f>IF(OR(COUNTA($A108)=0,NOT(ISNUMBER('Status'!$G$6))),"",IF(COUNTIFS('Estimates'!$A$5:$A$2004,$A108,'Estimates'!$B$5:$B$2004,"PPS",'Estimates'!$D$5:$D$2004,'Status'!$G$6,'Estimates'!$H$5:$H$2004,1,'Estimates'!$E$5:$E$2004,'Status'!$E$7)=0,"",IF(COUNTIFS('Estimates'!$A$5:$A$2004,$A108,'Estimates'!$B$5:$B$2004,"PPS",'Estimates'!$D$5:$D$2004,'Status'!$G$6,'Estimates'!$H$5:$H$2004,1,'Estimates'!$E$5:$E$2004,'Status'!$E$7)&gt;1,"DUP",IF(COUNTIFS('Estimates'!$A$5:$A$2004,$A108,'Estimates'!$B$5:$B$2004,"PPS",'Estimates'!$D$5:$D$2004,'Status'!$G$6,'Estimates'!$H$5:$H$2004,1,'Estimates'!$E$5:$E$2004,'Status'!$E$7,'Estimates'!$F$5:$F$2004,"&lt;&gt;")=0,"",SUMIFS('Estimates'!$F$5:$F$2004,'Estimates'!$A$5:$A$2004,$A108,'Estimates'!$B$5:$B$2004,"PPS",'Estimates'!$D$5:$D$2004,'Status'!$G$6,'Estimates'!$H$5:$H$2004,1,'Estimates'!$E$5:$E$2004,'Status'!$E$7)))))</x:f>
      </x:c>
      <x:c r="M108" s="13" t="str">
        <x:f>IF(AND(ISNUMBER(J108),ISNUMBER(K108)),K108-J108,"")</x:f>
      </x:c>
      <x:c r="N108" s="13" t="str">
        <x:f>IF(AND(ISNUMBER(K108),ISNUMBER(L108)),L108-K108,"")</x:f>
      </x:c>
      <x:c r="O108" s="13" t="str">
        <x:f>IF(AND(COUNT(J108:L108)=3,COUNT('Status'!$E$6:$G$6)=3,'Status'!$E$6&gt;'Status'!$F$6,'Status'!$F$6&gt;'Status'!$G$6,'Status'!$G$6&gt;0),ABS(L108-(K108+(K108-J108)*('Status'!$G$6-'Status'!$F$6)/('Status'!$F$6-'Status'!$E$6))),"")</x:f>
      </x:c>
      <x:c r="P108" s="13" t="str">
        <x:f>IF(AND(COUNT(J108:L108)=3,COUNT('Status'!$E$6:$G$6)=3,'Status'!$E$6&gt;'Status'!$F$6,'Status'!$F$6&gt;'Status'!$G$6,'Status'!$G$6&gt;0),('Status'!$F$6*L108-'Status'!$G$6*K108)/('Status'!$F$6-'Status'!$G$6),"")</x:f>
      </x:c>
      <x:c r="Q108" s="20"/>
      <x:c r="R108" s="13" t="str">
        <x:f>IF(COUNTA($A108)=0,"",IF('Status'!$B$6="MPS 1",IF(ISNUMBER(C108),C108,""),IF('Status'!$B$6="MPS 2",IF(ISNUMBER(D108),D108,""),IF('Status'!$B$6="MPS 3",IF(ISNUMBER(E108),E108,""),IF('Status'!$B$6="MPS extrap",IF(ISNUMBER(I108),I108,""),IF('Status'!$B$6="PPS 1",IF(ISNUMBER(J108),J108,""),IF('Status'!$B$6="PPS 2",IF(ISNUMBER(K108),K108,""),IF('Status'!$B$6="PPS 3",IF(ISNUMBER(L108),L108,""),IF('Status'!$B$6="PPS extrap",IF(ISNUMBER(P108),P108,""),IF('Status'!$B$6="Calibrated",IF(ISNUMBER(Q108),Q108,""),""))))))))))</x:f>
      </x:c>
      <x:c r="S108" s="2" t="str">
        <x:f>IF(COUNTA(A108)=0,"",IF(COUNTIFS('Estimates'!$A$5:$A$2004,A108,'Estimates'!$B$5:$B$2004,"MPS",'Estimates'!$H$5:$H$2004,1)+COUNTIFS('Estimates'!$A$5:$A$2004,A108,'Estimates'!$B$5:$B$2004,"PPS",'Estimates'!$H$5:$H$2004,1)&gt;0,1,0))</x:f>
      </x:c>
      <x:c r="T108" s="2" t="str">
        <x:f>IF(COUNTA(A108)=0,"",IF(COUNTIFS($A$6:$A$165,A108)&gt;1,"Duplicate target",IF(COUNTIFS(C108:E108,"DUP")+COUNTIFS(J108:L108,"DUP")&gt;0,"Duplicate accepted run",IF(COUNTIFS('Estimates'!$A$5:$A$2004,A108,'Estimates'!$H$5:$H$2004,1)-COUNTIFS('Estimates'!$A$5:$A$2004,A108,'Estimates'!$H$5:$H$2004,1,'Estimates'!$F$5:$F$2004,"&lt;&gt;")&gt;0,"Accepted value missing",""))))</x:f>
      </x:c>
    </x:row>
    <x:row r="109">
      <x:c r="A109" s="21"/>
      <x:c r="B109" s="19"/>
      <x:c r="C109" s="13" t="str">
        <x:f>IF(OR(COUNTA($A109)=0,NOT(ISNUMBER('Status'!$E$5))),"",IF(COUNTIFS('Estimates'!$A$5:$A$2004,$A109,'Estimates'!$B$5:$B$2004,"MPS",'Estimates'!$C$5:$C$2004,'Status'!$E$5,'Estimates'!$H$5:$H$2004,1)=0,"",IF(COUNTIFS('Estimates'!$A$5:$A$2004,$A109,'Estimates'!$B$5:$B$2004,"MPS",'Estimates'!$C$5:$C$2004,'Status'!$E$5,'Estimates'!$H$5:$H$2004,1)&gt;1,"DUP",IF(COUNTIFS('Estimates'!$A$5:$A$2004,$A109,'Estimates'!$B$5:$B$2004,"MPS",'Estimates'!$C$5:$C$2004,'Status'!$E$5,'Estimates'!$H$5:$H$2004,1,'Estimates'!$F$5:$F$2004,"&lt;&gt;")=0,"",SUMIFS('Estimates'!$F$5:$F$2004,'Estimates'!$A$5:$A$2004,$A109,'Estimates'!$B$5:$B$2004,"MPS",'Estimates'!$C$5:$C$2004,'Status'!$E$5,'Estimates'!$H$5:$H$2004,1)))))</x:f>
      </x:c>
      <x:c r="D109" s="13" t="str">
        <x:f>IF(OR(COUNTA($A109)=0,NOT(ISNUMBER('Status'!$F$5))),"",IF(COUNTIFS('Estimates'!$A$5:$A$2004,$A109,'Estimates'!$B$5:$B$2004,"MPS",'Estimates'!$C$5:$C$2004,'Status'!$F$5,'Estimates'!$H$5:$H$2004,1)=0,"",IF(COUNTIFS('Estimates'!$A$5:$A$2004,$A109,'Estimates'!$B$5:$B$2004,"MPS",'Estimates'!$C$5:$C$2004,'Status'!$F$5,'Estimates'!$H$5:$H$2004,1)&gt;1,"DUP",IF(COUNTIFS('Estimates'!$A$5:$A$2004,$A109,'Estimates'!$B$5:$B$2004,"MPS",'Estimates'!$C$5:$C$2004,'Status'!$F$5,'Estimates'!$H$5:$H$2004,1,'Estimates'!$F$5:$F$2004,"&lt;&gt;")=0,"",SUMIFS('Estimates'!$F$5:$F$2004,'Estimates'!$A$5:$A$2004,$A109,'Estimates'!$B$5:$B$2004,"MPS",'Estimates'!$C$5:$C$2004,'Status'!$F$5,'Estimates'!$H$5:$H$2004,1)))))</x:f>
      </x:c>
      <x:c r="E109" s="13" t="str">
        <x:f>IF(OR(COUNTA($A109)=0,NOT(ISNUMBER('Status'!$G$5))),"",IF(COUNTIFS('Estimates'!$A$5:$A$2004,$A109,'Estimates'!$B$5:$B$2004,"MPS",'Estimates'!$C$5:$C$2004,'Status'!$G$5,'Estimates'!$H$5:$H$2004,1)=0,"",IF(COUNTIFS('Estimates'!$A$5:$A$2004,$A109,'Estimates'!$B$5:$B$2004,"MPS",'Estimates'!$C$5:$C$2004,'Status'!$G$5,'Estimates'!$H$5:$H$2004,1)&gt;1,"DUP",IF(COUNTIFS('Estimates'!$A$5:$A$2004,$A109,'Estimates'!$B$5:$B$2004,"MPS",'Estimates'!$C$5:$C$2004,'Status'!$G$5,'Estimates'!$H$5:$H$2004,1,'Estimates'!$F$5:$F$2004,"&lt;&gt;")=0,"",SUMIFS('Estimates'!$F$5:$F$2004,'Estimates'!$A$5:$A$2004,$A109,'Estimates'!$B$5:$B$2004,"MPS",'Estimates'!$C$5:$C$2004,'Status'!$G$5,'Estimates'!$H$5:$H$2004,1)))))</x:f>
      </x:c>
      <x:c r="F109" s="13" t="str">
        <x:f>IF(AND(ISNUMBER(C109),ISNUMBER(D109)),D109-C109,"")</x:f>
      </x:c>
      <x:c r="G109" s="13" t="str">
        <x:f>IF(AND(ISNUMBER(D109),ISNUMBER(E109)),E109-D109,"")</x:f>
      </x:c>
      <x:c r="H109" s="13" t="str">
        <x:f>IF(AND(COUNT(C109:E109)=3,COUNT('Status'!$E$5:$G$5)=3,'Status'!$E$5&gt;0,'Status'!$E$5&lt;'Status'!$F$5,'Status'!$F$5&lt;'Status'!$G$5),ABS(E109-(D109+(D109-C109)*((1/'Status'!$G$5)-(1/'Status'!$F$5))/((1/'Status'!$F$5)-(1/'Status'!$E$5)))),"")</x:f>
      </x:c>
      <x:c r="I109" s="13" t="str">
        <x:f>IF(AND(COUNT(C109:E109)=3,COUNT('Status'!$E$5:$G$5)=3,'Status'!$E$5&gt;0,'Status'!$E$5&lt;'Status'!$F$5,'Status'!$F$5&lt;'Status'!$G$5),((1/'Status'!$F$5)*E109-(1/'Status'!$G$5)*D109)/((1/'Status'!$F$5)-(1/'Status'!$G$5)),"")</x:f>
      </x:c>
      <x:c r="J109" s="13" t="str">
        <x:f>IF(OR(COUNTA($A109)=0,NOT(ISNUMBER('Status'!$E$6))),"",IF(COUNTIFS('Estimates'!$A$5:$A$2004,$A109,'Estimates'!$B$5:$B$2004,"PPS",'Estimates'!$D$5:$D$2004,'Status'!$E$6,'Estimates'!$H$5:$H$2004,1,'Estimates'!$E$5:$E$2004,'Status'!$E$7)=0,"",IF(COUNTIFS('Estimates'!$A$5:$A$2004,$A109,'Estimates'!$B$5:$B$2004,"PPS",'Estimates'!$D$5:$D$2004,'Status'!$E$6,'Estimates'!$H$5:$H$2004,1,'Estimates'!$E$5:$E$2004,'Status'!$E$7)&gt;1,"DUP",IF(COUNTIFS('Estimates'!$A$5:$A$2004,$A109,'Estimates'!$B$5:$B$2004,"PPS",'Estimates'!$D$5:$D$2004,'Status'!$E$6,'Estimates'!$H$5:$H$2004,1,'Estimates'!$E$5:$E$2004,'Status'!$E$7,'Estimates'!$F$5:$F$2004,"&lt;&gt;")=0,"",SUMIFS('Estimates'!$F$5:$F$2004,'Estimates'!$A$5:$A$2004,$A109,'Estimates'!$B$5:$B$2004,"PPS",'Estimates'!$D$5:$D$2004,'Status'!$E$6,'Estimates'!$H$5:$H$2004,1,'Estimates'!$E$5:$E$2004,'Status'!$E$7)))))</x:f>
      </x:c>
      <x:c r="K109" s="13" t="str">
        <x:f>IF(OR(COUNTA($A109)=0,NOT(ISNUMBER('Status'!$F$6))),"",IF(COUNTIFS('Estimates'!$A$5:$A$2004,$A109,'Estimates'!$B$5:$B$2004,"PPS",'Estimates'!$D$5:$D$2004,'Status'!$F$6,'Estimates'!$H$5:$H$2004,1,'Estimates'!$E$5:$E$2004,'Status'!$E$7)=0,"",IF(COUNTIFS('Estimates'!$A$5:$A$2004,$A109,'Estimates'!$B$5:$B$2004,"PPS",'Estimates'!$D$5:$D$2004,'Status'!$F$6,'Estimates'!$H$5:$H$2004,1,'Estimates'!$E$5:$E$2004,'Status'!$E$7)&gt;1,"DUP",IF(COUNTIFS('Estimates'!$A$5:$A$2004,$A109,'Estimates'!$B$5:$B$2004,"PPS",'Estimates'!$D$5:$D$2004,'Status'!$F$6,'Estimates'!$H$5:$H$2004,1,'Estimates'!$E$5:$E$2004,'Status'!$E$7,'Estimates'!$F$5:$F$2004,"&lt;&gt;")=0,"",SUMIFS('Estimates'!$F$5:$F$2004,'Estimates'!$A$5:$A$2004,$A109,'Estimates'!$B$5:$B$2004,"PPS",'Estimates'!$D$5:$D$2004,'Status'!$F$6,'Estimates'!$H$5:$H$2004,1,'Estimates'!$E$5:$E$2004,'Status'!$E$7)))))</x:f>
      </x:c>
      <x:c r="L109" s="13" t="str">
        <x:f>IF(OR(COUNTA($A109)=0,NOT(ISNUMBER('Status'!$G$6))),"",IF(COUNTIFS('Estimates'!$A$5:$A$2004,$A109,'Estimates'!$B$5:$B$2004,"PPS",'Estimates'!$D$5:$D$2004,'Status'!$G$6,'Estimates'!$H$5:$H$2004,1,'Estimates'!$E$5:$E$2004,'Status'!$E$7)=0,"",IF(COUNTIFS('Estimates'!$A$5:$A$2004,$A109,'Estimates'!$B$5:$B$2004,"PPS",'Estimates'!$D$5:$D$2004,'Status'!$G$6,'Estimates'!$H$5:$H$2004,1,'Estimates'!$E$5:$E$2004,'Status'!$E$7)&gt;1,"DUP",IF(COUNTIFS('Estimates'!$A$5:$A$2004,$A109,'Estimates'!$B$5:$B$2004,"PPS",'Estimates'!$D$5:$D$2004,'Status'!$G$6,'Estimates'!$H$5:$H$2004,1,'Estimates'!$E$5:$E$2004,'Status'!$E$7,'Estimates'!$F$5:$F$2004,"&lt;&gt;")=0,"",SUMIFS('Estimates'!$F$5:$F$2004,'Estimates'!$A$5:$A$2004,$A109,'Estimates'!$B$5:$B$2004,"PPS",'Estimates'!$D$5:$D$2004,'Status'!$G$6,'Estimates'!$H$5:$H$2004,1,'Estimates'!$E$5:$E$2004,'Status'!$E$7)))))</x:f>
      </x:c>
      <x:c r="M109" s="13" t="str">
        <x:f>IF(AND(ISNUMBER(J109),ISNUMBER(K109)),K109-J109,"")</x:f>
      </x:c>
      <x:c r="N109" s="13" t="str">
        <x:f>IF(AND(ISNUMBER(K109),ISNUMBER(L109)),L109-K109,"")</x:f>
      </x:c>
      <x:c r="O109" s="13" t="str">
        <x:f>IF(AND(COUNT(J109:L109)=3,COUNT('Status'!$E$6:$G$6)=3,'Status'!$E$6&gt;'Status'!$F$6,'Status'!$F$6&gt;'Status'!$G$6,'Status'!$G$6&gt;0),ABS(L109-(K109+(K109-J109)*('Status'!$G$6-'Status'!$F$6)/('Status'!$F$6-'Status'!$E$6))),"")</x:f>
      </x:c>
      <x:c r="P109" s="13" t="str">
        <x:f>IF(AND(COUNT(J109:L109)=3,COUNT('Status'!$E$6:$G$6)=3,'Status'!$E$6&gt;'Status'!$F$6,'Status'!$F$6&gt;'Status'!$G$6,'Status'!$G$6&gt;0),('Status'!$F$6*L109-'Status'!$G$6*K109)/('Status'!$F$6-'Status'!$G$6),"")</x:f>
      </x:c>
      <x:c r="Q109" s="20"/>
      <x:c r="R109" s="13" t="str">
        <x:f>IF(COUNTA($A109)=0,"",IF('Status'!$B$6="MPS 1",IF(ISNUMBER(C109),C109,""),IF('Status'!$B$6="MPS 2",IF(ISNUMBER(D109),D109,""),IF('Status'!$B$6="MPS 3",IF(ISNUMBER(E109),E109,""),IF('Status'!$B$6="MPS extrap",IF(ISNUMBER(I109),I109,""),IF('Status'!$B$6="PPS 1",IF(ISNUMBER(J109),J109,""),IF('Status'!$B$6="PPS 2",IF(ISNUMBER(K109),K109,""),IF('Status'!$B$6="PPS 3",IF(ISNUMBER(L109),L109,""),IF('Status'!$B$6="PPS extrap",IF(ISNUMBER(P109),P109,""),IF('Status'!$B$6="Calibrated",IF(ISNUMBER(Q109),Q109,""),""))))))))))</x:f>
      </x:c>
      <x:c r="S109" s="2" t="str">
        <x:f>IF(COUNTA(A109)=0,"",IF(COUNTIFS('Estimates'!$A$5:$A$2004,A109,'Estimates'!$B$5:$B$2004,"MPS",'Estimates'!$H$5:$H$2004,1)+COUNTIFS('Estimates'!$A$5:$A$2004,A109,'Estimates'!$B$5:$B$2004,"PPS",'Estimates'!$H$5:$H$2004,1)&gt;0,1,0))</x:f>
      </x:c>
      <x:c r="T109" s="2" t="str">
        <x:f>IF(COUNTA(A109)=0,"",IF(COUNTIFS($A$6:$A$165,A109)&gt;1,"Duplicate target",IF(COUNTIFS(C109:E109,"DUP")+COUNTIFS(J109:L109,"DUP")&gt;0,"Duplicate accepted run",IF(COUNTIFS('Estimates'!$A$5:$A$2004,A109,'Estimates'!$H$5:$H$2004,1)-COUNTIFS('Estimates'!$A$5:$A$2004,A109,'Estimates'!$H$5:$H$2004,1,'Estimates'!$F$5:$F$2004,"&lt;&gt;")&gt;0,"Accepted value missing",""))))</x:f>
      </x:c>
    </x:row>
    <x:row r="110">
      <x:c r="A110" s="21"/>
      <x:c r="B110" s="19"/>
      <x:c r="C110" s="13" t="str">
        <x:f>IF(OR(COUNTA($A110)=0,NOT(ISNUMBER('Status'!$E$5))),"",IF(COUNTIFS('Estimates'!$A$5:$A$2004,$A110,'Estimates'!$B$5:$B$2004,"MPS",'Estimates'!$C$5:$C$2004,'Status'!$E$5,'Estimates'!$H$5:$H$2004,1)=0,"",IF(COUNTIFS('Estimates'!$A$5:$A$2004,$A110,'Estimates'!$B$5:$B$2004,"MPS",'Estimates'!$C$5:$C$2004,'Status'!$E$5,'Estimates'!$H$5:$H$2004,1)&gt;1,"DUP",IF(COUNTIFS('Estimates'!$A$5:$A$2004,$A110,'Estimates'!$B$5:$B$2004,"MPS",'Estimates'!$C$5:$C$2004,'Status'!$E$5,'Estimates'!$H$5:$H$2004,1,'Estimates'!$F$5:$F$2004,"&lt;&gt;")=0,"",SUMIFS('Estimates'!$F$5:$F$2004,'Estimates'!$A$5:$A$2004,$A110,'Estimates'!$B$5:$B$2004,"MPS",'Estimates'!$C$5:$C$2004,'Status'!$E$5,'Estimates'!$H$5:$H$2004,1)))))</x:f>
      </x:c>
      <x:c r="D110" s="13" t="str">
        <x:f>IF(OR(COUNTA($A110)=0,NOT(ISNUMBER('Status'!$F$5))),"",IF(COUNTIFS('Estimates'!$A$5:$A$2004,$A110,'Estimates'!$B$5:$B$2004,"MPS",'Estimates'!$C$5:$C$2004,'Status'!$F$5,'Estimates'!$H$5:$H$2004,1)=0,"",IF(COUNTIFS('Estimates'!$A$5:$A$2004,$A110,'Estimates'!$B$5:$B$2004,"MPS",'Estimates'!$C$5:$C$2004,'Status'!$F$5,'Estimates'!$H$5:$H$2004,1)&gt;1,"DUP",IF(COUNTIFS('Estimates'!$A$5:$A$2004,$A110,'Estimates'!$B$5:$B$2004,"MPS",'Estimates'!$C$5:$C$2004,'Status'!$F$5,'Estimates'!$H$5:$H$2004,1,'Estimates'!$F$5:$F$2004,"&lt;&gt;")=0,"",SUMIFS('Estimates'!$F$5:$F$2004,'Estimates'!$A$5:$A$2004,$A110,'Estimates'!$B$5:$B$2004,"MPS",'Estimates'!$C$5:$C$2004,'Status'!$F$5,'Estimates'!$H$5:$H$2004,1)))))</x:f>
      </x:c>
      <x:c r="E110" s="13" t="str">
        <x:f>IF(OR(COUNTA($A110)=0,NOT(ISNUMBER('Status'!$G$5))),"",IF(COUNTIFS('Estimates'!$A$5:$A$2004,$A110,'Estimates'!$B$5:$B$2004,"MPS",'Estimates'!$C$5:$C$2004,'Status'!$G$5,'Estimates'!$H$5:$H$2004,1)=0,"",IF(COUNTIFS('Estimates'!$A$5:$A$2004,$A110,'Estimates'!$B$5:$B$2004,"MPS",'Estimates'!$C$5:$C$2004,'Status'!$G$5,'Estimates'!$H$5:$H$2004,1)&gt;1,"DUP",IF(COUNTIFS('Estimates'!$A$5:$A$2004,$A110,'Estimates'!$B$5:$B$2004,"MPS",'Estimates'!$C$5:$C$2004,'Status'!$G$5,'Estimates'!$H$5:$H$2004,1,'Estimates'!$F$5:$F$2004,"&lt;&gt;")=0,"",SUMIFS('Estimates'!$F$5:$F$2004,'Estimates'!$A$5:$A$2004,$A110,'Estimates'!$B$5:$B$2004,"MPS",'Estimates'!$C$5:$C$2004,'Status'!$G$5,'Estimates'!$H$5:$H$2004,1)))))</x:f>
      </x:c>
      <x:c r="F110" s="13" t="str">
        <x:f>IF(AND(ISNUMBER(C110),ISNUMBER(D110)),D110-C110,"")</x:f>
      </x:c>
      <x:c r="G110" s="13" t="str">
        <x:f>IF(AND(ISNUMBER(D110),ISNUMBER(E110)),E110-D110,"")</x:f>
      </x:c>
      <x:c r="H110" s="13" t="str">
        <x:f>IF(AND(COUNT(C110:E110)=3,COUNT('Status'!$E$5:$G$5)=3,'Status'!$E$5&gt;0,'Status'!$E$5&lt;'Status'!$F$5,'Status'!$F$5&lt;'Status'!$G$5),ABS(E110-(D110+(D110-C110)*((1/'Status'!$G$5)-(1/'Status'!$F$5))/((1/'Status'!$F$5)-(1/'Status'!$E$5)))),"")</x:f>
      </x:c>
      <x:c r="I110" s="13" t="str">
        <x:f>IF(AND(COUNT(C110:E110)=3,COUNT('Status'!$E$5:$G$5)=3,'Status'!$E$5&gt;0,'Status'!$E$5&lt;'Status'!$F$5,'Status'!$F$5&lt;'Status'!$G$5),((1/'Status'!$F$5)*E110-(1/'Status'!$G$5)*D110)/((1/'Status'!$F$5)-(1/'Status'!$G$5)),"")</x:f>
      </x:c>
      <x:c r="J110" s="13" t="str">
        <x:f>IF(OR(COUNTA($A110)=0,NOT(ISNUMBER('Status'!$E$6))),"",IF(COUNTIFS('Estimates'!$A$5:$A$2004,$A110,'Estimates'!$B$5:$B$2004,"PPS",'Estimates'!$D$5:$D$2004,'Status'!$E$6,'Estimates'!$H$5:$H$2004,1,'Estimates'!$E$5:$E$2004,'Status'!$E$7)=0,"",IF(COUNTIFS('Estimates'!$A$5:$A$2004,$A110,'Estimates'!$B$5:$B$2004,"PPS",'Estimates'!$D$5:$D$2004,'Status'!$E$6,'Estimates'!$H$5:$H$2004,1,'Estimates'!$E$5:$E$2004,'Status'!$E$7)&gt;1,"DUP",IF(COUNTIFS('Estimates'!$A$5:$A$2004,$A110,'Estimates'!$B$5:$B$2004,"PPS",'Estimates'!$D$5:$D$2004,'Status'!$E$6,'Estimates'!$H$5:$H$2004,1,'Estimates'!$E$5:$E$2004,'Status'!$E$7,'Estimates'!$F$5:$F$2004,"&lt;&gt;")=0,"",SUMIFS('Estimates'!$F$5:$F$2004,'Estimates'!$A$5:$A$2004,$A110,'Estimates'!$B$5:$B$2004,"PPS",'Estimates'!$D$5:$D$2004,'Status'!$E$6,'Estimates'!$H$5:$H$2004,1,'Estimates'!$E$5:$E$2004,'Status'!$E$7)))))</x:f>
      </x:c>
      <x:c r="K110" s="13" t="str">
        <x:f>IF(OR(COUNTA($A110)=0,NOT(ISNUMBER('Status'!$F$6))),"",IF(COUNTIFS('Estimates'!$A$5:$A$2004,$A110,'Estimates'!$B$5:$B$2004,"PPS",'Estimates'!$D$5:$D$2004,'Status'!$F$6,'Estimates'!$H$5:$H$2004,1,'Estimates'!$E$5:$E$2004,'Status'!$E$7)=0,"",IF(COUNTIFS('Estimates'!$A$5:$A$2004,$A110,'Estimates'!$B$5:$B$2004,"PPS",'Estimates'!$D$5:$D$2004,'Status'!$F$6,'Estimates'!$H$5:$H$2004,1,'Estimates'!$E$5:$E$2004,'Status'!$E$7)&gt;1,"DUP",IF(COUNTIFS('Estimates'!$A$5:$A$2004,$A110,'Estimates'!$B$5:$B$2004,"PPS",'Estimates'!$D$5:$D$2004,'Status'!$F$6,'Estimates'!$H$5:$H$2004,1,'Estimates'!$E$5:$E$2004,'Status'!$E$7,'Estimates'!$F$5:$F$2004,"&lt;&gt;")=0,"",SUMIFS('Estimates'!$F$5:$F$2004,'Estimates'!$A$5:$A$2004,$A110,'Estimates'!$B$5:$B$2004,"PPS",'Estimates'!$D$5:$D$2004,'Status'!$F$6,'Estimates'!$H$5:$H$2004,1,'Estimates'!$E$5:$E$2004,'Status'!$E$7)))))</x:f>
      </x:c>
      <x:c r="L110" s="13" t="str">
        <x:f>IF(OR(COUNTA($A110)=0,NOT(ISNUMBER('Status'!$G$6))),"",IF(COUNTIFS('Estimates'!$A$5:$A$2004,$A110,'Estimates'!$B$5:$B$2004,"PPS",'Estimates'!$D$5:$D$2004,'Status'!$G$6,'Estimates'!$H$5:$H$2004,1,'Estimates'!$E$5:$E$2004,'Status'!$E$7)=0,"",IF(COUNTIFS('Estimates'!$A$5:$A$2004,$A110,'Estimates'!$B$5:$B$2004,"PPS",'Estimates'!$D$5:$D$2004,'Status'!$G$6,'Estimates'!$H$5:$H$2004,1,'Estimates'!$E$5:$E$2004,'Status'!$E$7)&gt;1,"DUP",IF(COUNTIFS('Estimates'!$A$5:$A$2004,$A110,'Estimates'!$B$5:$B$2004,"PPS",'Estimates'!$D$5:$D$2004,'Status'!$G$6,'Estimates'!$H$5:$H$2004,1,'Estimates'!$E$5:$E$2004,'Status'!$E$7,'Estimates'!$F$5:$F$2004,"&lt;&gt;")=0,"",SUMIFS('Estimates'!$F$5:$F$2004,'Estimates'!$A$5:$A$2004,$A110,'Estimates'!$B$5:$B$2004,"PPS",'Estimates'!$D$5:$D$2004,'Status'!$G$6,'Estimates'!$H$5:$H$2004,1,'Estimates'!$E$5:$E$2004,'Status'!$E$7)))))</x:f>
      </x:c>
      <x:c r="M110" s="13" t="str">
        <x:f>IF(AND(ISNUMBER(J110),ISNUMBER(K110)),K110-J110,"")</x:f>
      </x:c>
      <x:c r="N110" s="13" t="str">
        <x:f>IF(AND(ISNUMBER(K110),ISNUMBER(L110)),L110-K110,"")</x:f>
      </x:c>
      <x:c r="O110" s="13" t="str">
        <x:f>IF(AND(COUNT(J110:L110)=3,COUNT('Status'!$E$6:$G$6)=3,'Status'!$E$6&gt;'Status'!$F$6,'Status'!$F$6&gt;'Status'!$G$6,'Status'!$G$6&gt;0),ABS(L110-(K110+(K110-J110)*('Status'!$G$6-'Status'!$F$6)/('Status'!$F$6-'Status'!$E$6))),"")</x:f>
      </x:c>
      <x:c r="P110" s="13" t="str">
        <x:f>IF(AND(COUNT(J110:L110)=3,COUNT('Status'!$E$6:$G$6)=3,'Status'!$E$6&gt;'Status'!$F$6,'Status'!$F$6&gt;'Status'!$G$6,'Status'!$G$6&gt;0),('Status'!$F$6*L110-'Status'!$G$6*K110)/('Status'!$F$6-'Status'!$G$6),"")</x:f>
      </x:c>
      <x:c r="Q110" s="20"/>
      <x:c r="R110" s="13" t="str">
        <x:f>IF(COUNTA($A110)=0,"",IF('Status'!$B$6="MPS 1",IF(ISNUMBER(C110),C110,""),IF('Status'!$B$6="MPS 2",IF(ISNUMBER(D110),D110,""),IF('Status'!$B$6="MPS 3",IF(ISNUMBER(E110),E110,""),IF('Status'!$B$6="MPS extrap",IF(ISNUMBER(I110),I110,""),IF('Status'!$B$6="PPS 1",IF(ISNUMBER(J110),J110,""),IF('Status'!$B$6="PPS 2",IF(ISNUMBER(K110),K110,""),IF('Status'!$B$6="PPS 3",IF(ISNUMBER(L110),L110,""),IF('Status'!$B$6="PPS extrap",IF(ISNUMBER(P110),P110,""),IF('Status'!$B$6="Calibrated",IF(ISNUMBER(Q110),Q110,""),""))))))))))</x:f>
      </x:c>
      <x:c r="S110" s="2" t="str">
        <x:f>IF(COUNTA(A110)=0,"",IF(COUNTIFS('Estimates'!$A$5:$A$2004,A110,'Estimates'!$B$5:$B$2004,"MPS",'Estimates'!$H$5:$H$2004,1)+COUNTIFS('Estimates'!$A$5:$A$2004,A110,'Estimates'!$B$5:$B$2004,"PPS",'Estimates'!$H$5:$H$2004,1)&gt;0,1,0))</x:f>
      </x:c>
      <x:c r="T110" s="2" t="str">
        <x:f>IF(COUNTA(A110)=0,"",IF(COUNTIFS($A$6:$A$165,A110)&gt;1,"Duplicate target",IF(COUNTIFS(C110:E110,"DUP")+COUNTIFS(J110:L110,"DUP")&gt;0,"Duplicate accepted run",IF(COUNTIFS('Estimates'!$A$5:$A$2004,A110,'Estimates'!$H$5:$H$2004,1)-COUNTIFS('Estimates'!$A$5:$A$2004,A110,'Estimates'!$H$5:$H$2004,1,'Estimates'!$F$5:$F$2004,"&lt;&gt;")&gt;0,"Accepted value missing",""))))</x:f>
      </x:c>
    </x:row>
    <x:row r="111">
      <x:c r="A111" s="21"/>
      <x:c r="B111" s="19"/>
      <x:c r="C111" s="13" t="str">
        <x:f>IF(OR(COUNTA($A111)=0,NOT(ISNUMBER('Status'!$E$5))),"",IF(COUNTIFS('Estimates'!$A$5:$A$2004,$A111,'Estimates'!$B$5:$B$2004,"MPS",'Estimates'!$C$5:$C$2004,'Status'!$E$5,'Estimates'!$H$5:$H$2004,1)=0,"",IF(COUNTIFS('Estimates'!$A$5:$A$2004,$A111,'Estimates'!$B$5:$B$2004,"MPS",'Estimates'!$C$5:$C$2004,'Status'!$E$5,'Estimates'!$H$5:$H$2004,1)&gt;1,"DUP",IF(COUNTIFS('Estimates'!$A$5:$A$2004,$A111,'Estimates'!$B$5:$B$2004,"MPS",'Estimates'!$C$5:$C$2004,'Status'!$E$5,'Estimates'!$H$5:$H$2004,1,'Estimates'!$F$5:$F$2004,"&lt;&gt;")=0,"",SUMIFS('Estimates'!$F$5:$F$2004,'Estimates'!$A$5:$A$2004,$A111,'Estimates'!$B$5:$B$2004,"MPS",'Estimates'!$C$5:$C$2004,'Status'!$E$5,'Estimates'!$H$5:$H$2004,1)))))</x:f>
      </x:c>
      <x:c r="D111" s="13" t="str">
        <x:f>IF(OR(COUNTA($A111)=0,NOT(ISNUMBER('Status'!$F$5))),"",IF(COUNTIFS('Estimates'!$A$5:$A$2004,$A111,'Estimates'!$B$5:$B$2004,"MPS",'Estimates'!$C$5:$C$2004,'Status'!$F$5,'Estimates'!$H$5:$H$2004,1)=0,"",IF(COUNTIFS('Estimates'!$A$5:$A$2004,$A111,'Estimates'!$B$5:$B$2004,"MPS",'Estimates'!$C$5:$C$2004,'Status'!$F$5,'Estimates'!$H$5:$H$2004,1)&gt;1,"DUP",IF(COUNTIFS('Estimates'!$A$5:$A$2004,$A111,'Estimates'!$B$5:$B$2004,"MPS",'Estimates'!$C$5:$C$2004,'Status'!$F$5,'Estimates'!$H$5:$H$2004,1,'Estimates'!$F$5:$F$2004,"&lt;&gt;")=0,"",SUMIFS('Estimates'!$F$5:$F$2004,'Estimates'!$A$5:$A$2004,$A111,'Estimates'!$B$5:$B$2004,"MPS",'Estimates'!$C$5:$C$2004,'Status'!$F$5,'Estimates'!$H$5:$H$2004,1)))))</x:f>
      </x:c>
      <x:c r="E111" s="13" t="str">
        <x:f>IF(OR(COUNTA($A111)=0,NOT(ISNUMBER('Status'!$G$5))),"",IF(COUNTIFS('Estimates'!$A$5:$A$2004,$A111,'Estimates'!$B$5:$B$2004,"MPS",'Estimates'!$C$5:$C$2004,'Status'!$G$5,'Estimates'!$H$5:$H$2004,1)=0,"",IF(COUNTIFS('Estimates'!$A$5:$A$2004,$A111,'Estimates'!$B$5:$B$2004,"MPS",'Estimates'!$C$5:$C$2004,'Status'!$G$5,'Estimates'!$H$5:$H$2004,1)&gt;1,"DUP",IF(COUNTIFS('Estimates'!$A$5:$A$2004,$A111,'Estimates'!$B$5:$B$2004,"MPS",'Estimates'!$C$5:$C$2004,'Status'!$G$5,'Estimates'!$H$5:$H$2004,1,'Estimates'!$F$5:$F$2004,"&lt;&gt;")=0,"",SUMIFS('Estimates'!$F$5:$F$2004,'Estimates'!$A$5:$A$2004,$A111,'Estimates'!$B$5:$B$2004,"MPS",'Estimates'!$C$5:$C$2004,'Status'!$G$5,'Estimates'!$H$5:$H$2004,1)))))</x:f>
      </x:c>
      <x:c r="F111" s="13" t="str">
        <x:f>IF(AND(ISNUMBER(C111),ISNUMBER(D111)),D111-C111,"")</x:f>
      </x:c>
      <x:c r="G111" s="13" t="str">
        <x:f>IF(AND(ISNUMBER(D111),ISNUMBER(E111)),E111-D111,"")</x:f>
      </x:c>
      <x:c r="H111" s="13" t="str">
        <x:f>IF(AND(COUNT(C111:E111)=3,COUNT('Status'!$E$5:$G$5)=3,'Status'!$E$5&gt;0,'Status'!$E$5&lt;'Status'!$F$5,'Status'!$F$5&lt;'Status'!$G$5),ABS(E111-(D111+(D111-C111)*((1/'Status'!$G$5)-(1/'Status'!$F$5))/((1/'Status'!$F$5)-(1/'Status'!$E$5)))),"")</x:f>
      </x:c>
      <x:c r="I111" s="13" t="str">
        <x:f>IF(AND(COUNT(C111:E111)=3,COUNT('Status'!$E$5:$G$5)=3,'Status'!$E$5&gt;0,'Status'!$E$5&lt;'Status'!$F$5,'Status'!$F$5&lt;'Status'!$G$5),((1/'Status'!$F$5)*E111-(1/'Status'!$G$5)*D111)/((1/'Status'!$F$5)-(1/'Status'!$G$5)),"")</x:f>
      </x:c>
      <x:c r="J111" s="13" t="str">
        <x:f>IF(OR(COUNTA($A111)=0,NOT(ISNUMBER('Status'!$E$6))),"",IF(COUNTIFS('Estimates'!$A$5:$A$2004,$A111,'Estimates'!$B$5:$B$2004,"PPS",'Estimates'!$D$5:$D$2004,'Status'!$E$6,'Estimates'!$H$5:$H$2004,1,'Estimates'!$E$5:$E$2004,'Status'!$E$7)=0,"",IF(COUNTIFS('Estimates'!$A$5:$A$2004,$A111,'Estimates'!$B$5:$B$2004,"PPS",'Estimates'!$D$5:$D$2004,'Status'!$E$6,'Estimates'!$H$5:$H$2004,1,'Estimates'!$E$5:$E$2004,'Status'!$E$7)&gt;1,"DUP",IF(COUNTIFS('Estimates'!$A$5:$A$2004,$A111,'Estimates'!$B$5:$B$2004,"PPS",'Estimates'!$D$5:$D$2004,'Status'!$E$6,'Estimates'!$H$5:$H$2004,1,'Estimates'!$E$5:$E$2004,'Status'!$E$7,'Estimates'!$F$5:$F$2004,"&lt;&gt;")=0,"",SUMIFS('Estimates'!$F$5:$F$2004,'Estimates'!$A$5:$A$2004,$A111,'Estimates'!$B$5:$B$2004,"PPS",'Estimates'!$D$5:$D$2004,'Status'!$E$6,'Estimates'!$H$5:$H$2004,1,'Estimates'!$E$5:$E$2004,'Status'!$E$7)))))</x:f>
      </x:c>
      <x:c r="K111" s="13" t="str">
        <x:f>IF(OR(COUNTA($A111)=0,NOT(ISNUMBER('Status'!$F$6))),"",IF(COUNTIFS('Estimates'!$A$5:$A$2004,$A111,'Estimates'!$B$5:$B$2004,"PPS",'Estimates'!$D$5:$D$2004,'Status'!$F$6,'Estimates'!$H$5:$H$2004,1,'Estimates'!$E$5:$E$2004,'Status'!$E$7)=0,"",IF(COUNTIFS('Estimates'!$A$5:$A$2004,$A111,'Estimates'!$B$5:$B$2004,"PPS",'Estimates'!$D$5:$D$2004,'Status'!$F$6,'Estimates'!$H$5:$H$2004,1,'Estimates'!$E$5:$E$2004,'Status'!$E$7)&gt;1,"DUP",IF(COUNTIFS('Estimates'!$A$5:$A$2004,$A111,'Estimates'!$B$5:$B$2004,"PPS",'Estimates'!$D$5:$D$2004,'Status'!$F$6,'Estimates'!$H$5:$H$2004,1,'Estimates'!$E$5:$E$2004,'Status'!$E$7,'Estimates'!$F$5:$F$2004,"&lt;&gt;")=0,"",SUMIFS('Estimates'!$F$5:$F$2004,'Estimates'!$A$5:$A$2004,$A111,'Estimates'!$B$5:$B$2004,"PPS",'Estimates'!$D$5:$D$2004,'Status'!$F$6,'Estimates'!$H$5:$H$2004,1,'Estimates'!$E$5:$E$2004,'Status'!$E$7)))))</x:f>
      </x:c>
      <x:c r="L111" s="13" t="str">
        <x:f>IF(OR(COUNTA($A111)=0,NOT(ISNUMBER('Status'!$G$6))),"",IF(COUNTIFS('Estimates'!$A$5:$A$2004,$A111,'Estimates'!$B$5:$B$2004,"PPS",'Estimates'!$D$5:$D$2004,'Status'!$G$6,'Estimates'!$H$5:$H$2004,1,'Estimates'!$E$5:$E$2004,'Status'!$E$7)=0,"",IF(COUNTIFS('Estimates'!$A$5:$A$2004,$A111,'Estimates'!$B$5:$B$2004,"PPS",'Estimates'!$D$5:$D$2004,'Status'!$G$6,'Estimates'!$H$5:$H$2004,1,'Estimates'!$E$5:$E$2004,'Status'!$E$7)&gt;1,"DUP",IF(COUNTIFS('Estimates'!$A$5:$A$2004,$A111,'Estimates'!$B$5:$B$2004,"PPS",'Estimates'!$D$5:$D$2004,'Status'!$G$6,'Estimates'!$H$5:$H$2004,1,'Estimates'!$E$5:$E$2004,'Status'!$E$7,'Estimates'!$F$5:$F$2004,"&lt;&gt;")=0,"",SUMIFS('Estimates'!$F$5:$F$2004,'Estimates'!$A$5:$A$2004,$A111,'Estimates'!$B$5:$B$2004,"PPS",'Estimates'!$D$5:$D$2004,'Status'!$G$6,'Estimates'!$H$5:$H$2004,1,'Estimates'!$E$5:$E$2004,'Status'!$E$7)))))</x:f>
      </x:c>
      <x:c r="M111" s="13" t="str">
        <x:f>IF(AND(ISNUMBER(J111),ISNUMBER(K111)),K111-J111,"")</x:f>
      </x:c>
      <x:c r="N111" s="13" t="str">
        <x:f>IF(AND(ISNUMBER(K111),ISNUMBER(L111)),L111-K111,"")</x:f>
      </x:c>
      <x:c r="O111" s="13" t="str">
        <x:f>IF(AND(COUNT(J111:L111)=3,COUNT('Status'!$E$6:$G$6)=3,'Status'!$E$6&gt;'Status'!$F$6,'Status'!$F$6&gt;'Status'!$G$6,'Status'!$G$6&gt;0),ABS(L111-(K111+(K111-J111)*('Status'!$G$6-'Status'!$F$6)/('Status'!$F$6-'Status'!$E$6))),"")</x:f>
      </x:c>
      <x:c r="P111" s="13" t="str">
        <x:f>IF(AND(COUNT(J111:L111)=3,COUNT('Status'!$E$6:$G$6)=3,'Status'!$E$6&gt;'Status'!$F$6,'Status'!$F$6&gt;'Status'!$G$6,'Status'!$G$6&gt;0),('Status'!$F$6*L111-'Status'!$G$6*K111)/('Status'!$F$6-'Status'!$G$6),"")</x:f>
      </x:c>
      <x:c r="Q111" s="20"/>
      <x:c r="R111" s="13" t="str">
        <x:f>IF(COUNTA($A111)=0,"",IF('Status'!$B$6="MPS 1",IF(ISNUMBER(C111),C111,""),IF('Status'!$B$6="MPS 2",IF(ISNUMBER(D111),D111,""),IF('Status'!$B$6="MPS 3",IF(ISNUMBER(E111),E111,""),IF('Status'!$B$6="MPS extrap",IF(ISNUMBER(I111),I111,""),IF('Status'!$B$6="PPS 1",IF(ISNUMBER(J111),J111,""),IF('Status'!$B$6="PPS 2",IF(ISNUMBER(K111),K111,""),IF('Status'!$B$6="PPS 3",IF(ISNUMBER(L111),L111,""),IF('Status'!$B$6="PPS extrap",IF(ISNUMBER(P111),P111,""),IF('Status'!$B$6="Calibrated",IF(ISNUMBER(Q111),Q111,""),""))))))))))</x:f>
      </x:c>
      <x:c r="S111" s="2" t="str">
        <x:f>IF(COUNTA(A111)=0,"",IF(COUNTIFS('Estimates'!$A$5:$A$2004,A111,'Estimates'!$B$5:$B$2004,"MPS",'Estimates'!$H$5:$H$2004,1)+COUNTIFS('Estimates'!$A$5:$A$2004,A111,'Estimates'!$B$5:$B$2004,"PPS",'Estimates'!$H$5:$H$2004,1)&gt;0,1,0))</x:f>
      </x:c>
      <x:c r="T111" s="2" t="str">
        <x:f>IF(COUNTA(A111)=0,"",IF(COUNTIFS($A$6:$A$165,A111)&gt;1,"Duplicate target",IF(COUNTIFS(C111:E111,"DUP")+COUNTIFS(J111:L111,"DUP")&gt;0,"Duplicate accepted run",IF(COUNTIFS('Estimates'!$A$5:$A$2004,A111,'Estimates'!$H$5:$H$2004,1)-COUNTIFS('Estimates'!$A$5:$A$2004,A111,'Estimates'!$H$5:$H$2004,1,'Estimates'!$F$5:$F$2004,"&lt;&gt;")&gt;0,"Accepted value missing",""))))</x:f>
      </x:c>
    </x:row>
    <x:row r="112">
      <x:c r="A112" s="21"/>
      <x:c r="B112" s="19"/>
      <x:c r="C112" s="13" t="str">
        <x:f>IF(OR(COUNTA($A112)=0,NOT(ISNUMBER('Status'!$E$5))),"",IF(COUNTIFS('Estimates'!$A$5:$A$2004,$A112,'Estimates'!$B$5:$B$2004,"MPS",'Estimates'!$C$5:$C$2004,'Status'!$E$5,'Estimates'!$H$5:$H$2004,1)=0,"",IF(COUNTIFS('Estimates'!$A$5:$A$2004,$A112,'Estimates'!$B$5:$B$2004,"MPS",'Estimates'!$C$5:$C$2004,'Status'!$E$5,'Estimates'!$H$5:$H$2004,1)&gt;1,"DUP",IF(COUNTIFS('Estimates'!$A$5:$A$2004,$A112,'Estimates'!$B$5:$B$2004,"MPS",'Estimates'!$C$5:$C$2004,'Status'!$E$5,'Estimates'!$H$5:$H$2004,1,'Estimates'!$F$5:$F$2004,"&lt;&gt;")=0,"",SUMIFS('Estimates'!$F$5:$F$2004,'Estimates'!$A$5:$A$2004,$A112,'Estimates'!$B$5:$B$2004,"MPS",'Estimates'!$C$5:$C$2004,'Status'!$E$5,'Estimates'!$H$5:$H$2004,1)))))</x:f>
      </x:c>
      <x:c r="D112" s="13" t="str">
        <x:f>IF(OR(COUNTA($A112)=0,NOT(ISNUMBER('Status'!$F$5))),"",IF(COUNTIFS('Estimates'!$A$5:$A$2004,$A112,'Estimates'!$B$5:$B$2004,"MPS",'Estimates'!$C$5:$C$2004,'Status'!$F$5,'Estimates'!$H$5:$H$2004,1)=0,"",IF(COUNTIFS('Estimates'!$A$5:$A$2004,$A112,'Estimates'!$B$5:$B$2004,"MPS",'Estimates'!$C$5:$C$2004,'Status'!$F$5,'Estimates'!$H$5:$H$2004,1)&gt;1,"DUP",IF(COUNTIFS('Estimates'!$A$5:$A$2004,$A112,'Estimates'!$B$5:$B$2004,"MPS",'Estimates'!$C$5:$C$2004,'Status'!$F$5,'Estimates'!$H$5:$H$2004,1,'Estimates'!$F$5:$F$2004,"&lt;&gt;")=0,"",SUMIFS('Estimates'!$F$5:$F$2004,'Estimates'!$A$5:$A$2004,$A112,'Estimates'!$B$5:$B$2004,"MPS",'Estimates'!$C$5:$C$2004,'Status'!$F$5,'Estimates'!$H$5:$H$2004,1)))))</x:f>
      </x:c>
      <x:c r="E112" s="13" t="str">
        <x:f>IF(OR(COUNTA($A112)=0,NOT(ISNUMBER('Status'!$G$5))),"",IF(COUNTIFS('Estimates'!$A$5:$A$2004,$A112,'Estimates'!$B$5:$B$2004,"MPS",'Estimates'!$C$5:$C$2004,'Status'!$G$5,'Estimates'!$H$5:$H$2004,1)=0,"",IF(COUNTIFS('Estimates'!$A$5:$A$2004,$A112,'Estimates'!$B$5:$B$2004,"MPS",'Estimates'!$C$5:$C$2004,'Status'!$G$5,'Estimates'!$H$5:$H$2004,1)&gt;1,"DUP",IF(COUNTIFS('Estimates'!$A$5:$A$2004,$A112,'Estimates'!$B$5:$B$2004,"MPS",'Estimates'!$C$5:$C$2004,'Status'!$G$5,'Estimates'!$H$5:$H$2004,1,'Estimates'!$F$5:$F$2004,"&lt;&gt;")=0,"",SUMIFS('Estimates'!$F$5:$F$2004,'Estimates'!$A$5:$A$2004,$A112,'Estimates'!$B$5:$B$2004,"MPS",'Estimates'!$C$5:$C$2004,'Status'!$G$5,'Estimates'!$H$5:$H$2004,1)))))</x:f>
      </x:c>
      <x:c r="F112" s="13" t="str">
        <x:f>IF(AND(ISNUMBER(C112),ISNUMBER(D112)),D112-C112,"")</x:f>
      </x:c>
      <x:c r="G112" s="13" t="str">
        <x:f>IF(AND(ISNUMBER(D112),ISNUMBER(E112)),E112-D112,"")</x:f>
      </x:c>
      <x:c r="H112" s="13" t="str">
        <x:f>IF(AND(COUNT(C112:E112)=3,COUNT('Status'!$E$5:$G$5)=3,'Status'!$E$5&gt;0,'Status'!$E$5&lt;'Status'!$F$5,'Status'!$F$5&lt;'Status'!$G$5),ABS(E112-(D112+(D112-C112)*((1/'Status'!$G$5)-(1/'Status'!$F$5))/((1/'Status'!$F$5)-(1/'Status'!$E$5)))),"")</x:f>
      </x:c>
      <x:c r="I112" s="13" t="str">
        <x:f>IF(AND(COUNT(C112:E112)=3,COUNT('Status'!$E$5:$G$5)=3,'Status'!$E$5&gt;0,'Status'!$E$5&lt;'Status'!$F$5,'Status'!$F$5&lt;'Status'!$G$5),((1/'Status'!$F$5)*E112-(1/'Status'!$G$5)*D112)/((1/'Status'!$F$5)-(1/'Status'!$G$5)),"")</x:f>
      </x:c>
      <x:c r="J112" s="13" t="str">
        <x:f>IF(OR(COUNTA($A112)=0,NOT(ISNUMBER('Status'!$E$6))),"",IF(COUNTIFS('Estimates'!$A$5:$A$2004,$A112,'Estimates'!$B$5:$B$2004,"PPS",'Estimates'!$D$5:$D$2004,'Status'!$E$6,'Estimates'!$H$5:$H$2004,1,'Estimates'!$E$5:$E$2004,'Status'!$E$7)=0,"",IF(COUNTIFS('Estimates'!$A$5:$A$2004,$A112,'Estimates'!$B$5:$B$2004,"PPS",'Estimates'!$D$5:$D$2004,'Status'!$E$6,'Estimates'!$H$5:$H$2004,1,'Estimates'!$E$5:$E$2004,'Status'!$E$7)&gt;1,"DUP",IF(COUNTIFS('Estimates'!$A$5:$A$2004,$A112,'Estimates'!$B$5:$B$2004,"PPS",'Estimates'!$D$5:$D$2004,'Status'!$E$6,'Estimates'!$H$5:$H$2004,1,'Estimates'!$E$5:$E$2004,'Status'!$E$7,'Estimates'!$F$5:$F$2004,"&lt;&gt;")=0,"",SUMIFS('Estimates'!$F$5:$F$2004,'Estimates'!$A$5:$A$2004,$A112,'Estimates'!$B$5:$B$2004,"PPS",'Estimates'!$D$5:$D$2004,'Status'!$E$6,'Estimates'!$H$5:$H$2004,1,'Estimates'!$E$5:$E$2004,'Status'!$E$7)))))</x:f>
      </x:c>
      <x:c r="K112" s="13" t="str">
        <x:f>IF(OR(COUNTA($A112)=0,NOT(ISNUMBER('Status'!$F$6))),"",IF(COUNTIFS('Estimates'!$A$5:$A$2004,$A112,'Estimates'!$B$5:$B$2004,"PPS",'Estimates'!$D$5:$D$2004,'Status'!$F$6,'Estimates'!$H$5:$H$2004,1,'Estimates'!$E$5:$E$2004,'Status'!$E$7)=0,"",IF(COUNTIFS('Estimates'!$A$5:$A$2004,$A112,'Estimates'!$B$5:$B$2004,"PPS",'Estimates'!$D$5:$D$2004,'Status'!$F$6,'Estimates'!$H$5:$H$2004,1,'Estimates'!$E$5:$E$2004,'Status'!$E$7)&gt;1,"DUP",IF(COUNTIFS('Estimates'!$A$5:$A$2004,$A112,'Estimates'!$B$5:$B$2004,"PPS",'Estimates'!$D$5:$D$2004,'Status'!$F$6,'Estimates'!$H$5:$H$2004,1,'Estimates'!$E$5:$E$2004,'Status'!$E$7,'Estimates'!$F$5:$F$2004,"&lt;&gt;")=0,"",SUMIFS('Estimates'!$F$5:$F$2004,'Estimates'!$A$5:$A$2004,$A112,'Estimates'!$B$5:$B$2004,"PPS",'Estimates'!$D$5:$D$2004,'Status'!$F$6,'Estimates'!$H$5:$H$2004,1,'Estimates'!$E$5:$E$2004,'Status'!$E$7)))))</x:f>
      </x:c>
      <x:c r="L112" s="13" t="str">
        <x:f>IF(OR(COUNTA($A112)=0,NOT(ISNUMBER('Status'!$G$6))),"",IF(COUNTIFS('Estimates'!$A$5:$A$2004,$A112,'Estimates'!$B$5:$B$2004,"PPS",'Estimates'!$D$5:$D$2004,'Status'!$G$6,'Estimates'!$H$5:$H$2004,1,'Estimates'!$E$5:$E$2004,'Status'!$E$7)=0,"",IF(COUNTIFS('Estimates'!$A$5:$A$2004,$A112,'Estimates'!$B$5:$B$2004,"PPS",'Estimates'!$D$5:$D$2004,'Status'!$G$6,'Estimates'!$H$5:$H$2004,1,'Estimates'!$E$5:$E$2004,'Status'!$E$7)&gt;1,"DUP",IF(COUNTIFS('Estimates'!$A$5:$A$2004,$A112,'Estimates'!$B$5:$B$2004,"PPS",'Estimates'!$D$5:$D$2004,'Status'!$G$6,'Estimates'!$H$5:$H$2004,1,'Estimates'!$E$5:$E$2004,'Status'!$E$7,'Estimates'!$F$5:$F$2004,"&lt;&gt;")=0,"",SUMIFS('Estimates'!$F$5:$F$2004,'Estimates'!$A$5:$A$2004,$A112,'Estimates'!$B$5:$B$2004,"PPS",'Estimates'!$D$5:$D$2004,'Status'!$G$6,'Estimates'!$H$5:$H$2004,1,'Estimates'!$E$5:$E$2004,'Status'!$E$7)))))</x:f>
      </x:c>
      <x:c r="M112" s="13" t="str">
        <x:f>IF(AND(ISNUMBER(J112),ISNUMBER(K112)),K112-J112,"")</x:f>
      </x:c>
      <x:c r="N112" s="13" t="str">
        <x:f>IF(AND(ISNUMBER(K112),ISNUMBER(L112)),L112-K112,"")</x:f>
      </x:c>
      <x:c r="O112" s="13" t="str">
        <x:f>IF(AND(COUNT(J112:L112)=3,COUNT('Status'!$E$6:$G$6)=3,'Status'!$E$6&gt;'Status'!$F$6,'Status'!$F$6&gt;'Status'!$G$6,'Status'!$G$6&gt;0),ABS(L112-(K112+(K112-J112)*('Status'!$G$6-'Status'!$F$6)/('Status'!$F$6-'Status'!$E$6))),"")</x:f>
      </x:c>
      <x:c r="P112" s="13" t="str">
        <x:f>IF(AND(COUNT(J112:L112)=3,COUNT('Status'!$E$6:$G$6)=3,'Status'!$E$6&gt;'Status'!$F$6,'Status'!$F$6&gt;'Status'!$G$6,'Status'!$G$6&gt;0),('Status'!$F$6*L112-'Status'!$G$6*K112)/('Status'!$F$6-'Status'!$G$6),"")</x:f>
      </x:c>
      <x:c r="Q112" s="20"/>
      <x:c r="R112" s="13" t="str">
        <x:f>IF(COUNTA($A112)=0,"",IF('Status'!$B$6="MPS 1",IF(ISNUMBER(C112),C112,""),IF('Status'!$B$6="MPS 2",IF(ISNUMBER(D112),D112,""),IF('Status'!$B$6="MPS 3",IF(ISNUMBER(E112),E112,""),IF('Status'!$B$6="MPS extrap",IF(ISNUMBER(I112),I112,""),IF('Status'!$B$6="PPS 1",IF(ISNUMBER(J112),J112,""),IF('Status'!$B$6="PPS 2",IF(ISNUMBER(K112),K112,""),IF('Status'!$B$6="PPS 3",IF(ISNUMBER(L112),L112,""),IF('Status'!$B$6="PPS extrap",IF(ISNUMBER(P112),P112,""),IF('Status'!$B$6="Calibrated",IF(ISNUMBER(Q112),Q112,""),""))))))))))</x:f>
      </x:c>
      <x:c r="S112" s="2" t="str">
        <x:f>IF(COUNTA(A112)=0,"",IF(COUNTIFS('Estimates'!$A$5:$A$2004,A112,'Estimates'!$B$5:$B$2004,"MPS",'Estimates'!$H$5:$H$2004,1)+COUNTIFS('Estimates'!$A$5:$A$2004,A112,'Estimates'!$B$5:$B$2004,"PPS",'Estimates'!$H$5:$H$2004,1)&gt;0,1,0))</x:f>
      </x:c>
      <x:c r="T112" s="2" t="str">
        <x:f>IF(COUNTA(A112)=0,"",IF(COUNTIFS($A$6:$A$165,A112)&gt;1,"Duplicate target",IF(COUNTIFS(C112:E112,"DUP")+COUNTIFS(J112:L112,"DUP")&gt;0,"Duplicate accepted run",IF(COUNTIFS('Estimates'!$A$5:$A$2004,A112,'Estimates'!$H$5:$H$2004,1)-COUNTIFS('Estimates'!$A$5:$A$2004,A112,'Estimates'!$H$5:$H$2004,1,'Estimates'!$F$5:$F$2004,"&lt;&gt;")&gt;0,"Accepted value missing",""))))</x:f>
      </x:c>
    </x:row>
    <x:row r="113">
      <x:c r="A113" s="21"/>
      <x:c r="B113" s="19"/>
      <x:c r="C113" s="13" t="str">
        <x:f>IF(OR(COUNTA($A113)=0,NOT(ISNUMBER('Status'!$E$5))),"",IF(COUNTIFS('Estimates'!$A$5:$A$2004,$A113,'Estimates'!$B$5:$B$2004,"MPS",'Estimates'!$C$5:$C$2004,'Status'!$E$5,'Estimates'!$H$5:$H$2004,1)=0,"",IF(COUNTIFS('Estimates'!$A$5:$A$2004,$A113,'Estimates'!$B$5:$B$2004,"MPS",'Estimates'!$C$5:$C$2004,'Status'!$E$5,'Estimates'!$H$5:$H$2004,1)&gt;1,"DUP",IF(COUNTIFS('Estimates'!$A$5:$A$2004,$A113,'Estimates'!$B$5:$B$2004,"MPS",'Estimates'!$C$5:$C$2004,'Status'!$E$5,'Estimates'!$H$5:$H$2004,1,'Estimates'!$F$5:$F$2004,"&lt;&gt;")=0,"",SUMIFS('Estimates'!$F$5:$F$2004,'Estimates'!$A$5:$A$2004,$A113,'Estimates'!$B$5:$B$2004,"MPS",'Estimates'!$C$5:$C$2004,'Status'!$E$5,'Estimates'!$H$5:$H$2004,1)))))</x:f>
      </x:c>
      <x:c r="D113" s="13" t="str">
        <x:f>IF(OR(COUNTA($A113)=0,NOT(ISNUMBER('Status'!$F$5))),"",IF(COUNTIFS('Estimates'!$A$5:$A$2004,$A113,'Estimates'!$B$5:$B$2004,"MPS",'Estimates'!$C$5:$C$2004,'Status'!$F$5,'Estimates'!$H$5:$H$2004,1)=0,"",IF(COUNTIFS('Estimates'!$A$5:$A$2004,$A113,'Estimates'!$B$5:$B$2004,"MPS",'Estimates'!$C$5:$C$2004,'Status'!$F$5,'Estimates'!$H$5:$H$2004,1)&gt;1,"DUP",IF(COUNTIFS('Estimates'!$A$5:$A$2004,$A113,'Estimates'!$B$5:$B$2004,"MPS",'Estimates'!$C$5:$C$2004,'Status'!$F$5,'Estimates'!$H$5:$H$2004,1,'Estimates'!$F$5:$F$2004,"&lt;&gt;")=0,"",SUMIFS('Estimates'!$F$5:$F$2004,'Estimates'!$A$5:$A$2004,$A113,'Estimates'!$B$5:$B$2004,"MPS",'Estimates'!$C$5:$C$2004,'Status'!$F$5,'Estimates'!$H$5:$H$2004,1)))))</x:f>
      </x:c>
      <x:c r="E113" s="13" t="str">
        <x:f>IF(OR(COUNTA($A113)=0,NOT(ISNUMBER('Status'!$G$5))),"",IF(COUNTIFS('Estimates'!$A$5:$A$2004,$A113,'Estimates'!$B$5:$B$2004,"MPS",'Estimates'!$C$5:$C$2004,'Status'!$G$5,'Estimates'!$H$5:$H$2004,1)=0,"",IF(COUNTIFS('Estimates'!$A$5:$A$2004,$A113,'Estimates'!$B$5:$B$2004,"MPS",'Estimates'!$C$5:$C$2004,'Status'!$G$5,'Estimates'!$H$5:$H$2004,1)&gt;1,"DUP",IF(COUNTIFS('Estimates'!$A$5:$A$2004,$A113,'Estimates'!$B$5:$B$2004,"MPS",'Estimates'!$C$5:$C$2004,'Status'!$G$5,'Estimates'!$H$5:$H$2004,1,'Estimates'!$F$5:$F$2004,"&lt;&gt;")=0,"",SUMIFS('Estimates'!$F$5:$F$2004,'Estimates'!$A$5:$A$2004,$A113,'Estimates'!$B$5:$B$2004,"MPS",'Estimates'!$C$5:$C$2004,'Status'!$G$5,'Estimates'!$H$5:$H$2004,1)))))</x:f>
      </x:c>
      <x:c r="F113" s="13" t="str">
        <x:f>IF(AND(ISNUMBER(C113),ISNUMBER(D113)),D113-C113,"")</x:f>
      </x:c>
      <x:c r="G113" s="13" t="str">
        <x:f>IF(AND(ISNUMBER(D113),ISNUMBER(E113)),E113-D113,"")</x:f>
      </x:c>
      <x:c r="H113" s="13" t="str">
        <x:f>IF(AND(COUNT(C113:E113)=3,COUNT('Status'!$E$5:$G$5)=3,'Status'!$E$5&gt;0,'Status'!$E$5&lt;'Status'!$F$5,'Status'!$F$5&lt;'Status'!$G$5),ABS(E113-(D113+(D113-C113)*((1/'Status'!$G$5)-(1/'Status'!$F$5))/((1/'Status'!$F$5)-(1/'Status'!$E$5)))),"")</x:f>
      </x:c>
      <x:c r="I113" s="13" t="str">
        <x:f>IF(AND(COUNT(C113:E113)=3,COUNT('Status'!$E$5:$G$5)=3,'Status'!$E$5&gt;0,'Status'!$E$5&lt;'Status'!$F$5,'Status'!$F$5&lt;'Status'!$G$5),((1/'Status'!$F$5)*E113-(1/'Status'!$G$5)*D113)/((1/'Status'!$F$5)-(1/'Status'!$G$5)),"")</x:f>
      </x:c>
      <x:c r="J113" s="13" t="str">
        <x:f>IF(OR(COUNTA($A113)=0,NOT(ISNUMBER('Status'!$E$6))),"",IF(COUNTIFS('Estimates'!$A$5:$A$2004,$A113,'Estimates'!$B$5:$B$2004,"PPS",'Estimates'!$D$5:$D$2004,'Status'!$E$6,'Estimates'!$H$5:$H$2004,1,'Estimates'!$E$5:$E$2004,'Status'!$E$7)=0,"",IF(COUNTIFS('Estimates'!$A$5:$A$2004,$A113,'Estimates'!$B$5:$B$2004,"PPS",'Estimates'!$D$5:$D$2004,'Status'!$E$6,'Estimates'!$H$5:$H$2004,1,'Estimates'!$E$5:$E$2004,'Status'!$E$7)&gt;1,"DUP",IF(COUNTIFS('Estimates'!$A$5:$A$2004,$A113,'Estimates'!$B$5:$B$2004,"PPS",'Estimates'!$D$5:$D$2004,'Status'!$E$6,'Estimates'!$H$5:$H$2004,1,'Estimates'!$E$5:$E$2004,'Status'!$E$7,'Estimates'!$F$5:$F$2004,"&lt;&gt;")=0,"",SUMIFS('Estimates'!$F$5:$F$2004,'Estimates'!$A$5:$A$2004,$A113,'Estimates'!$B$5:$B$2004,"PPS",'Estimates'!$D$5:$D$2004,'Status'!$E$6,'Estimates'!$H$5:$H$2004,1,'Estimates'!$E$5:$E$2004,'Status'!$E$7)))))</x:f>
      </x:c>
      <x:c r="K113" s="13" t="str">
        <x:f>IF(OR(COUNTA($A113)=0,NOT(ISNUMBER('Status'!$F$6))),"",IF(COUNTIFS('Estimates'!$A$5:$A$2004,$A113,'Estimates'!$B$5:$B$2004,"PPS",'Estimates'!$D$5:$D$2004,'Status'!$F$6,'Estimates'!$H$5:$H$2004,1,'Estimates'!$E$5:$E$2004,'Status'!$E$7)=0,"",IF(COUNTIFS('Estimates'!$A$5:$A$2004,$A113,'Estimates'!$B$5:$B$2004,"PPS",'Estimates'!$D$5:$D$2004,'Status'!$F$6,'Estimates'!$H$5:$H$2004,1,'Estimates'!$E$5:$E$2004,'Status'!$E$7)&gt;1,"DUP",IF(COUNTIFS('Estimates'!$A$5:$A$2004,$A113,'Estimates'!$B$5:$B$2004,"PPS",'Estimates'!$D$5:$D$2004,'Status'!$F$6,'Estimates'!$H$5:$H$2004,1,'Estimates'!$E$5:$E$2004,'Status'!$E$7,'Estimates'!$F$5:$F$2004,"&lt;&gt;")=0,"",SUMIFS('Estimates'!$F$5:$F$2004,'Estimates'!$A$5:$A$2004,$A113,'Estimates'!$B$5:$B$2004,"PPS",'Estimates'!$D$5:$D$2004,'Status'!$F$6,'Estimates'!$H$5:$H$2004,1,'Estimates'!$E$5:$E$2004,'Status'!$E$7)))))</x:f>
      </x:c>
      <x:c r="L113" s="13" t="str">
        <x:f>IF(OR(COUNTA($A113)=0,NOT(ISNUMBER('Status'!$G$6))),"",IF(COUNTIFS('Estimates'!$A$5:$A$2004,$A113,'Estimates'!$B$5:$B$2004,"PPS",'Estimates'!$D$5:$D$2004,'Status'!$G$6,'Estimates'!$H$5:$H$2004,1,'Estimates'!$E$5:$E$2004,'Status'!$E$7)=0,"",IF(COUNTIFS('Estimates'!$A$5:$A$2004,$A113,'Estimates'!$B$5:$B$2004,"PPS",'Estimates'!$D$5:$D$2004,'Status'!$G$6,'Estimates'!$H$5:$H$2004,1,'Estimates'!$E$5:$E$2004,'Status'!$E$7)&gt;1,"DUP",IF(COUNTIFS('Estimates'!$A$5:$A$2004,$A113,'Estimates'!$B$5:$B$2004,"PPS",'Estimates'!$D$5:$D$2004,'Status'!$G$6,'Estimates'!$H$5:$H$2004,1,'Estimates'!$E$5:$E$2004,'Status'!$E$7,'Estimates'!$F$5:$F$2004,"&lt;&gt;")=0,"",SUMIFS('Estimates'!$F$5:$F$2004,'Estimates'!$A$5:$A$2004,$A113,'Estimates'!$B$5:$B$2004,"PPS",'Estimates'!$D$5:$D$2004,'Status'!$G$6,'Estimates'!$H$5:$H$2004,1,'Estimates'!$E$5:$E$2004,'Status'!$E$7)))))</x:f>
      </x:c>
      <x:c r="M113" s="13" t="str">
        <x:f>IF(AND(ISNUMBER(J113),ISNUMBER(K113)),K113-J113,"")</x:f>
      </x:c>
      <x:c r="N113" s="13" t="str">
        <x:f>IF(AND(ISNUMBER(K113),ISNUMBER(L113)),L113-K113,"")</x:f>
      </x:c>
      <x:c r="O113" s="13" t="str">
        <x:f>IF(AND(COUNT(J113:L113)=3,COUNT('Status'!$E$6:$G$6)=3,'Status'!$E$6&gt;'Status'!$F$6,'Status'!$F$6&gt;'Status'!$G$6,'Status'!$G$6&gt;0),ABS(L113-(K113+(K113-J113)*('Status'!$G$6-'Status'!$F$6)/('Status'!$F$6-'Status'!$E$6))),"")</x:f>
      </x:c>
      <x:c r="P113" s="13" t="str">
        <x:f>IF(AND(COUNT(J113:L113)=3,COUNT('Status'!$E$6:$G$6)=3,'Status'!$E$6&gt;'Status'!$F$6,'Status'!$F$6&gt;'Status'!$G$6,'Status'!$G$6&gt;0),('Status'!$F$6*L113-'Status'!$G$6*K113)/('Status'!$F$6-'Status'!$G$6),"")</x:f>
      </x:c>
      <x:c r="Q113" s="20"/>
      <x:c r="R113" s="13" t="str">
        <x:f>IF(COUNTA($A113)=0,"",IF('Status'!$B$6="MPS 1",IF(ISNUMBER(C113),C113,""),IF('Status'!$B$6="MPS 2",IF(ISNUMBER(D113),D113,""),IF('Status'!$B$6="MPS 3",IF(ISNUMBER(E113),E113,""),IF('Status'!$B$6="MPS extrap",IF(ISNUMBER(I113),I113,""),IF('Status'!$B$6="PPS 1",IF(ISNUMBER(J113),J113,""),IF('Status'!$B$6="PPS 2",IF(ISNUMBER(K113),K113,""),IF('Status'!$B$6="PPS 3",IF(ISNUMBER(L113),L113,""),IF('Status'!$B$6="PPS extrap",IF(ISNUMBER(P113),P113,""),IF('Status'!$B$6="Calibrated",IF(ISNUMBER(Q113),Q113,""),""))))))))))</x:f>
      </x:c>
      <x:c r="S113" s="2" t="str">
        <x:f>IF(COUNTA(A113)=0,"",IF(COUNTIFS('Estimates'!$A$5:$A$2004,A113,'Estimates'!$B$5:$B$2004,"MPS",'Estimates'!$H$5:$H$2004,1)+COUNTIFS('Estimates'!$A$5:$A$2004,A113,'Estimates'!$B$5:$B$2004,"PPS",'Estimates'!$H$5:$H$2004,1)&gt;0,1,0))</x:f>
      </x:c>
      <x:c r="T113" s="2" t="str">
        <x:f>IF(COUNTA(A113)=0,"",IF(COUNTIFS($A$6:$A$165,A113)&gt;1,"Duplicate target",IF(COUNTIFS(C113:E113,"DUP")+COUNTIFS(J113:L113,"DUP")&gt;0,"Duplicate accepted run",IF(COUNTIFS('Estimates'!$A$5:$A$2004,A113,'Estimates'!$H$5:$H$2004,1)-COUNTIFS('Estimates'!$A$5:$A$2004,A113,'Estimates'!$H$5:$H$2004,1,'Estimates'!$F$5:$F$2004,"&lt;&gt;")&gt;0,"Accepted value missing",""))))</x:f>
      </x:c>
    </x:row>
    <x:row r="114">
      <x:c r="A114" s="21"/>
      <x:c r="B114" s="19"/>
      <x:c r="C114" s="13" t="str">
        <x:f>IF(OR(COUNTA($A114)=0,NOT(ISNUMBER('Status'!$E$5))),"",IF(COUNTIFS('Estimates'!$A$5:$A$2004,$A114,'Estimates'!$B$5:$B$2004,"MPS",'Estimates'!$C$5:$C$2004,'Status'!$E$5,'Estimates'!$H$5:$H$2004,1)=0,"",IF(COUNTIFS('Estimates'!$A$5:$A$2004,$A114,'Estimates'!$B$5:$B$2004,"MPS",'Estimates'!$C$5:$C$2004,'Status'!$E$5,'Estimates'!$H$5:$H$2004,1)&gt;1,"DUP",IF(COUNTIFS('Estimates'!$A$5:$A$2004,$A114,'Estimates'!$B$5:$B$2004,"MPS",'Estimates'!$C$5:$C$2004,'Status'!$E$5,'Estimates'!$H$5:$H$2004,1,'Estimates'!$F$5:$F$2004,"&lt;&gt;")=0,"",SUMIFS('Estimates'!$F$5:$F$2004,'Estimates'!$A$5:$A$2004,$A114,'Estimates'!$B$5:$B$2004,"MPS",'Estimates'!$C$5:$C$2004,'Status'!$E$5,'Estimates'!$H$5:$H$2004,1)))))</x:f>
      </x:c>
      <x:c r="D114" s="13" t="str">
        <x:f>IF(OR(COUNTA($A114)=0,NOT(ISNUMBER('Status'!$F$5))),"",IF(COUNTIFS('Estimates'!$A$5:$A$2004,$A114,'Estimates'!$B$5:$B$2004,"MPS",'Estimates'!$C$5:$C$2004,'Status'!$F$5,'Estimates'!$H$5:$H$2004,1)=0,"",IF(COUNTIFS('Estimates'!$A$5:$A$2004,$A114,'Estimates'!$B$5:$B$2004,"MPS",'Estimates'!$C$5:$C$2004,'Status'!$F$5,'Estimates'!$H$5:$H$2004,1)&gt;1,"DUP",IF(COUNTIFS('Estimates'!$A$5:$A$2004,$A114,'Estimates'!$B$5:$B$2004,"MPS",'Estimates'!$C$5:$C$2004,'Status'!$F$5,'Estimates'!$H$5:$H$2004,1,'Estimates'!$F$5:$F$2004,"&lt;&gt;")=0,"",SUMIFS('Estimates'!$F$5:$F$2004,'Estimates'!$A$5:$A$2004,$A114,'Estimates'!$B$5:$B$2004,"MPS",'Estimates'!$C$5:$C$2004,'Status'!$F$5,'Estimates'!$H$5:$H$2004,1)))))</x:f>
      </x:c>
      <x:c r="E114" s="13" t="str">
        <x:f>IF(OR(COUNTA($A114)=0,NOT(ISNUMBER('Status'!$G$5))),"",IF(COUNTIFS('Estimates'!$A$5:$A$2004,$A114,'Estimates'!$B$5:$B$2004,"MPS",'Estimates'!$C$5:$C$2004,'Status'!$G$5,'Estimates'!$H$5:$H$2004,1)=0,"",IF(COUNTIFS('Estimates'!$A$5:$A$2004,$A114,'Estimates'!$B$5:$B$2004,"MPS",'Estimates'!$C$5:$C$2004,'Status'!$G$5,'Estimates'!$H$5:$H$2004,1)&gt;1,"DUP",IF(COUNTIFS('Estimates'!$A$5:$A$2004,$A114,'Estimates'!$B$5:$B$2004,"MPS",'Estimates'!$C$5:$C$2004,'Status'!$G$5,'Estimates'!$H$5:$H$2004,1,'Estimates'!$F$5:$F$2004,"&lt;&gt;")=0,"",SUMIFS('Estimates'!$F$5:$F$2004,'Estimates'!$A$5:$A$2004,$A114,'Estimates'!$B$5:$B$2004,"MPS",'Estimates'!$C$5:$C$2004,'Status'!$G$5,'Estimates'!$H$5:$H$2004,1)))))</x:f>
      </x:c>
      <x:c r="F114" s="13" t="str">
        <x:f>IF(AND(ISNUMBER(C114),ISNUMBER(D114)),D114-C114,"")</x:f>
      </x:c>
      <x:c r="G114" s="13" t="str">
        <x:f>IF(AND(ISNUMBER(D114),ISNUMBER(E114)),E114-D114,"")</x:f>
      </x:c>
      <x:c r="H114" s="13" t="str">
        <x:f>IF(AND(COUNT(C114:E114)=3,COUNT('Status'!$E$5:$G$5)=3,'Status'!$E$5&gt;0,'Status'!$E$5&lt;'Status'!$F$5,'Status'!$F$5&lt;'Status'!$G$5),ABS(E114-(D114+(D114-C114)*((1/'Status'!$G$5)-(1/'Status'!$F$5))/((1/'Status'!$F$5)-(1/'Status'!$E$5)))),"")</x:f>
      </x:c>
      <x:c r="I114" s="13" t="str">
        <x:f>IF(AND(COUNT(C114:E114)=3,COUNT('Status'!$E$5:$G$5)=3,'Status'!$E$5&gt;0,'Status'!$E$5&lt;'Status'!$F$5,'Status'!$F$5&lt;'Status'!$G$5),((1/'Status'!$F$5)*E114-(1/'Status'!$G$5)*D114)/((1/'Status'!$F$5)-(1/'Status'!$G$5)),"")</x:f>
      </x:c>
      <x:c r="J114" s="13" t="str">
        <x:f>IF(OR(COUNTA($A114)=0,NOT(ISNUMBER('Status'!$E$6))),"",IF(COUNTIFS('Estimates'!$A$5:$A$2004,$A114,'Estimates'!$B$5:$B$2004,"PPS",'Estimates'!$D$5:$D$2004,'Status'!$E$6,'Estimates'!$H$5:$H$2004,1,'Estimates'!$E$5:$E$2004,'Status'!$E$7)=0,"",IF(COUNTIFS('Estimates'!$A$5:$A$2004,$A114,'Estimates'!$B$5:$B$2004,"PPS",'Estimates'!$D$5:$D$2004,'Status'!$E$6,'Estimates'!$H$5:$H$2004,1,'Estimates'!$E$5:$E$2004,'Status'!$E$7)&gt;1,"DUP",IF(COUNTIFS('Estimates'!$A$5:$A$2004,$A114,'Estimates'!$B$5:$B$2004,"PPS",'Estimates'!$D$5:$D$2004,'Status'!$E$6,'Estimates'!$H$5:$H$2004,1,'Estimates'!$E$5:$E$2004,'Status'!$E$7,'Estimates'!$F$5:$F$2004,"&lt;&gt;")=0,"",SUMIFS('Estimates'!$F$5:$F$2004,'Estimates'!$A$5:$A$2004,$A114,'Estimates'!$B$5:$B$2004,"PPS",'Estimates'!$D$5:$D$2004,'Status'!$E$6,'Estimates'!$H$5:$H$2004,1,'Estimates'!$E$5:$E$2004,'Status'!$E$7)))))</x:f>
      </x:c>
      <x:c r="K114" s="13" t="str">
        <x:f>IF(OR(COUNTA($A114)=0,NOT(ISNUMBER('Status'!$F$6))),"",IF(COUNTIFS('Estimates'!$A$5:$A$2004,$A114,'Estimates'!$B$5:$B$2004,"PPS",'Estimates'!$D$5:$D$2004,'Status'!$F$6,'Estimates'!$H$5:$H$2004,1,'Estimates'!$E$5:$E$2004,'Status'!$E$7)=0,"",IF(COUNTIFS('Estimates'!$A$5:$A$2004,$A114,'Estimates'!$B$5:$B$2004,"PPS",'Estimates'!$D$5:$D$2004,'Status'!$F$6,'Estimates'!$H$5:$H$2004,1,'Estimates'!$E$5:$E$2004,'Status'!$E$7)&gt;1,"DUP",IF(COUNTIFS('Estimates'!$A$5:$A$2004,$A114,'Estimates'!$B$5:$B$2004,"PPS",'Estimates'!$D$5:$D$2004,'Status'!$F$6,'Estimates'!$H$5:$H$2004,1,'Estimates'!$E$5:$E$2004,'Status'!$E$7,'Estimates'!$F$5:$F$2004,"&lt;&gt;")=0,"",SUMIFS('Estimates'!$F$5:$F$2004,'Estimates'!$A$5:$A$2004,$A114,'Estimates'!$B$5:$B$2004,"PPS",'Estimates'!$D$5:$D$2004,'Status'!$F$6,'Estimates'!$H$5:$H$2004,1,'Estimates'!$E$5:$E$2004,'Status'!$E$7)))))</x:f>
      </x:c>
      <x:c r="L114" s="13" t="str">
        <x:f>IF(OR(COUNTA($A114)=0,NOT(ISNUMBER('Status'!$G$6))),"",IF(COUNTIFS('Estimates'!$A$5:$A$2004,$A114,'Estimates'!$B$5:$B$2004,"PPS",'Estimates'!$D$5:$D$2004,'Status'!$G$6,'Estimates'!$H$5:$H$2004,1,'Estimates'!$E$5:$E$2004,'Status'!$E$7)=0,"",IF(COUNTIFS('Estimates'!$A$5:$A$2004,$A114,'Estimates'!$B$5:$B$2004,"PPS",'Estimates'!$D$5:$D$2004,'Status'!$G$6,'Estimates'!$H$5:$H$2004,1,'Estimates'!$E$5:$E$2004,'Status'!$E$7)&gt;1,"DUP",IF(COUNTIFS('Estimates'!$A$5:$A$2004,$A114,'Estimates'!$B$5:$B$2004,"PPS",'Estimates'!$D$5:$D$2004,'Status'!$G$6,'Estimates'!$H$5:$H$2004,1,'Estimates'!$E$5:$E$2004,'Status'!$E$7,'Estimates'!$F$5:$F$2004,"&lt;&gt;")=0,"",SUMIFS('Estimates'!$F$5:$F$2004,'Estimates'!$A$5:$A$2004,$A114,'Estimates'!$B$5:$B$2004,"PPS",'Estimates'!$D$5:$D$2004,'Status'!$G$6,'Estimates'!$H$5:$H$2004,1,'Estimates'!$E$5:$E$2004,'Status'!$E$7)))))</x:f>
      </x:c>
      <x:c r="M114" s="13" t="str">
        <x:f>IF(AND(ISNUMBER(J114),ISNUMBER(K114)),K114-J114,"")</x:f>
      </x:c>
      <x:c r="N114" s="13" t="str">
        <x:f>IF(AND(ISNUMBER(K114),ISNUMBER(L114)),L114-K114,"")</x:f>
      </x:c>
      <x:c r="O114" s="13" t="str">
        <x:f>IF(AND(COUNT(J114:L114)=3,COUNT('Status'!$E$6:$G$6)=3,'Status'!$E$6&gt;'Status'!$F$6,'Status'!$F$6&gt;'Status'!$G$6,'Status'!$G$6&gt;0),ABS(L114-(K114+(K114-J114)*('Status'!$G$6-'Status'!$F$6)/('Status'!$F$6-'Status'!$E$6))),"")</x:f>
      </x:c>
      <x:c r="P114" s="13" t="str">
        <x:f>IF(AND(COUNT(J114:L114)=3,COUNT('Status'!$E$6:$G$6)=3,'Status'!$E$6&gt;'Status'!$F$6,'Status'!$F$6&gt;'Status'!$G$6,'Status'!$G$6&gt;0),('Status'!$F$6*L114-'Status'!$G$6*K114)/('Status'!$F$6-'Status'!$G$6),"")</x:f>
      </x:c>
      <x:c r="Q114" s="20"/>
      <x:c r="R114" s="13" t="str">
        <x:f>IF(COUNTA($A114)=0,"",IF('Status'!$B$6="MPS 1",IF(ISNUMBER(C114),C114,""),IF('Status'!$B$6="MPS 2",IF(ISNUMBER(D114),D114,""),IF('Status'!$B$6="MPS 3",IF(ISNUMBER(E114),E114,""),IF('Status'!$B$6="MPS extrap",IF(ISNUMBER(I114),I114,""),IF('Status'!$B$6="PPS 1",IF(ISNUMBER(J114),J114,""),IF('Status'!$B$6="PPS 2",IF(ISNUMBER(K114),K114,""),IF('Status'!$B$6="PPS 3",IF(ISNUMBER(L114),L114,""),IF('Status'!$B$6="PPS extrap",IF(ISNUMBER(P114),P114,""),IF('Status'!$B$6="Calibrated",IF(ISNUMBER(Q114),Q114,""),""))))))))))</x:f>
      </x:c>
      <x:c r="S114" s="2" t="str">
        <x:f>IF(COUNTA(A114)=0,"",IF(COUNTIFS('Estimates'!$A$5:$A$2004,A114,'Estimates'!$B$5:$B$2004,"MPS",'Estimates'!$H$5:$H$2004,1)+COUNTIFS('Estimates'!$A$5:$A$2004,A114,'Estimates'!$B$5:$B$2004,"PPS",'Estimates'!$H$5:$H$2004,1)&gt;0,1,0))</x:f>
      </x:c>
      <x:c r="T114" s="2" t="str">
        <x:f>IF(COUNTA(A114)=0,"",IF(COUNTIFS($A$6:$A$165,A114)&gt;1,"Duplicate target",IF(COUNTIFS(C114:E114,"DUP")+COUNTIFS(J114:L114,"DUP")&gt;0,"Duplicate accepted run",IF(COUNTIFS('Estimates'!$A$5:$A$2004,A114,'Estimates'!$H$5:$H$2004,1)-COUNTIFS('Estimates'!$A$5:$A$2004,A114,'Estimates'!$H$5:$H$2004,1,'Estimates'!$F$5:$F$2004,"&lt;&gt;")&gt;0,"Accepted value missing",""))))</x:f>
      </x:c>
    </x:row>
    <x:row r="115">
      <x:c r="A115" s="21"/>
      <x:c r="B115" s="19"/>
      <x:c r="C115" s="13" t="str">
        <x:f>IF(OR(COUNTA($A115)=0,NOT(ISNUMBER('Status'!$E$5))),"",IF(COUNTIFS('Estimates'!$A$5:$A$2004,$A115,'Estimates'!$B$5:$B$2004,"MPS",'Estimates'!$C$5:$C$2004,'Status'!$E$5,'Estimates'!$H$5:$H$2004,1)=0,"",IF(COUNTIFS('Estimates'!$A$5:$A$2004,$A115,'Estimates'!$B$5:$B$2004,"MPS",'Estimates'!$C$5:$C$2004,'Status'!$E$5,'Estimates'!$H$5:$H$2004,1)&gt;1,"DUP",IF(COUNTIFS('Estimates'!$A$5:$A$2004,$A115,'Estimates'!$B$5:$B$2004,"MPS",'Estimates'!$C$5:$C$2004,'Status'!$E$5,'Estimates'!$H$5:$H$2004,1,'Estimates'!$F$5:$F$2004,"&lt;&gt;")=0,"",SUMIFS('Estimates'!$F$5:$F$2004,'Estimates'!$A$5:$A$2004,$A115,'Estimates'!$B$5:$B$2004,"MPS",'Estimates'!$C$5:$C$2004,'Status'!$E$5,'Estimates'!$H$5:$H$2004,1)))))</x:f>
      </x:c>
      <x:c r="D115" s="13" t="str">
        <x:f>IF(OR(COUNTA($A115)=0,NOT(ISNUMBER('Status'!$F$5))),"",IF(COUNTIFS('Estimates'!$A$5:$A$2004,$A115,'Estimates'!$B$5:$B$2004,"MPS",'Estimates'!$C$5:$C$2004,'Status'!$F$5,'Estimates'!$H$5:$H$2004,1)=0,"",IF(COUNTIFS('Estimates'!$A$5:$A$2004,$A115,'Estimates'!$B$5:$B$2004,"MPS",'Estimates'!$C$5:$C$2004,'Status'!$F$5,'Estimates'!$H$5:$H$2004,1)&gt;1,"DUP",IF(COUNTIFS('Estimates'!$A$5:$A$2004,$A115,'Estimates'!$B$5:$B$2004,"MPS",'Estimates'!$C$5:$C$2004,'Status'!$F$5,'Estimates'!$H$5:$H$2004,1,'Estimates'!$F$5:$F$2004,"&lt;&gt;")=0,"",SUMIFS('Estimates'!$F$5:$F$2004,'Estimates'!$A$5:$A$2004,$A115,'Estimates'!$B$5:$B$2004,"MPS",'Estimates'!$C$5:$C$2004,'Status'!$F$5,'Estimates'!$H$5:$H$2004,1)))))</x:f>
      </x:c>
      <x:c r="E115" s="13" t="str">
        <x:f>IF(OR(COUNTA($A115)=0,NOT(ISNUMBER('Status'!$G$5))),"",IF(COUNTIFS('Estimates'!$A$5:$A$2004,$A115,'Estimates'!$B$5:$B$2004,"MPS",'Estimates'!$C$5:$C$2004,'Status'!$G$5,'Estimates'!$H$5:$H$2004,1)=0,"",IF(COUNTIFS('Estimates'!$A$5:$A$2004,$A115,'Estimates'!$B$5:$B$2004,"MPS",'Estimates'!$C$5:$C$2004,'Status'!$G$5,'Estimates'!$H$5:$H$2004,1)&gt;1,"DUP",IF(COUNTIFS('Estimates'!$A$5:$A$2004,$A115,'Estimates'!$B$5:$B$2004,"MPS",'Estimates'!$C$5:$C$2004,'Status'!$G$5,'Estimates'!$H$5:$H$2004,1,'Estimates'!$F$5:$F$2004,"&lt;&gt;")=0,"",SUMIFS('Estimates'!$F$5:$F$2004,'Estimates'!$A$5:$A$2004,$A115,'Estimates'!$B$5:$B$2004,"MPS",'Estimates'!$C$5:$C$2004,'Status'!$G$5,'Estimates'!$H$5:$H$2004,1)))))</x:f>
      </x:c>
      <x:c r="F115" s="13" t="str">
        <x:f>IF(AND(ISNUMBER(C115),ISNUMBER(D115)),D115-C115,"")</x:f>
      </x:c>
      <x:c r="G115" s="13" t="str">
        <x:f>IF(AND(ISNUMBER(D115),ISNUMBER(E115)),E115-D115,"")</x:f>
      </x:c>
      <x:c r="H115" s="13" t="str">
        <x:f>IF(AND(COUNT(C115:E115)=3,COUNT('Status'!$E$5:$G$5)=3,'Status'!$E$5&gt;0,'Status'!$E$5&lt;'Status'!$F$5,'Status'!$F$5&lt;'Status'!$G$5),ABS(E115-(D115+(D115-C115)*((1/'Status'!$G$5)-(1/'Status'!$F$5))/((1/'Status'!$F$5)-(1/'Status'!$E$5)))),"")</x:f>
      </x:c>
      <x:c r="I115" s="13" t="str">
        <x:f>IF(AND(COUNT(C115:E115)=3,COUNT('Status'!$E$5:$G$5)=3,'Status'!$E$5&gt;0,'Status'!$E$5&lt;'Status'!$F$5,'Status'!$F$5&lt;'Status'!$G$5),((1/'Status'!$F$5)*E115-(1/'Status'!$G$5)*D115)/((1/'Status'!$F$5)-(1/'Status'!$G$5)),"")</x:f>
      </x:c>
      <x:c r="J115" s="13" t="str">
        <x:f>IF(OR(COUNTA($A115)=0,NOT(ISNUMBER('Status'!$E$6))),"",IF(COUNTIFS('Estimates'!$A$5:$A$2004,$A115,'Estimates'!$B$5:$B$2004,"PPS",'Estimates'!$D$5:$D$2004,'Status'!$E$6,'Estimates'!$H$5:$H$2004,1,'Estimates'!$E$5:$E$2004,'Status'!$E$7)=0,"",IF(COUNTIFS('Estimates'!$A$5:$A$2004,$A115,'Estimates'!$B$5:$B$2004,"PPS",'Estimates'!$D$5:$D$2004,'Status'!$E$6,'Estimates'!$H$5:$H$2004,1,'Estimates'!$E$5:$E$2004,'Status'!$E$7)&gt;1,"DUP",IF(COUNTIFS('Estimates'!$A$5:$A$2004,$A115,'Estimates'!$B$5:$B$2004,"PPS",'Estimates'!$D$5:$D$2004,'Status'!$E$6,'Estimates'!$H$5:$H$2004,1,'Estimates'!$E$5:$E$2004,'Status'!$E$7,'Estimates'!$F$5:$F$2004,"&lt;&gt;")=0,"",SUMIFS('Estimates'!$F$5:$F$2004,'Estimates'!$A$5:$A$2004,$A115,'Estimates'!$B$5:$B$2004,"PPS",'Estimates'!$D$5:$D$2004,'Status'!$E$6,'Estimates'!$H$5:$H$2004,1,'Estimates'!$E$5:$E$2004,'Status'!$E$7)))))</x:f>
      </x:c>
      <x:c r="K115" s="13" t="str">
        <x:f>IF(OR(COUNTA($A115)=0,NOT(ISNUMBER('Status'!$F$6))),"",IF(COUNTIFS('Estimates'!$A$5:$A$2004,$A115,'Estimates'!$B$5:$B$2004,"PPS",'Estimates'!$D$5:$D$2004,'Status'!$F$6,'Estimates'!$H$5:$H$2004,1,'Estimates'!$E$5:$E$2004,'Status'!$E$7)=0,"",IF(COUNTIFS('Estimates'!$A$5:$A$2004,$A115,'Estimates'!$B$5:$B$2004,"PPS",'Estimates'!$D$5:$D$2004,'Status'!$F$6,'Estimates'!$H$5:$H$2004,1,'Estimates'!$E$5:$E$2004,'Status'!$E$7)&gt;1,"DUP",IF(COUNTIFS('Estimates'!$A$5:$A$2004,$A115,'Estimates'!$B$5:$B$2004,"PPS",'Estimates'!$D$5:$D$2004,'Status'!$F$6,'Estimates'!$H$5:$H$2004,1,'Estimates'!$E$5:$E$2004,'Status'!$E$7,'Estimates'!$F$5:$F$2004,"&lt;&gt;")=0,"",SUMIFS('Estimates'!$F$5:$F$2004,'Estimates'!$A$5:$A$2004,$A115,'Estimates'!$B$5:$B$2004,"PPS",'Estimates'!$D$5:$D$2004,'Status'!$F$6,'Estimates'!$H$5:$H$2004,1,'Estimates'!$E$5:$E$2004,'Status'!$E$7)))))</x:f>
      </x:c>
      <x:c r="L115" s="13" t="str">
        <x:f>IF(OR(COUNTA($A115)=0,NOT(ISNUMBER('Status'!$G$6))),"",IF(COUNTIFS('Estimates'!$A$5:$A$2004,$A115,'Estimates'!$B$5:$B$2004,"PPS",'Estimates'!$D$5:$D$2004,'Status'!$G$6,'Estimates'!$H$5:$H$2004,1,'Estimates'!$E$5:$E$2004,'Status'!$E$7)=0,"",IF(COUNTIFS('Estimates'!$A$5:$A$2004,$A115,'Estimates'!$B$5:$B$2004,"PPS",'Estimates'!$D$5:$D$2004,'Status'!$G$6,'Estimates'!$H$5:$H$2004,1,'Estimates'!$E$5:$E$2004,'Status'!$E$7)&gt;1,"DUP",IF(COUNTIFS('Estimates'!$A$5:$A$2004,$A115,'Estimates'!$B$5:$B$2004,"PPS",'Estimates'!$D$5:$D$2004,'Status'!$G$6,'Estimates'!$H$5:$H$2004,1,'Estimates'!$E$5:$E$2004,'Status'!$E$7,'Estimates'!$F$5:$F$2004,"&lt;&gt;")=0,"",SUMIFS('Estimates'!$F$5:$F$2004,'Estimates'!$A$5:$A$2004,$A115,'Estimates'!$B$5:$B$2004,"PPS",'Estimates'!$D$5:$D$2004,'Status'!$G$6,'Estimates'!$H$5:$H$2004,1,'Estimates'!$E$5:$E$2004,'Status'!$E$7)))))</x:f>
      </x:c>
      <x:c r="M115" s="13" t="str">
        <x:f>IF(AND(ISNUMBER(J115),ISNUMBER(K115)),K115-J115,"")</x:f>
      </x:c>
      <x:c r="N115" s="13" t="str">
        <x:f>IF(AND(ISNUMBER(K115),ISNUMBER(L115)),L115-K115,"")</x:f>
      </x:c>
      <x:c r="O115" s="13" t="str">
        <x:f>IF(AND(COUNT(J115:L115)=3,COUNT('Status'!$E$6:$G$6)=3,'Status'!$E$6&gt;'Status'!$F$6,'Status'!$F$6&gt;'Status'!$G$6,'Status'!$G$6&gt;0),ABS(L115-(K115+(K115-J115)*('Status'!$G$6-'Status'!$F$6)/('Status'!$F$6-'Status'!$E$6))),"")</x:f>
      </x:c>
      <x:c r="P115" s="13" t="str">
        <x:f>IF(AND(COUNT(J115:L115)=3,COUNT('Status'!$E$6:$G$6)=3,'Status'!$E$6&gt;'Status'!$F$6,'Status'!$F$6&gt;'Status'!$G$6,'Status'!$G$6&gt;0),('Status'!$F$6*L115-'Status'!$G$6*K115)/('Status'!$F$6-'Status'!$G$6),"")</x:f>
      </x:c>
      <x:c r="Q115" s="20"/>
      <x:c r="R115" s="13" t="str">
        <x:f>IF(COUNTA($A115)=0,"",IF('Status'!$B$6="MPS 1",IF(ISNUMBER(C115),C115,""),IF('Status'!$B$6="MPS 2",IF(ISNUMBER(D115),D115,""),IF('Status'!$B$6="MPS 3",IF(ISNUMBER(E115),E115,""),IF('Status'!$B$6="MPS extrap",IF(ISNUMBER(I115),I115,""),IF('Status'!$B$6="PPS 1",IF(ISNUMBER(J115),J115,""),IF('Status'!$B$6="PPS 2",IF(ISNUMBER(K115),K115,""),IF('Status'!$B$6="PPS 3",IF(ISNUMBER(L115),L115,""),IF('Status'!$B$6="PPS extrap",IF(ISNUMBER(P115),P115,""),IF('Status'!$B$6="Calibrated",IF(ISNUMBER(Q115),Q115,""),""))))))))))</x:f>
      </x:c>
      <x:c r="S115" s="2" t="str">
        <x:f>IF(COUNTA(A115)=0,"",IF(COUNTIFS('Estimates'!$A$5:$A$2004,A115,'Estimates'!$B$5:$B$2004,"MPS",'Estimates'!$H$5:$H$2004,1)+COUNTIFS('Estimates'!$A$5:$A$2004,A115,'Estimates'!$B$5:$B$2004,"PPS",'Estimates'!$H$5:$H$2004,1)&gt;0,1,0))</x:f>
      </x:c>
      <x:c r="T115" s="2" t="str">
        <x:f>IF(COUNTA(A115)=0,"",IF(COUNTIFS($A$6:$A$165,A115)&gt;1,"Duplicate target",IF(COUNTIFS(C115:E115,"DUP")+COUNTIFS(J115:L115,"DUP")&gt;0,"Duplicate accepted run",IF(COUNTIFS('Estimates'!$A$5:$A$2004,A115,'Estimates'!$H$5:$H$2004,1)-COUNTIFS('Estimates'!$A$5:$A$2004,A115,'Estimates'!$H$5:$H$2004,1,'Estimates'!$F$5:$F$2004,"&lt;&gt;")&gt;0,"Accepted value missing",""))))</x:f>
      </x:c>
    </x:row>
    <x:row r="116">
      <x:c r="A116" s="21"/>
      <x:c r="B116" s="19"/>
      <x:c r="C116" s="13" t="str">
        <x:f>IF(OR(COUNTA($A116)=0,NOT(ISNUMBER('Status'!$E$5))),"",IF(COUNTIFS('Estimates'!$A$5:$A$2004,$A116,'Estimates'!$B$5:$B$2004,"MPS",'Estimates'!$C$5:$C$2004,'Status'!$E$5,'Estimates'!$H$5:$H$2004,1)=0,"",IF(COUNTIFS('Estimates'!$A$5:$A$2004,$A116,'Estimates'!$B$5:$B$2004,"MPS",'Estimates'!$C$5:$C$2004,'Status'!$E$5,'Estimates'!$H$5:$H$2004,1)&gt;1,"DUP",IF(COUNTIFS('Estimates'!$A$5:$A$2004,$A116,'Estimates'!$B$5:$B$2004,"MPS",'Estimates'!$C$5:$C$2004,'Status'!$E$5,'Estimates'!$H$5:$H$2004,1,'Estimates'!$F$5:$F$2004,"&lt;&gt;")=0,"",SUMIFS('Estimates'!$F$5:$F$2004,'Estimates'!$A$5:$A$2004,$A116,'Estimates'!$B$5:$B$2004,"MPS",'Estimates'!$C$5:$C$2004,'Status'!$E$5,'Estimates'!$H$5:$H$2004,1)))))</x:f>
      </x:c>
      <x:c r="D116" s="13" t="str">
        <x:f>IF(OR(COUNTA($A116)=0,NOT(ISNUMBER('Status'!$F$5))),"",IF(COUNTIFS('Estimates'!$A$5:$A$2004,$A116,'Estimates'!$B$5:$B$2004,"MPS",'Estimates'!$C$5:$C$2004,'Status'!$F$5,'Estimates'!$H$5:$H$2004,1)=0,"",IF(COUNTIFS('Estimates'!$A$5:$A$2004,$A116,'Estimates'!$B$5:$B$2004,"MPS",'Estimates'!$C$5:$C$2004,'Status'!$F$5,'Estimates'!$H$5:$H$2004,1)&gt;1,"DUP",IF(COUNTIFS('Estimates'!$A$5:$A$2004,$A116,'Estimates'!$B$5:$B$2004,"MPS",'Estimates'!$C$5:$C$2004,'Status'!$F$5,'Estimates'!$H$5:$H$2004,1,'Estimates'!$F$5:$F$2004,"&lt;&gt;")=0,"",SUMIFS('Estimates'!$F$5:$F$2004,'Estimates'!$A$5:$A$2004,$A116,'Estimates'!$B$5:$B$2004,"MPS",'Estimates'!$C$5:$C$2004,'Status'!$F$5,'Estimates'!$H$5:$H$2004,1)))))</x:f>
      </x:c>
      <x:c r="E116" s="13" t="str">
        <x:f>IF(OR(COUNTA($A116)=0,NOT(ISNUMBER('Status'!$G$5))),"",IF(COUNTIFS('Estimates'!$A$5:$A$2004,$A116,'Estimates'!$B$5:$B$2004,"MPS",'Estimates'!$C$5:$C$2004,'Status'!$G$5,'Estimates'!$H$5:$H$2004,1)=0,"",IF(COUNTIFS('Estimates'!$A$5:$A$2004,$A116,'Estimates'!$B$5:$B$2004,"MPS",'Estimates'!$C$5:$C$2004,'Status'!$G$5,'Estimates'!$H$5:$H$2004,1)&gt;1,"DUP",IF(COUNTIFS('Estimates'!$A$5:$A$2004,$A116,'Estimates'!$B$5:$B$2004,"MPS",'Estimates'!$C$5:$C$2004,'Status'!$G$5,'Estimates'!$H$5:$H$2004,1,'Estimates'!$F$5:$F$2004,"&lt;&gt;")=0,"",SUMIFS('Estimates'!$F$5:$F$2004,'Estimates'!$A$5:$A$2004,$A116,'Estimates'!$B$5:$B$2004,"MPS",'Estimates'!$C$5:$C$2004,'Status'!$G$5,'Estimates'!$H$5:$H$2004,1)))))</x:f>
      </x:c>
      <x:c r="F116" s="13" t="str">
        <x:f>IF(AND(ISNUMBER(C116),ISNUMBER(D116)),D116-C116,"")</x:f>
      </x:c>
      <x:c r="G116" s="13" t="str">
        <x:f>IF(AND(ISNUMBER(D116),ISNUMBER(E116)),E116-D116,"")</x:f>
      </x:c>
      <x:c r="H116" s="13" t="str">
        <x:f>IF(AND(COUNT(C116:E116)=3,COUNT('Status'!$E$5:$G$5)=3,'Status'!$E$5&gt;0,'Status'!$E$5&lt;'Status'!$F$5,'Status'!$F$5&lt;'Status'!$G$5),ABS(E116-(D116+(D116-C116)*((1/'Status'!$G$5)-(1/'Status'!$F$5))/((1/'Status'!$F$5)-(1/'Status'!$E$5)))),"")</x:f>
      </x:c>
      <x:c r="I116" s="13" t="str">
        <x:f>IF(AND(COUNT(C116:E116)=3,COUNT('Status'!$E$5:$G$5)=3,'Status'!$E$5&gt;0,'Status'!$E$5&lt;'Status'!$F$5,'Status'!$F$5&lt;'Status'!$G$5),((1/'Status'!$F$5)*E116-(1/'Status'!$G$5)*D116)/((1/'Status'!$F$5)-(1/'Status'!$G$5)),"")</x:f>
      </x:c>
      <x:c r="J116" s="13" t="str">
        <x:f>IF(OR(COUNTA($A116)=0,NOT(ISNUMBER('Status'!$E$6))),"",IF(COUNTIFS('Estimates'!$A$5:$A$2004,$A116,'Estimates'!$B$5:$B$2004,"PPS",'Estimates'!$D$5:$D$2004,'Status'!$E$6,'Estimates'!$H$5:$H$2004,1,'Estimates'!$E$5:$E$2004,'Status'!$E$7)=0,"",IF(COUNTIFS('Estimates'!$A$5:$A$2004,$A116,'Estimates'!$B$5:$B$2004,"PPS",'Estimates'!$D$5:$D$2004,'Status'!$E$6,'Estimates'!$H$5:$H$2004,1,'Estimates'!$E$5:$E$2004,'Status'!$E$7)&gt;1,"DUP",IF(COUNTIFS('Estimates'!$A$5:$A$2004,$A116,'Estimates'!$B$5:$B$2004,"PPS",'Estimates'!$D$5:$D$2004,'Status'!$E$6,'Estimates'!$H$5:$H$2004,1,'Estimates'!$E$5:$E$2004,'Status'!$E$7,'Estimates'!$F$5:$F$2004,"&lt;&gt;")=0,"",SUMIFS('Estimates'!$F$5:$F$2004,'Estimates'!$A$5:$A$2004,$A116,'Estimates'!$B$5:$B$2004,"PPS",'Estimates'!$D$5:$D$2004,'Status'!$E$6,'Estimates'!$H$5:$H$2004,1,'Estimates'!$E$5:$E$2004,'Status'!$E$7)))))</x:f>
      </x:c>
      <x:c r="K116" s="13" t="str">
        <x:f>IF(OR(COUNTA($A116)=0,NOT(ISNUMBER('Status'!$F$6))),"",IF(COUNTIFS('Estimates'!$A$5:$A$2004,$A116,'Estimates'!$B$5:$B$2004,"PPS",'Estimates'!$D$5:$D$2004,'Status'!$F$6,'Estimates'!$H$5:$H$2004,1,'Estimates'!$E$5:$E$2004,'Status'!$E$7)=0,"",IF(COUNTIFS('Estimates'!$A$5:$A$2004,$A116,'Estimates'!$B$5:$B$2004,"PPS",'Estimates'!$D$5:$D$2004,'Status'!$F$6,'Estimates'!$H$5:$H$2004,1,'Estimates'!$E$5:$E$2004,'Status'!$E$7)&gt;1,"DUP",IF(COUNTIFS('Estimates'!$A$5:$A$2004,$A116,'Estimates'!$B$5:$B$2004,"PPS",'Estimates'!$D$5:$D$2004,'Status'!$F$6,'Estimates'!$H$5:$H$2004,1,'Estimates'!$E$5:$E$2004,'Status'!$E$7,'Estimates'!$F$5:$F$2004,"&lt;&gt;")=0,"",SUMIFS('Estimates'!$F$5:$F$2004,'Estimates'!$A$5:$A$2004,$A116,'Estimates'!$B$5:$B$2004,"PPS",'Estimates'!$D$5:$D$2004,'Status'!$F$6,'Estimates'!$H$5:$H$2004,1,'Estimates'!$E$5:$E$2004,'Status'!$E$7)))))</x:f>
      </x:c>
      <x:c r="L116" s="13" t="str">
        <x:f>IF(OR(COUNTA($A116)=0,NOT(ISNUMBER('Status'!$G$6))),"",IF(COUNTIFS('Estimates'!$A$5:$A$2004,$A116,'Estimates'!$B$5:$B$2004,"PPS",'Estimates'!$D$5:$D$2004,'Status'!$G$6,'Estimates'!$H$5:$H$2004,1,'Estimates'!$E$5:$E$2004,'Status'!$E$7)=0,"",IF(COUNTIFS('Estimates'!$A$5:$A$2004,$A116,'Estimates'!$B$5:$B$2004,"PPS",'Estimates'!$D$5:$D$2004,'Status'!$G$6,'Estimates'!$H$5:$H$2004,1,'Estimates'!$E$5:$E$2004,'Status'!$E$7)&gt;1,"DUP",IF(COUNTIFS('Estimates'!$A$5:$A$2004,$A116,'Estimates'!$B$5:$B$2004,"PPS",'Estimates'!$D$5:$D$2004,'Status'!$G$6,'Estimates'!$H$5:$H$2004,1,'Estimates'!$E$5:$E$2004,'Status'!$E$7,'Estimates'!$F$5:$F$2004,"&lt;&gt;")=0,"",SUMIFS('Estimates'!$F$5:$F$2004,'Estimates'!$A$5:$A$2004,$A116,'Estimates'!$B$5:$B$2004,"PPS",'Estimates'!$D$5:$D$2004,'Status'!$G$6,'Estimates'!$H$5:$H$2004,1,'Estimates'!$E$5:$E$2004,'Status'!$E$7)))))</x:f>
      </x:c>
      <x:c r="M116" s="13" t="str">
        <x:f>IF(AND(ISNUMBER(J116),ISNUMBER(K116)),K116-J116,"")</x:f>
      </x:c>
      <x:c r="N116" s="13" t="str">
        <x:f>IF(AND(ISNUMBER(K116),ISNUMBER(L116)),L116-K116,"")</x:f>
      </x:c>
      <x:c r="O116" s="13" t="str">
        <x:f>IF(AND(COUNT(J116:L116)=3,COUNT('Status'!$E$6:$G$6)=3,'Status'!$E$6&gt;'Status'!$F$6,'Status'!$F$6&gt;'Status'!$G$6,'Status'!$G$6&gt;0),ABS(L116-(K116+(K116-J116)*('Status'!$G$6-'Status'!$F$6)/('Status'!$F$6-'Status'!$E$6))),"")</x:f>
      </x:c>
      <x:c r="P116" s="13" t="str">
        <x:f>IF(AND(COUNT(J116:L116)=3,COUNT('Status'!$E$6:$G$6)=3,'Status'!$E$6&gt;'Status'!$F$6,'Status'!$F$6&gt;'Status'!$G$6,'Status'!$G$6&gt;0),('Status'!$F$6*L116-'Status'!$G$6*K116)/('Status'!$F$6-'Status'!$G$6),"")</x:f>
      </x:c>
      <x:c r="Q116" s="20"/>
      <x:c r="R116" s="13" t="str">
        <x:f>IF(COUNTA($A116)=0,"",IF('Status'!$B$6="MPS 1",IF(ISNUMBER(C116),C116,""),IF('Status'!$B$6="MPS 2",IF(ISNUMBER(D116),D116,""),IF('Status'!$B$6="MPS 3",IF(ISNUMBER(E116),E116,""),IF('Status'!$B$6="MPS extrap",IF(ISNUMBER(I116),I116,""),IF('Status'!$B$6="PPS 1",IF(ISNUMBER(J116),J116,""),IF('Status'!$B$6="PPS 2",IF(ISNUMBER(K116),K116,""),IF('Status'!$B$6="PPS 3",IF(ISNUMBER(L116),L116,""),IF('Status'!$B$6="PPS extrap",IF(ISNUMBER(P116),P116,""),IF('Status'!$B$6="Calibrated",IF(ISNUMBER(Q116),Q116,""),""))))))))))</x:f>
      </x:c>
      <x:c r="S116" s="2" t="str">
        <x:f>IF(COUNTA(A116)=0,"",IF(COUNTIFS('Estimates'!$A$5:$A$2004,A116,'Estimates'!$B$5:$B$2004,"MPS",'Estimates'!$H$5:$H$2004,1)+COUNTIFS('Estimates'!$A$5:$A$2004,A116,'Estimates'!$B$5:$B$2004,"PPS",'Estimates'!$H$5:$H$2004,1)&gt;0,1,0))</x:f>
      </x:c>
      <x:c r="T116" s="2" t="str">
        <x:f>IF(COUNTA(A116)=0,"",IF(COUNTIFS($A$6:$A$165,A116)&gt;1,"Duplicate target",IF(COUNTIFS(C116:E116,"DUP")+COUNTIFS(J116:L116,"DUP")&gt;0,"Duplicate accepted run",IF(COUNTIFS('Estimates'!$A$5:$A$2004,A116,'Estimates'!$H$5:$H$2004,1)-COUNTIFS('Estimates'!$A$5:$A$2004,A116,'Estimates'!$H$5:$H$2004,1,'Estimates'!$F$5:$F$2004,"&lt;&gt;")&gt;0,"Accepted value missing",""))))</x:f>
      </x:c>
    </x:row>
    <x:row r="117">
      <x:c r="A117" s="21"/>
      <x:c r="B117" s="19"/>
      <x:c r="C117" s="13" t="str">
        <x:f>IF(OR(COUNTA($A117)=0,NOT(ISNUMBER('Status'!$E$5))),"",IF(COUNTIFS('Estimates'!$A$5:$A$2004,$A117,'Estimates'!$B$5:$B$2004,"MPS",'Estimates'!$C$5:$C$2004,'Status'!$E$5,'Estimates'!$H$5:$H$2004,1)=0,"",IF(COUNTIFS('Estimates'!$A$5:$A$2004,$A117,'Estimates'!$B$5:$B$2004,"MPS",'Estimates'!$C$5:$C$2004,'Status'!$E$5,'Estimates'!$H$5:$H$2004,1)&gt;1,"DUP",IF(COUNTIFS('Estimates'!$A$5:$A$2004,$A117,'Estimates'!$B$5:$B$2004,"MPS",'Estimates'!$C$5:$C$2004,'Status'!$E$5,'Estimates'!$H$5:$H$2004,1,'Estimates'!$F$5:$F$2004,"&lt;&gt;")=0,"",SUMIFS('Estimates'!$F$5:$F$2004,'Estimates'!$A$5:$A$2004,$A117,'Estimates'!$B$5:$B$2004,"MPS",'Estimates'!$C$5:$C$2004,'Status'!$E$5,'Estimates'!$H$5:$H$2004,1)))))</x:f>
      </x:c>
      <x:c r="D117" s="13" t="str">
        <x:f>IF(OR(COUNTA($A117)=0,NOT(ISNUMBER('Status'!$F$5))),"",IF(COUNTIFS('Estimates'!$A$5:$A$2004,$A117,'Estimates'!$B$5:$B$2004,"MPS",'Estimates'!$C$5:$C$2004,'Status'!$F$5,'Estimates'!$H$5:$H$2004,1)=0,"",IF(COUNTIFS('Estimates'!$A$5:$A$2004,$A117,'Estimates'!$B$5:$B$2004,"MPS",'Estimates'!$C$5:$C$2004,'Status'!$F$5,'Estimates'!$H$5:$H$2004,1)&gt;1,"DUP",IF(COUNTIFS('Estimates'!$A$5:$A$2004,$A117,'Estimates'!$B$5:$B$2004,"MPS",'Estimates'!$C$5:$C$2004,'Status'!$F$5,'Estimates'!$H$5:$H$2004,1,'Estimates'!$F$5:$F$2004,"&lt;&gt;")=0,"",SUMIFS('Estimates'!$F$5:$F$2004,'Estimates'!$A$5:$A$2004,$A117,'Estimates'!$B$5:$B$2004,"MPS",'Estimates'!$C$5:$C$2004,'Status'!$F$5,'Estimates'!$H$5:$H$2004,1)))))</x:f>
      </x:c>
      <x:c r="E117" s="13" t="str">
        <x:f>IF(OR(COUNTA($A117)=0,NOT(ISNUMBER('Status'!$G$5))),"",IF(COUNTIFS('Estimates'!$A$5:$A$2004,$A117,'Estimates'!$B$5:$B$2004,"MPS",'Estimates'!$C$5:$C$2004,'Status'!$G$5,'Estimates'!$H$5:$H$2004,1)=0,"",IF(COUNTIFS('Estimates'!$A$5:$A$2004,$A117,'Estimates'!$B$5:$B$2004,"MPS",'Estimates'!$C$5:$C$2004,'Status'!$G$5,'Estimates'!$H$5:$H$2004,1)&gt;1,"DUP",IF(COUNTIFS('Estimates'!$A$5:$A$2004,$A117,'Estimates'!$B$5:$B$2004,"MPS",'Estimates'!$C$5:$C$2004,'Status'!$G$5,'Estimates'!$H$5:$H$2004,1,'Estimates'!$F$5:$F$2004,"&lt;&gt;")=0,"",SUMIFS('Estimates'!$F$5:$F$2004,'Estimates'!$A$5:$A$2004,$A117,'Estimates'!$B$5:$B$2004,"MPS",'Estimates'!$C$5:$C$2004,'Status'!$G$5,'Estimates'!$H$5:$H$2004,1)))))</x:f>
      </x:c>
      <x:c r="F117" s="13" t="str">
        <x:f>IF(AND(ISNUMBER(C117),ISNUMBER(D117)),D117-C117,"")</x:f>
      </x:c>
      <x:c r="G117" s="13" t="str">
        <x:f>IF(AND(ISNUMBER(D117),ISNUMBER(E117)),E117-D117,"")</x:f>
      </x:c>
      <x:c r="H117" s="13" t="str">
        <x:f>IF(AND(COUNT(C117:E117)=3,COUNT('Status'!$E$5:$G$5)=3,'Status'!$E$5&gt;0,'Status'!$E$5&lt;'Status'!$F$5,'Status'!$F$5&lt;'Status'!$G$5),ABS(E117-(D117+(D117-C117)*((1/'Status'!$G$5)-(1/'Status'!$F$5))/((1/'Status'!$F$5)-(1/'Status'!$E$5)))),"")</x:f>
      </x:c>
      <x:c r="I117" s="13" t="str">
        <x:f>IF(AND(COUNT(C117:E117)=3,COUNT('Status'!$E$5:$G$5)=3,'Status'!$E$5&gt;0,'Status'!$E$5&lt;'Status'!$F$5,'Status'!$F$5&lt;'Status'!$G$5),((1/'Status'!$F$5)*E117-(1/'Status'!$G$5)*D117)/((1/'Status'!$F$5)-(1/'Status'!$G$5)),"")</x:f>
      </x:c>
      <x:c r="J117" s="13" t="str">
        <x:f>IF(OR(COUNTA($A117)=0,NOT(ISNUMBER('Status'!$E$6))),"",IF(COUNTIFS('Estimates'!$A$5:$A$2004,$A117,'Estimates'!$B$5:$B$2004,"PPS",'Estimates'!$D$5:$D$2004,'Status'!$E$6,'Estimates'!$H$5:$H$2004,1,'Estimates'!$E$5:$E$2004,'Status'!$E$7)=0,"",IF(COUNTIFS('Estimates'!$A$5:$A$2004,$A117,'Estimates'!$B$5:$B$2004,"PPS",'Estimates'!$D$5:$D$2004,'Status'!$E$6,'Estimates'!$H$5:$H$2004,1,'Estimates'!$E$5:$E$2004,'Status'!$E$7)&gt;1,"DUP",IF(COUNTIFS('Estimates'!$A$5:$A$2004,$A117,'Estimates'!$B$5:$B$2004,"PPS",'Estimates'!$D$5:$D$2004,'Status'!$E$6,'Estimates'!$H$5:$H$2004,1,'Estimates'!$E$5:$E$2004,'Status'!$E$7,'Estimates'!$F$5:$F$2004,"&lt;&gt;")=0,"",SUMIFS('Estimates'!$F$5:$F$2004,'Estimates'!$A$5:$A$2004,$A117,'Estimates'!$B$5:$B$2004,"PPS",'Estimates'!$D$5:$D$2004,'Status'!$E$6,'Estimates'!$H$5:$H$2004,1,'Estimates'!$E$5:$E$2004,'Status'!$E$7)))))</x:f>
      </x:c>
      <x:c r="K117" s="13" t="str">
        <x:f>IF(OR(COUNTA($A117)=0,NOT(ISNUMBER('Status'!$F$6))),"",IF(COUNTIFS('Estimates'!$A$5:$A$2004,$A117,'Estimates'!$B$5:$B$2004,"PPS",'Estimates'!$D$5:$D$2004,'Status'!$F$6,'Estimates'!$H$5:$H$2004,1,'Estimates'!$E$5:$E$2004,'Status'!$E$7)=0,"",IF(COUNTIFS('Estimates'!$A$5:$A$2004,$A117,'Estimates'!$B$5:$B$2004,"PPS",'Estimates'!$D$5:$D$2004,'Status'!$F$6,'Estimates'!$H$5:$H$2004,1,'Estimates'!$E$5:$E$2004,'Status'!$E$7)&gt;1,"DUP",IF(COUNTIFS('Estimates'!$A$5:$A$2004,$A117,'Estimates'!$B$5:$B$2004,"PPS",'Estimates'!$D$5:$D$2004,'Status'!$F$6,'Estimates'!$H$5:$H$2004,1,'Estimates'!$E$5:$E$2004,'Status'!$E$7,'Estimates'!$F$5:$F$2004,"&lt;&gt;")=0,"",SUMIFS('Estimates'!$F$5:$F$2004,'Estimates'!$A$5:$A$2004,$A117,'Estimates'!$B$5:$B$2004,"PPS",'Estimates'!$D$5:$D$2004,'Status'!$F$6,'Estimates'!$H$5:$H$2004,1,'Estimates'!$E$5:$E$2004,'Status'!$E$7)))))</x:f>
      </x:c>
      <x:c r="L117" s="13" t="str">
        <x:f>IF(OR(COUNTA($A117)=0,NOT(ISNUMBER('Status'!$G$6))),"",IF(COUNTIFS('Estimates'!$A$5:$A$2004,$A117,'Estimates'!$B$5:$B$2004,"PPS",'Estimates'!$D$5:$D$2004,'Status'!$G$6,'Estimates'!$H$5:$H$2004,1,'Estimates'!$E$5:$E$2004,'Status'!$E$7)=0,"",IF(COUNTIFS('Estimates'!$A$5:$A$2004,$A117,'Estimates'!$B$5:$B$2004,"PPS",'Estimates'!$D$5:$D$2004,'Status'!$G$6,'Estimates'!$H$5:$H$2004,1,'Estimates'!$E$5:$E$2004,'Status'!$E$7)&gt;1,"DUP",IF(COUNTIFS('Estimates'!$A$5:$A$2004,$A117,'Estimates'!$B$5:$B$2004,"PPS",'Estimates'!$D$5:$D$2004,'Status'!$G$6,'Estimates'!$H$5:$H$2004,1,'Estimates'!$E$5:$E$2004,'Status'!$E$7,'Estimates'!$F$5:$F$2004,"&lt;&gt;")=0,"",SUMIFS('Estimates'!$F$5:$F$2004,'Estimates'!$A$5:$A$2004,$A117,'Estimates'!$B$5:$B$2004,"PPS",'Estimates'!$D$5:$D$2004,'Status'!$G$6,'Estimates'!$H$5:$H$2004,1,'Estimates'!$E$5:$E$2004,'Status'!$E$7)))))</x:f>
      </x:c>
      <x:c r="M117" s="13" t="str">
        <x:f>IF(AND(ISNUMBER(J117),ISNUMBER(K117)),K117-J117,"")</x:f>
      </x:c>
      <x:c r="N117" s="13" t="str">
        <x:f>IF(AND(ISNUMBER(K117),ISNUMBER(L117)),L117-K117,"")</x:f>
      </x:c>
      <x:c r="O117" s="13" t="str">
        <x:f>IF(AND(COUNT(J117:L117)=3,COUNT('Status'!$E$6:$G$6)=3,'Status'!$E$6&gt;'Status'!$F$6,'Status'!$F$6&gt;'Status'!$G$6,'Status'!$G$6&gt;0),ABS(L117-(K117+(K117-J117)*('Status'!$G$6-'Status'!$F$6)/('Status'!$F$6-'Status'!$E$6))),"")</x:f>
      </x:c>
      <x:c r="P117" s="13" t="str">
        <x:f>IF(AND(COUNT(J117:L117)=3,COUNT('Status'!$E$6:$G$6)=3,'Status'!$E$6&gt;'Status'!$F$6,'Status'!$F$6&gt;'Status'!$G$6,'Status'!$G$6&gt;0),('Status'!$F$6*L117-'Status'!$G$6*K117)/('Status'!$F$6-'Status'!$G$6),"")</x:f>
      </x:c>
      <x:c r="Q117" s="20"/>
      <x:c r="R117" s="13" t="str">
        <x:f>IF(COUNTA($A117)=0,"",IF('Status'!$B$6="MPS 1",IF(ISNUMBER(C117),C117,""),IF('Status'!$B$6="MPS 2",IF(ISNUMBER(D117),D117,""),IF('Status'!$B$6="MPS 3",IF(ISNUMBER(E117),E117,""),IF('Status'!$B$6="MPS extrap",IF(ISNUMBER(I117),I117,""),IF('Status'!$B$6="PPS 1",IF(ISNUMBER(J117),J117,""),IF('Status'!$B$6="PPS 2",IF(ISNUMBER(K117),K117,""),IF('Status'!$B$6="PPS 3",IF(ISNUMBER(L117),L117,""),IF('Status'!$B$6="PPS extrap",IF(ISNUMBER(P117),P117,""),IF('Status'!$B$6="Calibrated",IF(ISNUMBER(Q117),Q117,""),""))))))))))</x:f>
      </x:c>
      <x:c r="S117" s="2" t="str">
        <x:f>IF(COUNTA(A117)=0,"",IF(COUNTIFS('Estimates'!$A$5:$A$2004,A117,'Estimates'!$B$5:$B$2004,"MPS",'Estimates'!$H$5:$H$2004,1)+COUNTIFS('Estimates'!$A$5:$A$2004,A117,'Estimates'!$B$5:$B$2004,"PPS",'Estimates'!$H$5:$H$2004,1)&gt;0,1,0))</x:f>
      </x:c>
      <x:c r="T117" s="2" t="str">
        <x:f>IF(COUNTA(A117)=0,"",IF(COUNTIFS($A$6:$A$165,A117)&gt;1,"Duplicate target",IF(COUNTIFS(C117:E117,"DUP")+COUNTIFS(J117:L117,"DUP")&gt;0,"Duplicate accepted run",IF(COUNTIFS('Estimates'!$A$5:$A$2004,A117,'Estimates'!$H$5:$H$2004,1)-COUNTIFS('Estimates'!$A$5:$A$2004,A117,'Estimates'!$H$5:$H$2004,1,'Estimates'!$F$5:$F$2004,"&lt;&gt;")&gt;0,"Accepted value missing",""))))</x:f>
      </x:c>
    </x:row>
    <x:row r="118">
      <x:c r="A118" s="21"/>
      <x:c r="B118" s="19"/>
      <x:c r="C118" s="13" t="str">
        <x:f>IF(OR(COUNTA($A118)=0,NOT(ISNUMBER('Status'!$E$5))),"",IF(COUNTIFS('Estimates'!$A$5:$A$2004,$A118,'Estimates'!$B$5:$B$2004,"MPS",'Estimates'!$C$5:$C$2004,'Status'!$E$5,'Estimates'!$H$5:$H$2004,1)=0,"",IF(COUNTIFS('Estimates'!$A$5:$A$2004,$A118,'Estimates'!$B$5:$B$2004,"MPS",'Estimates'!$C$5:$C$2004,'Status'!$E$5,'Estimates'!$H$5:$H$2004,1)&gt;1,"DUP",IF(COUNTIFS('Estimates'!$A$5:$A$2004,$A118,'Estimates'!$B$5:$B$2004,"MPS",'Estimates'!$C$5:$C$2004,'Status'!$E$5,'Estimates'!$H$5:$H$2004,1,'Estimates'!$F$5:$F$2004,"&lt;&gt;")=0,"",SUMIFS('Estimates'!$F$5:$F$2004,'Estimates'!$A$5:$A$2004,$A118,'Estimates'!$B$5:$B$2004,"MPS",'Estimates'!$C$5:$C$2004,'Status'!$E$5,'Estimates'!$H$5:$H$2004,1)))))</x:f>
      </x:c>
      <x:c r="D118" s="13" t="str">
        <x:f>IF(OR(COUNTA($A118)=0,NOT(ISNUMBER('Status'!$F$5))),"",IF(COUNTIFS('Estimates'!$A$5:$A$2004,$A118,'Estimates'!$B$5:$B$2004,"MPS",'Estimates'!$C$5:$C$2004,'Status'!$F$5,'Estimates'!$H$5:$H$2004,1)=0,"",IF(COUNTIFS('Estimates'!$A$5:$A$2004,$A118,'Estimates'!$B$5:$B$2004,"MPS",'Estimates'!$C$5:$C$2004,'Status'!$F$5,'Estimates'!$H$5:$H$2004,1)&gt;1,"DUP",IF(COUNTIFS('Estimates'!$A$5:$A$2004,$A118,'Estimates'!$B$5:$B$2004,"MPS",'Estimates'!$C$5:$C$2004,'Status'!$F$5,'Estimates'!$H$5:$H$2004,1,'Estimates'!$F$5:$F$2004,"&lt;&gt;")=0,"",SUMIFS('Estimates'!$F$5:$F$2004,'Estimates'!$A$5:$A$2004,$A118,'Estimates'!$B$5:$B$2004,"MPS",'Estimates'!$C$5:$C$2004,'Status'!$F$5,'Estimates'!$H$5:$H$2004,1)))))</x:f>
      </x:c>
      <x:c r="E118" s="13" t="str">
        <x:f>IF(OR(COUNTA($A118)=0,NOT(ISNUMBER('Status'!$G$5))),"",IF(COUNTIFS('Estimates'!$A$5:$A$2004,$A118,'Estimates'!$B$5:$B$2004,"MPS",'Estimates'!$C$5:$C$2004,'Status'!$G$5,'Estimates'!$H$5:$H$2004,1)=0,"",IF(COUNTIFS('Estimates'!$A$5:$A$2004,$A118,'Estimates'!$B$5:$B$2004,"MPS",'Estimates'!$C$5:$C$2004,'Status'!$G$5,'Estimates'!$H$5:$H$2004,1)&gt;1,"DUP",IF(COUNTIFS('Estimates'!$A$5:$A$2004,$A118,'Estimates'!$B$5:$B$2004,"MPS",'Estimates'!$C$5:$C$2004,'Status'!$G$5,'Estimates'!$H$5:$H$2004,1,'Estimates'!$F$5:$F$2004,"&lt;&gt;")=0,"",SUMIFS('Estimates'!$F$5:$F$2004,'Estimates'!$A$5:$A$2004,$A118,'Estimates'!$B$5:$B$2004,"MPS",'Estimates'!$C$5:$C$2004,'Status'!$G$5,'Estimates'!$H$5:$H$2004,1)))))</x:f>
      </x:c>
      <x:c r="F118" s="13" t="str">
        <x:f>IF(AND(ISNUMBER(C118),ISNUMBER(D118)),D118-C118,"")</x:f>
      </x:c>
      <x:c r="G118" s="13" t="str">
        <x:f>IF(AND(ISNUMBER(D118),ISNUMBER(E118)),E118-D118,"")</x:f>
      </x:c>
      <x:c r="H118" s="13" t="str">
        <x:f>IF(AND(COUNT(C118:E118)=3,COUNT('Status'!$E$5:$G$5)=3,'Status'!$E$5&gt;0,'Status'!$E$5&lt;'Status'!$F$5,'Status'!$F$5&lt;'Status'!$G$5),ABS(E118-(D118+(D118-C118)*((1/'Status'!$G$5)-(1/'Status'!$F$5))/((1/'Status'!$F$5)-(1/'Status'!$E$5)))),"")</x:f>
      </x:c>
      <x:c r="I118" s="13" t="str">
        <x:f>IF(AND(COUNT(C118:E118)=3,COUNT('Status'!$E$5:$G$5)=3,'Status'!$E$5&gt;0,'Status'!$E$5&lt;'Status'!$F$5,'Status'!$F$5&lt;'Status'!$G$5),((1/'Status'!$F$5)*E118-(1/'Status'!$G$5)*D118)/((1/'Status'!$F$5)-(1/'Status'!$G$5)),"")</x:f>
      </x:c>
      <x:c r="J118" s="13" t="str">
        <x:f>IF(OR(COUNTA($A118)=0,NOT(ISNUMBER('Status'!$E$6))),"",IF(COUNTIFS('Estimates'!$A$5:$A$2004,$A118,'Estimates'!$B$5:$B$2004,"PPS",'Estimates'!$D$5:$D$2004,'Status'!$E$6,'Estimates'!$H$5:$H$2004,1,'Estimates'!$E$5:$E$2004,'Status'!$E$7)=0,"",IF(COUNTIFS('Estimates'!$A$5:$A$2004,$A118,'Estimates'!$B$5:$B$2004,"PPS",'Estimates'!$D$5:$D$2004,'Status'!$E$6,'Estimates'!$H$5:$H$2004,1,'Estimates'!$E$5:$E$2004,'Status'!$E$7)&gt;1,"DUP",IF(COUNTIFS('Estimates'!$A$5:$A$2004,$A118,'Estimates'!$B$5:$B$2004,"PPS",'Estimates'!$D$5:$D$2004,'Status'!$E$6,'Estimates'!$H$5:$H$2004,1,'Estimates'!$E$5:$E$2004,'Status'!$E$7,'Estimates'!$F$5:$F$2004,"&lt;&gt;")=0,"",SUMIFS('Estimates'!$F$5:$F$2004,'Estimates'!$A$5:$A$2004,$A118,'Estimates'!$B$5:$B$2004,"PPS",'Estimates'!$D$5:$D$2004,'Status'!$E$6,'Estimates'!$H$5:$H$2004,1,'Estimates'!$E$5:$E$2004,'Status'!$E$7)))))</x:f>
      </x:c>
      <x:c r="K118" s="13" t="str">
        <x:f>IF(OR(COUNTA($A118)=0,NOT(ISNUMBER('Status'!$F$6))),"",IF(COUNTIFS('Estimates'!$A$5:$A$2004,$A118,'Estimates'!$B$5:$B$2004,"PPS",'Estimates'!$D$5:$D$2004,'Status'!$F$6,'Estimates'!$H$5:$H$2004,1,'Estimates'!$E$5:$E$2004,'Status'!$E$7)=0,"",IF(COUNTIFS('Estimates'!$A$5:$A$2004,$A118,'Estimates'!$B$5:$B$2004,"PPS",'Estimates'!$D$5:$D$2004,'Status'!$F$6,'Estimates'!$H$5:$H$2004,1,'Estimates'!$E$5:$E$2004,'Status'!$E$7)&gt;1,"DUP",IF(COUNTIFS('Estimates'!$A$5:$A$2004,$A118,'Estimates'!$B$5:$B$2004,"PPS",'Estimates'!$D$5:$D$2004,'Status'!$F$6,'Estimates'!$H$5:$H$2004,1,'Estimates'!$E$5:$E$2004,'Status'!$E$7,'Estimates'!$F$5:$F$2004,"&lt;&gt;")=0,"",SUMIFS('Estimates'!$F$5:$F$2004,'Estimates'!$A$5:$A$2004,$A118,'Estimates'!$B$5:$B$2004,"PPS",'Estimates'!$D$5:$D$2004,'Status'!$F$6,'Estimates'!$H$5:$H$2004,1,'Estimates'!$E$5:$E$2004,'Status'!$E$7)))))</x:f>
      </x:c>
      <x:c r="L118" s="13" t="str">
        <x:f>IF(OR(COUNTA($A118)=0,NOT(ISNUMBER('Status'!$G$6))),"",IF(COUNTIFS('Estimates'!$A$5:$A$2004,$A118,'Estimates'!$B$5:$B$2004,"PPS",'Estimates'!$D$5:$D$2004,'Status'!$G$6,'Estimates'!$H$5:$H$2004,1,'Estimates'!$E$5:$E$2004,'Status'!$E$7)=0,"",IF(COUNTIFS('Estimates'!$A$5:$A$2004,$A118,'Estimates'!$B$5:$B$2004,"PPS",'Estimates'!$D$5:$D$2004,'Status'!$G$6,'Estimates'!$H$5:$H$2004,1,'Estimates'!$E$5:$E$2004,'Status'!$E$7)&gt;1,"DUP",IF(COUNTIFS('Estimates'!$A$5:$A$2004,$A118,'Estimates'!$B$5:$B$2004,"PPS",'Estimates'!$D$5:$D$2004,'Status'!$G$6,'Estimates'!$H$5:$H$2004,1,'Estimates'!$E$5:$E$2004,'Status'!$E$7,'Estimates'!$F$5:$F$2004,"&lt;&gt;")=0,"",SUMIFS('Estimates'!$F$5:$F$2004,'Estimates'!$A$5:$A$2004,$A118,'Estimates'!$B$5:$B$2004,"PPS",'Estimates'!$D$5:$D$2004,'Status'!$G$6,'Estimates'!$H$5:$H$2004,1,'Estimates'!$E$5:$E$2004,'Status'!$E$7)))))</x:f>
      </x:c>
      <x:c r="M118" s="13" t="str">
        <x:f>IF(AND(ISNUMBER(J118),ISNUMBER(K118)),K118-J118,"")</x:f>
      </x:c>
      <x:c r="N118" s="13" t="str">
        <x:f>IF(AND(ISNUMBER(K118),ISNUMBER(L118)),L118-K118,"")</x:f>
      </x:c>
      <x:c r="O118" s="13" t="str">
        <x:f>IF(AND(COUNT(J118:L118)=3,COUNT('Status'!$E$6:$G$6)=3,'Status'!$E$6&gt;'Status'!$F$6,'Status'!$F$6&gt;'Status'!$G$6,'Status'!$G$6&gt;0),ABS(L118-(K118+(K118-J118)*('Status'!$G$6-'Status'!$F$6)/('Status'!$F$6-'Status'!$E$6))),"")</x:f>
      </x:c>
      <x:c r="P118" s="13" t="str">
        <x:f>IF(AND(COUNT(J118:L118)=3,COUNT('Status'!$E$6:$G$6)=3,'Status'!$E$6&gt;'Status'!$F$6,'Status'!$F$6&gt;'Status'!$G$6,'Status'!$G$6&gt;0),('Status'!$F$6*L118-'Status'!$G$6*K118)/('Status'!$F$6-'Status'!$G$6),"")</x:f>
      </x:c>
      <x:c r="Q118" s="20"/>
      <x:c r="R118" s="13" t="str">
        <x:f>IF(COUNTA($A118)=0,"",IF('Status'!$B$6="MPS 1",IF(ISNUMBER(C118),C118,""),IF('Status'!$B$6="MPS 2",IF(ISNUMBER(D118),D118,""),IF('Status'!$B$6="MPS 3",IF(ISNUMBER(E118),E118,""),IF('Status'!$B$6="MPS extrap",IF(ISNUMBER(I118),I118,""),IF('Status'!$B$6="PPS 1",IF(ISNUMBER(J118),J118,""),IF('Status'!$B$6="PPS 2",IF(ISNUMBER(K118),K118,""),IF('Status'!$B$6="PPS 3",IF(ISNUMBER(L118),L118,""),IF('Status'!$B$6="PPS extrap",IF(ISNUMBER(P118),P118,""),IF('Status'!$B$6="Calibrated",IF(ISNUMBER(Q118),Q118,""),""))))))))))</x:f>
      </x:c>
      <x:c r="S118" s="2" t="str">
        <x:f>IF(COUNTA(A118)=0,"",IF(COUNTIFS('Estimates'!$A$5:$A$2004,A118,'Estimates'!$B$5:$B$2004,"MPS",'Estimates'!$H$5:$H$2004,1)+COUNTIFS('Estimates'!$A$5:$A$2004,A118,'Estimates'!$B$5:$B$2004,"PPS",'Estimates'!$H$5:$H$2004,1)&gt;0,1,0))</x:f>
      </x:c>
      <x:c r="T118" s="2" t="str">
        <x:f>IF(COUNTA(A118)=0,"",IF(COUNTIFS($A$6:$A$165,A118)&gt;1,"Duplicate target",IF(COUNTIFS(C118:E118,"DUP")+COUNTIFS(J118:L118,"DUP")&gt;0,"Duplicate accepted run",IF(COUNTIFS('Estimates'!$A$5:$A$2004,A118,'Estimates'!$H$5:$H$2004,1)-COUNTIFS('Estimates'!$A$5:$A$2004,A118,'Estimates'!$H$5:$H$2004,1,'Estimates'!$F$5:$F$2004,"&lt;&gt;")&gt;0,"Accepted value missing",""))))</x:f>
      </x:c>
    </x:row>
    <x:row r="119">
      <x:c r="A119" s="21"/>
      <x:c r="B119" s="19"/>
      <x:c r="C119" s="13" t="str">
        <x:f>IF(OR(COUNTA($A119)=0,NOT(ISNUMBER('Status'!$E$5))),"",IF(COUNTIFS('Estimates'!$A$5:$A$2004,$A119,'Estimates'!$B$5:$B$2004,"MPS",'Estimates'!$C$5:$C$2004,'Status'!$E$5,'Estimates'!$H$5:$H$2004,1)=0,"",IF(COUNTIFS('Estimates'!$A$5:$A$2004,$A119,'Estimates'!$B$5:$B$2004,"MPS",'Estimates'!$C$5:$C$2004,'Status'!$E$5,'Estimates'!$H$5:$H$2004,1)&gt;1,"DUP",IF(COUNTIFS('Estimates'!$A$5:$A$2004,$A119,'Estimates'!$B$5:$B$2004,"MPS",'Estimates'!$C$5:$C$2004,'Status'!$E$5,'Estimates'!$H$5:$H$2004,1,'Estimates'!$F$5:$F$2004,"&lt;&gt;")=0,"",SUMIFS('Estimates'!$F$5:$F$2004,'Estimates'!$A$5:$A$2004,$A119,'Estimates'!$B$5:$B$2004,"MPS",'Estimates'!$C$5:$C$2004,'Status'!$E$5,'Estimates'!$H$5:$H$2004,1)))))</x:f>
      </x:c>
      <x:c r="D119" s="13" t="str">
        <x:f>IF(OR(COUNTA($A119)=0,NOT(ISNUMBER('Status'!$F$5))),"",IF(COUNTIFS('Estimates'!$A$5:$A$2004,$A119,'Estimates'!$B$5:$B$2004,"MPS",'Estimates'!$C$5:$C$2004,'Status'!$F$5,'Estimates'!$H$5:$H$2004,1)=0,"",IF(COUNTIFS('Estimates'!$A$5:$A$2004,$A119,'Estimates'!$B$5:$B$2004,"MPS",'Estimates'!$C$5:$C$2004,'Status'!$F$5,'Estimates'!$H$5:$H$2004,1)&gt;1,"DUP",IF(COUNTIFS('Estimates'!$A$5:$A$2004,$A119,'Estimates'!$B$5:$B$2004,"MPS",'Estimates'!$C$5:$C$2004,'Status'!$F$5,'Estimates'!$H$5:$H$2004,1,'Estimates'!$F$5:$F$2004,"&lt;&gt;")=0,"",SUMIFS('Estimates'!$F$5:$F$2004,'Estimates'!$A$5:$A$2004,$A119,'Estimates'!$B$5:$B$2004,"MPS",'Estimates'!$C$5:$C$2004,'Status'!$F$5,'Estimates'!$H$5:$H$2004,1)))))</x:f>
      </x:c>
      <x:c r="E119" s="13" t="str">
        <x:f>IF(OR(COUNTA($A119)=0,NOT(ISNUMBER('Status'!$G$5))),"",IF(COUNTIFS('Estimates'!$A$5:$A$2004,$A119,'Estimates'!$B$5:$B$2004,"MPS",'Estimates'!$C$5:$C$2004,'Status'!$G$5,'Estimates'!$H$5:$H$2004,1)=0,"",IF(COUNTIFS('Estimates'!$A$5:$A$2004,$A119,'Estimates'!$B$5:$B$2004,"MPS",'Estimates'!$C$5:$C$2004,'Status'!$G$5,'Estimates'!$H$5:$H$2004,1)&gt;1,"DUP",IF(COUNTIFS('Estimates'!$A$5:$A$2004,$A119,'Estimates'!$B$5:$B$2004,"MPS",'Estimates'!$C$5:$C$2004,'Status'!$G$5,'Estimates'!$H$5:$H$2004,1,'Estimates'!$F$5:$F$2004,"&lt;&gt;")=0,"",SUMIFS('Estimates'!$F$5:$F$2004,'Estimates'!$A$5:$A$2004,$A119,'Estimates'!$B$5:$B$2004,"MPS",'Estimates'!$C$5:$C$2004,'Status'!$G$5,'Estimates'!$H$5:$H$2004,1)))))</x:f>
      </x:c>
      <x:c r="F119" s="13" t="str">
        <x:f>IF(AND(ISNUMBER(C119),ISNUMBER(D119)),D119-C119,"")</x:f>
      </x:c>
      <x:c r="G119" s="13" t="str">
        <x:f>IF(AND(ISNUMBER(D119),ISNUMBER(E119)),E119-D119,"")</x:f>
      </x:c>
      <x:c r="H119" s="13" t="str">
        <x:f>IF(AND(COUNT(C119:E119)=3,COUNT('Status'!$E$5:$G$5)=3,'Status'!$E$5&gt;0,'Status'!$E$5&lt;'Status'!$F$5,'Status'!$F$5&lt;'Status'!$G$5),ABS(E119-(D119+(D119-C119)*((1/'Status'!$G$5)-(1/'Status'!$F$5))/((1/'Status'!$F$5)-(1/'Status'!$E$5)))),"")</x:f>
      </x:c>
      <x:c r="I119" s="13" t="str">
        <x:f>IF(AND(COUNT(C119:E119)=3,COUNT('Status'!$E$5:$G$5)=3,'Status'!$E$5&gt;0,'Status'!$E$5&lt;'Status'!$F$5,'Status'!$F$5&lt;'Status'!$G$5),((1/'Status'!$F$5)*E119-(1/'Status'!$G$5)*D119)/((1/'Status'!$F$5)-(1/'Status'!$G$5)),"")</x:f>
      </x:c>
      <x:c r="J119" s="13" t="str">
        <x:f>IF(OR(COUNTA($A119)=0,NOT(ISNUMBER('Status'!$E$6))),"",IF(COUNTIFS('Estimates'!$A$5:$A$2004,$A119,'Estimates'!$B$5:$B$2004,"PPS",'Estimates'!$D$5:$D$2004,'Status'!$E$6,'Estimates'!$H$5:$H$2004,1,'Estimates'!$E$5:$E$2004,'Status'!$E$7)=0,"",IF(COUNTIFS('Estimates'!$A$5:$A$2004,$A119,'Estimates'!$B$5:$B$2004,"PPS",'Estimates'!$D$5:$D$2004,'Status'!$E$6,'Estimates'!$H$5:$H$2004,1,'Estimates'!$E$5:$E$2004,'Status'!$E$7)&gt;1,"DUP",IF(COUNTIFS('Estimates'!$A$5:$A$2004,$A119,'Estimates'!$B$5:$B$2004,"PPS",'Estimates'!$D$5:$D$2004,'Status'!$E$6,'Estimates'!$H$5:$H$2004,1,'Estimates'!$E$5:$E$2004,'Status'!$E$7,'Estimates'!$F$5:$F$2004,"&lt;&gt;")=0,"",SUMIFS('Estimates'!$F$5:$F$2004,'Estimates'!$A$5:$A$2004,$A119,'Estimates'!$B$5:$B$2004,"PPS",'Estimates'!$D$5:$D$2004,'Status'!$E$6,'Estimates'!$H$5:$H$2004,1,'Estimates'!$E$5:$E$2004,'Status'!$E$7)))))</x:f>
      </x:c>
      <x:c r="K119" s="13" t="str">
        <x:f>IF(OR(COUNTA($A119)=0,NOT(ISNUMBER('Status'!$F$6))),"",IF(COUNTIFS('Estimates'!$A$5:$A$2004,$A119,'Estimates'!$B$5:$B$2004,"PPS",'Estimates'!$D$5:$D$2004,'Status'!$F$6,'Estimates'!$H$5:$H$2004,1,'Estimates'!$E$5:$E$2004,'Status'!$E$7)=0,"",IF(COUNTIFS('Estimates'!$A$5:$A$2004,$A119,'Estimates'!$B$5:$B$2004,"PPS",'Estimates'!$D$5:$D$2004,'Status'!$F$6,'Estimates'!$H$5:$H$2004,1,'Estimates'!$E$5:$E$2004,'Status'!$E$7)&gt;1,"DUP",IF(COUNTIFS('Estimates'!$A$5:$A$2004,$A119,'Estimates'!$B$5:$B$2004,"PPS",'Estimates'!$D$5:$D$2004,'Status'!$F$6,'Estimates'!$H$5:$H$2004,1,'Estimates'!$E$5:$E$2004,'Status'!$E$7,'Estimates'!$F$5:$F$2004,"&lt;&gt;")=0,"",SUMIFS('Estimates'!$F$5:$F$2004,'Estimates'!$A$5:$A$2004,$A119,'Estimates'!$B$5:$B$2004,"PPS",'Estimates'!$D$5:$D$2004,'Status'!$F$6,'Estimates'!$H$5:$H$2004,1,'Estimates'!$E$5:$E$2004,'Status'!$E$7)))))</x:f>
      </x:c>
      <x:c r="L119" s="13" t="str">
        <x:f>IF(OR(COUNTA($A119)=0,NOT(ISNUMBER('Status'!$G$6))),"",IF(COUNTIFS('Estimates'!$A$5:$A$2004,$A119,'Estimates'!$B$5:$B$2004,"PPS",'Estimates'!$D$5:$D$2004,'Status'!$G$6,'Estimates'!$H$5:$H$2004,1,'Estimates'!$E$5:$E$2004,'Status'!$E$7)=0,"",IF(COUNTIFS('Estimates'!$A$5:$A$2004,$A119,'Estimates'!$B$5:$B$2004,"PPS",'Estimates'!$D$5:$D$2004,'Status'!$G$6,'Estimates'!$H$5:$H$2004,1,'Estimates'!$E$5:$E$2004,'Status'!$E$7)&gt;1,"DUP",IF(COUNTIFS('Estimates'!$A$5:$A$2004,$A119,'Estimates'!$B$5:$B$2004,"PPS",'Estimates'!$D$5:$D$2004,'Status'!$G$6,'Estimates'!$H$5:$H$2004,1,'Estimates'!$E$5:$E$2004,'Status'!$E$7,'Estimates'!$F$5:$F$2004,"&lt;&gt;")=0,"",SUMIFS('Estimates'!$F$5:$F$2004,'Estimates'!$A$5:$A$2004,$A119,'Estimates'!$B$5:$B$2004,"PPS",'Estimates'!$D$5:$D$2004,'Status'!$G$6,'Estimates'!$H$5:$H$2004,1,'Estimates'!$E$5:$E$2004,'Status'!$E$7)))))</x:f>
      </x:c>
      <x:c r="M119" s="13" t="str">
        <x:f>IF(AND(ISNUMBER(J119),ISNUMBER(K119)),K119-J119,"")</x:f>
      </x:c>
      <x:c r="N119" s="13" t="str">
        <x:f>IF(AND(ISNUMBER(K119),ISNUMBER(L119)),L119-K119,"")</x:f>
      </x:c>
      <x:c r="O119" s="13" t="str">
        <x:f>IF(AND(COUNT(J119:L119)=3,COUNT('Status'!$E$6:$G$6)=3,'Status'!$E$6&gt;'Status'!$F$6,'Status'!$F$6&gt;'Status'!$G$6,'Status'!$G$6&gt;0),ABS(L119-(K119+(K119-J119)*('Status'!$G$6-'Status'!$F$6)/('Status'!$F$6-'Status'!$E$6))),"")</x:f>
      </x:c>
      <x:c r="P119" s="13" t="str">
        <x:f>IF(AND(COUNT(J119:L119)=3,COUNT('Status'!$E$6:$G$6)=3,'Status'!$E$6&gt;'Status'!$F$6,'Status'!$F$6&gt;'Status'!$G$6,'Status'!$G$6&gt;0),('Status'!$F$6*L119-'Status'!$G$6*K119)/('Status'!$F$6-'Status'!$G$6),"")</x:f>
      </x:c>
      <x:c r="Q119" s="20"/>
      <x:c r="R119" s="13" t="str">
        <x:f>IF(COUNTA($A119)=0,"",IF('Status'!$B$6="MPS 1",IF(ISNUMBER(C119),C119,""),IF('Status'!$B$6="MPS 2",IF(ISNUMBER(D119),D119,""),IF('Status'!$B$6="MPS 3",IF(ISNUMBER(E119),E119,""),IF('Status'!$B$6="MPS extrap",IF(ISNUMBER(I119),I119,""),IF('Status'!$B$6="PPS 1",IF(ISNUMBER(J119),J119,""),IF('Status'!$B$6="PPS 2",IF(ISNUMBER(K119),K119,""),IF('Status'!$B$6="PPS 3",IF(ISNUMBER(L119),L119,""),IF('Status'!$B$6="PPS extrap",IF(ISNUMBER(P119),P119,""),IF('Status'!$B$6="Calibrated",IF(ISNUMBER(Q119),Q119,""),""))))))))))</x:f>
      </x:c>
      <x:c r="S119" s="2" t="str">
        <x:f>IF(COUNTA(A119)=0,"",IF(COUNTIFS('Estimates'!$A$5:$A$2004,A119,'Estimates'!$B$5:$B$2004,"MPS",'Estimates'!$H$5:$H$2004,1)+COUNTIFS('Estimates'!$A$5:$A$2004,A119,'Estimates'!$B$5:$B$2004,"PPS",'Estimates'!$H$5:$H$2004,1)&gt;0,1,0))</x:f>
      </x:c>
      <x:c r="T119" s="2" t="str">
        <x:f>IF(COUNTA(A119)=0,"",IF(COUNTIFS($A$6:$A$165,A119)&gt;1,"Duplicate target",IF(COUNTIFS(C119:E119,"DUP")+COUNTIFS(J119:L119,"DUP")&gt;0,"Duplicate accepted run",IF(COUNTIFS('Estimates'!$A$5:$A$2004,A119,'Estimates'!$H$5:$H$2004,1)-COUNTIFS('Estimates'!$A$5:$A$2004,A119,'Estimates'!$H$5:$H$2004,1,'Estimates'!$F$5:$F$2004,"&lt;&gt;")&gt;0,"Accepted value missing",""))))</x:f>
      </x:c>
    </x:row>
    <x:row r="120">
      <x:c r="A120" s="21"/>
      <x:c r="B120" s="19"/>
      <x:c r="C120" s="13" t="str">
        <x:f>IF(OR(COUNTA($A120)=0,NOT(ISNUMBER('Status'!$E$5))),"",IF(COUNTIFS('Estimates'!$A$5:$A$2004,$A120,'Estimates'!$B$5:$B$2004,"MPS",'Estimates'!$C$5:$C$2004,'Status'!$E$5,'Estimates'!$H$5:$H$2004,1)=0,"",IF(COUNTIFS('Estimates'!$A$5:$A$2004,$A120,'Estimates'!$B$5:$B$2004,"MPS",'Estimates'!$C$5:$C$2004,'Status'!$E$5,'Estimates'!$H$5:$H$2004,1)&gt;1,"DUP",IF(COUNTIFS('Estimates'!$A$5:$A$2004,$A120,'Estimates'!$B$5:$B$2004,"MPS",'Estimates'!$C$5:$C$2004,'Status'!$E$5,'Estimates'!$H$5:$H$2004,1,'Estimates'!$F$5:$F$2004,"&lt;&gt;")=0,"",SUMIFS('Estimates'!$F$5:$F$2004,'Estimates'!$A$5:$A$2004,$A120,'Estimates'!$B$5:$B$2004,"MPS",'Estimates'!$C$5:$C$2004,'Status'!$E$5,'Estimates'!$H$5:$H$2004,1)))))</x:f>
      </x:c>
      <x:c r="D120" s="13" t="str">
        <x:f>IF(OR(COUNTA($A120)=0,NOT(ISNUMBER('Status'!$F$5))),"",IF(COUNTIFS('Estimates'!$A$5:$A$2004,$A120,'Estimates'!$B$5:$B$2004,"MPS",'Estimates'!$C$5:$C$2004,'Status'!$F$5,'Estimates'!$H$5:$H$2004,1)=0,"",IF(COUNTIFS('Estimates'!$A$5:$A$2004,$A120,'Estimates'!$B$5:$B$2004,"MPS",'Estimates'!$C$5:$C$2004,'Status'!$F$5,'Estimates'!$H$5:$H$2004,1)&gt;1,"DUP",IF(COUNTIFS('Estimates'!$A$5:$A$2004,$A120,'Estimates'!$B$5:$B$2004,"MPS",'Estimates'!$C$5:$C$2004,'Status'!$F$5,'Estimates'!$H$5:$H$2004,1,'Estimates'!$F$5:$F$2004,"&lt;&gt;")=0,"",SUMIFS('Estimates'!$F$5:$F$2004,'Estimates'!$A$5:$A$2004,$A120,'Estimates'!$B$5:$B$2004,"MPS",'Estimates'!$C$5:$C$2004,'Status'!$F$5,'Estimates'!$H$5:$H$2004,1)))))</x:f>
      </x:c>
      <x:c r="E120" s="13" t="str">
        <x:f>IF(OR(COUNTA($A120)=0,NOT(ISNUMBER('Status'!$G$5))),"",IF(COUNTIFS('Estimates'!$A$5:$A$2004,$A120,'Estimates'!$B$5:$B$2004,"MPS",'Estimates'!$C$5:$C$2004,'Status'!$G$5,'Estimates'!$H$5:$H$2004,1)=0,"",IF(COUNTIFS('Estimates'!$A$5:$A$2004,$A120,'Estimates'!$B$5:$B$2004,"MPS",'Estimates'!$C$5:$C$2004,'Status'!$G$5,'Estimates'!$H$5:$H$2004,1)&gt;1,"DUP",IF(COUNTIFS('Estimates'!$A$5:$A$2004,$A120,'Estimates'!$B$5:$B$2004,"MPS",'Estimates'!$C$5:$C$2004,'Status'!$G$5,'Estimates'!$H$5:$H$2004,1,'Estimates'!$F$5:$F$2004,"&lt;&gt;")=0,"",SUMIFS('Estimates'!$F$5:$F$2004,'Estimates'!$A$5:$A$2004,$A120,'Estimates'!$B$5:$B$2004,"MPS",'Estimates'!$C$5:$C$2004,'Status'!$G$5,'Estimates'!$H$5:$H$2004,1)))))</x:f>
      </x:c>
      <x:c r="F120" s="13" t="str">
        <x:f>IF(AND(ISNUMBER(C120),ISNUMBER(D120)),D120-C120,"")</x:f>
      </x:c>
      <x:c r="G120" s="13" t="str">
        <x:f>IF(AND(ISNUMBER(D120),ISNUMBER(E120)),E120-D120,"")</x:f>
      </x:c>
      <x:c r="H120" s="13" t="str">
        <x:f>IF(AND(COUNT(C120:E120)=3,COUNT('Status'!$E$5:$G$5)=3,'Status'!$E$5&gt;0,'Status'!$E$5&lt;'Status'!$F$5,'Status'!$F$5&lt;'Status'!$G$5),ABS(E120-(D120+(D120-C120)*((1/'Status'!$G$5)-(1/'Status'!$F$5))/((1/'Status'!$F$5)-(1/'Status'!$E$5)))),"")</x:f>
      </x:c>
      <x:c r="I120" s="13" t="str">
        <x:f>IF(AND(COUNT(C120:E120)=3,COUNT('Status'!$E$5:$G$5)=3,'Status'!$E$5&gt;0,'Status'!$E$5&lt;'Status'!$F$5,'Status'!$F$5&lt;'Status'!$G$5),((1/'Status'!$F$5)*E120-(1/'Status'!$G$5)*D120)/((1/'Status'!$F$5)-(1/'Status'!$G$5)),"")</x:f>
      </x:c>
      <x:c r="J120" s="13" t="str">
        <x:f>IF(OR(COUNTA($A120)=0,NOT(ISNUMBER('Status'!$E$6))),"",IF(COUNTIFS('Estimates'!$A$5:$A$2004,$A120,'Estimates'!$B$5:$B$2004,"PPS",'Estimates'!$D$5:$D$2004,'Status'!$E$6,'Estimates'!$H$5:$H$2004,1,'Estimates'!$E$5:$E$2004,'Status'!$E$7)=0,"",IF(COUNTIFS('Estimates'!$A$5:$A$2004,$A120,'Estimates'!$B$5:$B$2004,"PPS",'Estimates'!$D$5:$D$2004,'Status'!$E$6,'Estimates'!$H$5:$H$2004,1,'Estimates'!$E$5:$E$2004,'Status'!$E$7)&gt;1,"DUP",IF(COUNTIFS('Estimates'!$A$5:$A$2004,$A120,'Estimates'!$B$5:$B$2004,"PPS",'Estimates'!$D$5:$D$2004,'Status'!$E$6,'Estimates'!$H$5:$H$2004,1,'Estimates'!$E$5:$E$2004,'Status'!$E$7,'Estimates'!$F$5:$F$2004,"&lt;&gt;")=0,"",SUMIFS('Estimates'!$F$5:$F$2004,'Estimates'!$A$5:$A$2004,$A120,'Estimates'!$B$5:$B$2004,"PPS",'Estimates'!$D$5:$D$2004,'Status'!$E$6,'Estimates'!$H$5:$H$2004,1,'Estimates'!$E$5:$E$2004,'Status'!$E$7)))))</x:f>
      </x:c>
      <x:c r="K120" s="13" t="str">
        <x:f>IF(OR(COUNTA($A120)=0,NOT(ISNUMBER('Status'!$F$6))),"",IF(COUNTIFS('Estimates'!$A$5:$A$2004,$A120,'Estimates'!$B$5:$B$2004,"PPS",'Estimates'!$D$5:$D$2004,'Status'!$F$6,'Estimates'!$H$5:$H$2004,1,'Estimates'!$E$5:$E$2004,'Status'!$E$7)=0,"",IF(COUNTIFS('Estimates'!$A$5:$A$2004,$A120,'Estimates'!$B$5:$B$2004,"PPS",'Estimates'!$D$5:$D$2004,'Status'!$F$6,'Estimates'!$H$5:$H$2004,1,'Estimates'!$E$5:$E$2004,'Status'!$E$7)&gt;1,"DUP",IF(COUNTIFS('Estimates'!$A$5:$A$2004,$A120,'Estimates'!$B$5:$B$2004,"PPS",'Estimates'!$D$5:$D$2004,'Status'!$F$6,'Estimates'!$H$5:$H$2004,1,'Estimates'!$E$5:$E$2004,'Status'!$E$7,'Estimates'!$F$5:$F$2004,"&lt;&gt;")=0,"",SUMIFS('Estimates'!$F$5:$F$2004,'Estimates'!$A$5:$A$2004,$A120,'Estimates'!$B$5:$B$2004,"PPS",'Estimates'!$D$5:$D$2004,'Status'!$F$6,'Estimates'!$H$5:$H$2004,1,'Estimates'!$E$5:$E$2004,'Status'!$E$7)))))</x:f>
      </x:c>
      <x:c r="L120" s="13" t="str">
        <x:f>IF(OR(COUNTA($A120)=0,NOT(ISNUMBER('Status'!$G$6))),"",IF(COUNTIFS('Estimates'!$A$5:$A$2004,$A120,'Estimates'!$B$5:$B$2004,"PPS",'Estimates'!$D$5:$D$2004,'Status'!$G$6,'Estimates'!$H$5:$H$2004,1,'Estimates'!$E$5:$E$2004,'Status'!$E$7)=0,"",IF(COUNTIFS('Estimates'!$A$5:$A$2004,$A120,'Estimates'!$B$5:$B$2004,"PPS",'Estimates'!$D$5:$D$2004,'Status'!$G$6,'Estimates'!$H$5:$H$2004,1,'Estimates'!$E$5:$E$2004,'Status'!$E$7)&gt;1,"DUP",IF(COUNTIFS('Estimates'!$A$5:$A$2004,$A120,'Estimates'!$B$5:$B$2004,"PPS",'Estimates'!$D$5:$D$2004,'Status'!$G$6,'Estimates'!$H$5:$H$2004,1,'Estimates'!$E$5:$E$2004,'Status'!$E$7,'Estimates'!$F$5:$F$2004,"&lt;&gt;")=0,"",SUMIFS('Estimates'!$F$5:$F$2004,'Estimates'!$A$5:$A$2004,$A120,'Estimates'!$B$5:$B$2004,"PPS",'Estimates'!$D$5:$D$2004,'Status'!$G$6,'Estimates'!$H$5:$H$2004,1,'Estimates'!$E$5:$E$2004,'Status'!$E$7)))))</x:f>
      </x:c>
      <x:c r="M120" s="13" t="str">
        <x:f>IF(AND(ISNUMBER(J120),ISNUMBER(K120)),K120-J120,"")</x:f>
      </x:c>
      <x:c r="N120" s="13" t="str">
        <x:f>IF(AND(ISNUMBER(K120),ISNUMBER(L120)),L120-K120,"")</x:f>
      </x:c>
      <x:c r="O120" s="13" t="str">
        <x:f>IF(AND(COUNT(J120:L120)=3,COUNT('Status'!$E$6:$G$6)=3,'Status'!$E$6&gt;'Status'!$F$6,'Status'!$F$6&gt;'Status'!$G$6,'Status'!$G$6&gt;0),ABS(L120-(K120+(K120-J120)*('Status'!$G$6-'Status'!$F$6)/('Status'!$F$6-'Status'!$E$6))),"")</x:f>
      </x:c>
      <x:c r="P120" s="13" t="str">
        <x:f>IF(AND(COUNT(J120:L120)=3,COUNT('Status'!$E$6:$G$6)=3,'Status'!$E$6&gt;'Status'!$F$6,'Status'!$F$6&gt;'Status'!$G$6,'Status'!$G$6&gt;0),('Status'!$F$6*L120-'Status'!$G$6*K120)/('Status'!$F$6-'Status'!$G$6),"")</x:f>
      </x:c>
      <x:c r="Q120" s="20"/>
      <x:c r="R120" s="13" t="str">
        <x:f>IF(COUNTA($A120)=0,"",IF('Status'!$B$6="MPS 1",IF(ISNUMBER(C120),C120,""),IF('Status'!$B$6="MPS 2",IF(ISNUMBER(D120),D120,""),IF('Status'!$B$6="MPS 3",IF(ISNUMBER(E120),E120,""),IF('Status'!$B$6="MPS extrap",IF(ISNUMBER(I120),I120,""),IF('Status'!$B$6="PPS 1",IF(ISNUMBER(J120),J120,""),IF('Status'!$B$6="PPS 2",IF(ISNUMBER(K120),K120,""),IF('Status'!$B$6="PPS 3",IF(ISNUMBER(L120),L120,""),IF('Status'!$B$6="PPS extrap",IF(ISNUMBER(P120),P120,""),IF('Status'!$B$6="Calibrated",IF(ISNUMBER(Q120),Q120,""),""))))))))))</x:f>
      </x:c>
      <x:c r="S120" s="2" t="str">
        <x:f>IF(COUNTA(A120)=0,"",IF(COUNTIFS('Estimates'!$A$5:$A$2004,A120,'Estimates'!$B$5:$B$2004,"MPS",'Estimates'!$H$5:$H$2004,1)+COUNTIFS('Estimates'!$A$5:$A$2004,A120,'Estimates'!$B$5:$B$2004,"PPS",'Estimates'!$H$5:$H$2004,1)&gt;0,1,0))</x:f>
      </x:c>
      <x:c r="T120" s="2" t="str">
        <x:f>IF(COUNTA(A120)=0,"",IF(COUNTIFS($A$6:$A$165,A120)&gt;1,"Duplicate target",IF(COUNTIFS(C120:E120,"DUP")+COUNTIFS(J120:L120,"DUP")&gt;0,"Duplicate accepted run",IF(COUNTIFS('Estimates'!$A$5:$A$2004,A120,'Estimates'!$H$5:$H$2004,1)-COUNTIFS('Estimates'!$A$5:$A$2004,A120,'Estimates'!$H$5:$H$2004,1,'Estimates'!$F$5:$F$2004,"&lt;&gt;")&gt;0,"Accepted value missing",""))))</x:f>
      </x:c>
    </x:row>
    <x:row r="121">
      <x:c r="A121" s="21"/>
      <x:c r="B121" s="19"/>
      <x:c r="C121" s="13" t="str">
        <x:f>IF(OR(COUNTA($A121)=0,NOT(ISNUMBER('Status'!$E$5))),"",IF(COUNTIFS('Estimates'!$A$5:$A$2004,$A121,'Estimates'!$B$5:$B$2004,"MPS",'Estimates'!$C$5:$C$2004,'Status'!$E$5,'Estimates'!$H$5:$H$2004,1)=0,"",IF(COUNTIFS('Estimates'!$A$5:$A$2004,$A121,'Estimates'!$B$5:$B$2004,"MPS",'Estimates'!$C$5:$C$2004,'Status'!$E$5,'Estimates'!$H$5:$H$2004,1)&gt;1,"DUP",IF(COUNTIFS('Estimates'!$A$5:$A$2004,$A121,'Estimates'!$B$5:$B$2004,"MPS",'Estimates'!$C$5:$C$2004,'Status'!$E$5,'Estimates'!$H$5:$H$2004,1,'Estimates'!$F$5:$F$2004,"&lt;&gt;")=0,"",SUMIFS('Estimates'!$F$5:$F$2004,'Estimates'!$A$5:$A$2004,$A121,'Estimates'!$B$5:$B$2004,"MPS",'Estimates'!$C$5:$C$2004,'Status'!$E$5,'Estimates'!$H$5:$H$2004,1)))))</x:f>
      </x:c>
      <x:c r="D121" s="13" t="str">
        <x:f>IF(OR(COUNTA($A121)=0,NOT(ISNUMBER('Status'!$F$5))),"",IF(COUNTIFS('Estimates'!$A$5:$A$2004,$A121,'Estimates'!$B$5:$B$2004,"MPS",'Estimates'!$C$5:$C$2004,'Status'!$F$5,'Estimates'!$H$5:$H$2004,1)=0,"",IF(COUNTIFS('Estimates'!$A$5:$A$2004,$A121,'Estimates'!$B$5:$B$2004,"MPS",'Estimates'!$C$5:$C$2004,'Status'!$F$5,'Estimates'!$H$5:$H$2004,1)&gt;1,"DUP",IF(COUNTIFS('Estimates'!$A$5:$A$2004,$A121,'Estimates'!$B$5:$B$2004,"MPS",'Estimates'!$C$5:$C$2004,'Status'!$F$5,'Estimates'!$H$5:$H$2004,1,'Estimates'!$F$5:$F$2004,"&lt;&gt;")=0,"",SUMIFS('Estimates'!$F$5:$F$2004,'Estimates'!$A$5:$A$2004,$A121,'Estimates'!$B$5:$B$2004,"MPS",'Estimates'!$C$5:$C$2004,'Status'!$F$5,'Estimates'!$H$5:$H$2004,1)))))</x:f>
      </x:c>
      <x:c r="E121" s="13" t="str">
        <x:f>IF(OR(COUNTA($A121)=0,NOT(ISNUMBER('Status'!$G$5))),"",IF(COUNTIFS('Estimates'!$A$5:$A$2004,$A121,'Estimates'!$B$5:$B$2004,"MPS",'Estimates'!$C$5:$C$2004,'Status'!$G$5,'Estimates'!$H$5:$H$2004,1)=0,"",IF(COUNTIFS('Estimates'!$A$5:$A$2004,$A121,'Estimates'!$B$5:$B$2004,"MPS",'Estimates'!$C$5:$C$2004,'Status'!$G$5,'Estimates'!$H$5:$H$2004,1)&gt;1,"DUP",IF(COUNTIFS('Estimates'!$A$5:$A$2004,$A121,'Estimates'!$B$5:$B$2004,"MPS",'Estimates'!$C$5:$C$2004,'Status'!$G$5,'Estimates'!$H$5:$H$2004,1,'Estimates'!$F$5:$F$2004,"&lt;&gt;")=0,"",SUMIFS('Estimates'!$F$5:$F$2004,'Estimates'!$A$5:$A$2004,$A121,'Estimates'!$B$5:$B$2004,"MPS",'Estimates'!$C$5:$C$2004,'Status'!$G$5,'Estimates'!$H$5:$H$2004,1)))))</x:f>
      </x:c>
      <x:c r="F121" s="13" t="str">
        <x:f>IF(AND(ISNUMBER(C121),ISNUMBER(D121)),D121-C121,"")</x:f>
      </x:c>
      <x:c r="G121" s="13" t="str">
        <x:f>IF(AND(ISNUMBER(D121),ISNUMBER(E121)),E121-D121,"")</x:f>
      </x:c>
      <x:c r="H121" s="13" t="str">
        <x:f>IF(AND(COUNT(C121:E121)=3,COUNT('Status'!$E$5:$G$5)=3,'Status'!$E$5&gt;0,'Status'!$E$5&lt;'Status'!$F$5,'Status'!$F$5&lt;'Status'!$G$5),ABS(E121-(D121+(D121-C121)*((1/'Status'!$G$5)-(1/'Status'!$F$5))/((1/'Status'!$F$5)-(1/'Status'!$E$5)))),"")</x:f>
      </x:c>
      <x:c r="I121" s="13" t="str">
        <x:f>IF(AND(COUNT(C121:E121)=3,COUNT('Status'!$E$5:$G$5)=3,'Status'!$E$5&gt;0,'Status'!$E$5&lt;'Status'!$F$5,'Status'!$F$5&lt;'Status'!$G$5),((1/'Status'!$F$5)*E121-(1/'Status'!$G$5)*D121)/((1/'Status'!$F$5)-(1/'Status'!$G$5)),"")</x:f>
      </x:c>
      <x:c r="J121" s="13" t="str">
        <x:f>IF(OR(COUNTA($A121)=0,NOT(ISNUMBER('Status'!$E$6))),"",IF(COUNTIFS('Estimates'!$A$5:$A$2004,$A121,'Estimates'!$B$5:$B$2004,"PPS",'Estimates'!$D$5:$D$2004,'Status'!$E$6,'Estimates'!$H$5:$H$2004,1,'Estimates'!$E$5:$E$2004,'Status'!$E$7)=0,"",IF(COUNTIFS('Estimates'!$A$5:$A$2004,$A121,'Estimates'!$B$5:$B$2004,"PPS",'Estimates'!$D$5:$D$2004,'Status'!$E$6,'Estimates'!$H$5:$H$2004,1,'Estimates'!$E$5:$E$2004,'Status'!$E$7)&gt;1,"DUP",IF(COUNTIFS('Estimates'!$A$5:$A$2004,$A121,'Estimates'!$B$5:$B$2004,"PPS",'Estimates'!$D$5:$D$2004,'Status'!$E$6,'Estimates'!$H$5:$H$2004,1,'Estimates'!$E$5:$E$2004,'Status'!$E$7,'Estimates'!$F$5:$F$2004,"&lt;&gt;")=0,"",SUMIFS('Estimates'!$F$5:$F$2004,'Estimates'!$A$5:$A$2004,$A121,'Estimates'!$B$5:$B$2004,"PPS",'Estimates'!$D$5:$D$2004,'Status'!$E$6,'Estimates'!$H$5:$H$2004,1,'Estimates'!$E$5:$E$2004,'Status'!$E$7)))))</x:f>
      </x:c>
      <x:c r="K121" s="13" t="str">
        <x:f>IF(OR(COUNTA($A121)=0,NOT(ISNUMBER('Status'!$F$6))),"",IF(COUNTIFS('Estimates'!$A$5:$A$2004,$A121,'Estimates'!$B$5:$B$2004,"PPS",'Estimates'!$D$5:$D$2004,'Status'!$F$6,'Estimates'!$H$5:$H$2004,1,'Estimates'!$E$5:$E$2004,'Status'!$E$7)=0,"",IF(COUNTIFS('Estimates'!$A$5:$A$2004,$A121,'Estimates'!$B$5:$B$2004,"PPS",'Estimates'!$D$5:$D$2004,'Status'!$F$6,'Estimates'!$H$5:$H$2004,1,'Estimates'!$E$5:$E$2004,'Status'!$E$7)&gt;1,"DUP",IF(COUNTIFS('Estimates'!$A$5:$A$2004,$A121,'Estimates'!$B$5:$B$2004,"PPS",'Estimates'!$D$5:$D$2004,'Status'!$F$6,'Estimates'!$H$5:$H$2004,1,'Estimates'!$E$5:$E$2004,'Status'!$E$7,'Estimates'!$F$5:$F$2004,"&lt;&gt;")=0,"",SUMIFS('Estimates'!$F$5:$F$2004,'Estimates'!$A$5:$A$2004,$A121,'Estimates'!$B$5:$B$2004,"PPS",'Estimates'!$D$5:$D$2004,'Status'!$F$6,'Estimates'!$H$5:$H$2004,1,'Estimates'!$E$5:$E$2004,'Status'!$E$7)))))</x:f>
      </x:c>
      <x:c r="L121" s="13" t="str">
        <x:f>IF(OR(COUNTA($A121)=0,NOT(ISNUMBER('Status'!$G$6))),"",IF(COUNTIFS('Estimates'!$A$5:$A$2004,$A121,'Estimates'!$B$5:$B$2004,"PPS",'Estimates'!$D$5:$D$2004,'Status'!$G$6,'Estimates'!$H$5:$H$2004,1,'Estimates'!$E$5:$E$2004,'Status'!$E$7)=0,"",IF(COUNTIFS('Estimates'!$A$5:$A$2004,$A121,'Estimates'!$B$5:$B$2004,"PPS",'Estimates'!$D$5:$D$2004,'Status'!$G$6,'Estimates'!$H$5:$H$2004,1,'Estimates'!$E$5:$E$2004,'Status'!$E$7)&gt;1,"DUP",IF(COUNTIFS('Estimates'!$A$5:$A$2004,$A121,'Estimates'!$B$5:$B$2004,"PPS",'Estimates'!$D$5:$D$2004,'Status'!$G$6,'Estimates'!$H$5:$H$2004,1,'Estimates'!$E$5:$E$2004,'Status'!$E$7,'Estimates'!$F$5:$F$2004,"&lt;&gt;")=0,"",SUMIFS('Estimates'!$F$5:$F$2004,'Estimates'!$A$5:$A$2004,$A121,'Estimates'!$B$5:$B$2004,"PPS",'Estimates'!$D$5:$D$2004,'Status'!$G$6,'Estimates'!$H$5:$H$2004,1,'Estimates'!$E$5:$E$2004,'Status'!$E$7)))))</x:f>
      </x:c>
      <x:c r="M121" s="13" t="str">
        <x:f>IF(AND(ISNUMBER(J121),ISNUMBER(K121)),K121-J121,"")</x:f>
      </x:c>
      <x:c r="N121" s="13" t="str">
        <x:f>IF(AND(ISNUMBER(K121),ISNUMBER(L121)),L121-K121,"")</x:f>
      </x:c>
      <x:c r="O121" s="13" t="str">
        <x:f>IF(AND(COUNT(J121:L121)=3,COUNT('Status'!$E$6:$G$6)=3,'Status'!$E$6&gt;'Status'!$F$6,'Status'!$F$6&gt;'Status'!$G$6,'Status'!$G$6&gt;0),ABS(L121-(K121+(K121-J121)*('Status'!$G$6-'Status'!$F$6)/('Status'!$F$6-'Status'!$E$6))),"")</x:f>
      </x:c>
      <x:c r="P121" s="13" t="str">
        <x:f>IF(AND(COUNT(J121:L121)=3,COUNT('Status'!$E$6:$G$6)=3,'Status'!$E$6&gt;'Status'!$F$6,'Status'!$F$6&gt;'Status'!$G$6,'Status'!$G$6&gt;0),('Status'!$F$6*L121-'Status'!$G$6*K121)/('Status'!$F$6-'Status'!$G$6),"")</x:f>
      </x:c>
      <x:c r="Q121" s="20"/>
      <x:c r="R121" s="13" t="str">
        <x:f>IF(COUNTA($A121)=0,"",IF('Status'!$B$6="MPS 1",IF(ISNUMBER(C121),C121,""),IF('Status'!$B$6="MPS 2",IF(ISNUMBER(D121),D121,""),IF('Status'!$B$6="MPS 3",IF(ISNUMBER(E121),E121,""),IF('Status'!$B$6="MPS extrap",IF(ISNUMBER(I121),I121,""),IF('Status'!$B$6="PPS 1",IF(ISNUMBER(J121),J121,""),IF('Status'!$B$6="PPS 2",IF(ISNUMBER(K121),K121,""),IF('Status'!$B$6="PPS 3",IF(ISNUMBER(L121),L121,""),IF('Status'!$B$6="PPS extrap",IF(ISNUMBER(P121),P121,""),IF('Status'!$B$6="Calibrated",IF(ISNUMBER(Q121),Q121,""),""))))))))))</x:f>
      </x:c>
      <x:c r="S121" s="2" t="str">
        <x:f>IF(COUNTA(A121)=0,"",IF(COUNTIFS('Estimates'!$A$5:$A$2004,A121,'Estimates'!$B$5:$B$2004,"MPS",'Estimates'!$H$5:$H$2004,1)+COUNTIFS('Estimates'!$A$5:$A$2004,A121,'Estimates'!$B$5:$B$2004,"PPS",'Estimates'!$H$5:$H$2004,1)&gt;0,1,0))</x:f>
      </x:c>
      <x:c r="T121" s="2" t="str">
        <x:f>IF(COUNTA(A121)=0,"",IF(COUNTIFS($A$6:$A$165,A121)&gt;1,"Duplicate target",IF(COUNTIFS(C121:E121,"DUP")+COUNTIFS(J121:L121,"DUP")&gt;0,"Duplicate accepted run",IF(COUNTIFS('Estimates'!$A$5:$A$2004,A121,'Estimates'!$H$5:$H$2004,1)-COUNTIFS('Estimates'!$A$5:$A$2004,A121,'Estimates'!$H$5:$H$2004,1,'Estimates'!$F$5:$F$2004,"&lt;&gt;")&gt;0,"Accepted value missing",""))))</x:f>
      </x:c>
    </x:row>
    <x:row r="122">
      <x:c r="A122" s="21"/>
      <x:c r="B122" s="19"/>
      <x:c r="C122" s="13" t="str">
        <x:f>IF(OR(COUNTA($A122)=0,NOT(ISNUMBER('Status'!$E$5))),"",IF(COUNTIFS('Estimates'!$A$5:$A$2004,$A122,'Estimates'!$B$5:$B$2004,"MPS",'Estimates'!$C$5:$C$2004,'Status'!$E$5,'Estimates'!$H$5:$H$2004,1)=0,"",IF(COUNTIFS('Estimates'!$A$5:$A$2004,$A122,'Estimates'!$B$5:$B$2004,"MPS",'Estimates'!$C$5:$C$2004,'Status'!$E$5,'Estimates'!$H$5:$H$2004,1)&gt;1,"DUP",IF(COUNTIFS('Estimates'!$A$5:$A$2004,$A122,'Estimates'!$B$5:$B$2004,"MPS",'Estimates'!$C$5:$C$2004,'Status'!$E$5,'Estimates'!$H$5:$H$2004,1,'Estimates'!$F$5:$F$2004,"&lt;&gt;")=0,"",SUMIFS('Estimates'!$F$5:$F$2004,'Estimates'!$A$5:$A$2004,$A122,'Estimates'!$B$5:$B$2004,"MPS",'Estimates'!$C$5:$C$2004,'Status'!$E$5,'Estimates'!$H$5:$H$2004,1)))))</x:f>
      </x:c>
      <x:c r="D122" s="13" t="str">
        <x:f>IF(OR(COUNTA($A122)=0,NOT(ISNUMBER('Status'!$F$5))),"",IF(COUNTIFS('Estimates'!$A$5:$A$2004,$A122,'Estimates'!$B$5:$B$2004,"MPS",'Estimates'!$C$5:$C$2004,'Status'!$F$5,'Estimates'!$H$5:$H$2004,1)=0,"",IF(COUNTIFS('Estimates'!$A$5:$A$2004,$A122,'Estimates'!$B$5:$B$2004,"MPS",'Estimates'!$C$5:$C$2004,'Status'!$F$5,'Estimates'!$H$5:$H$2004,1)&gt;1,"DUP",IF(COUNTIFS('Estimates'!$A$5:$A$2004,$A122,'Estimates'!$B$5:$B$2004,"MPS",'Estimates'!$C$5:$C$2004,'Status'!$F$5,'Estimates'!$H$5:$H$2004,1,'Estimates'!$F$5:$F$2004,"&lt;&gt;")=0,"",SUMIFS('Estimates'!$F$5:$F$2004,'Estimates'!$A$5:$A$2004,$A122,'Estimates'!$B$5:$B$2004,"MPS",'Estimates'!$C$5:$C$2004,'Status'!$F$5,'Estimates'!$H$5:$H$2004,1)))))</x:f>
      </x:c>
      <x:c r="E122" s="13" t="str">
        <x:f>IF(OR(COUNTA($A122)=0,NOT(ISNUMBER('Status'!$G$5))),"",IF(COUNTIFS('Estimates'!$A$5:$A$2004,$A122,'Estimates'!$B$5:$B$2004,"MPS",'Estimates'!$C$5:$C$2004,'Status'!$G$5,'Estimates'!$H$5:$H$2004,1)=0,"",IF(COUNTIFS('Estimates'!$A$5:$A$2004,$A122,'Estimates'!$B$5:$B$2004,"MPS",'Estimates'!$C$5:$C$2004,'Status'!$G$5,'Estimates'!$H$5:$H$2004,1)&gt;1,"DUP",IF(COUNTIFS('Estimates'!$A$5:$A$2004,$A122,'Estimates'!$B$5:$B$2004,"MPS",'Estimates'!$C$5:$C$2004,'Status'!$G$5,'Estimates'!$H$5:$H$2004,1,'Estimates'!$F$5:$F$2004,"&lt;&gt;")=0,"",SUMIFS('Estimates'!$F$5:$F$2004,'Estimates'!$A$5:$A$2004,$A122,'Estimates'!$B$5:$B$2004,"MPS",'Estimates'!$C$5:$C$2004,'Status'!$G$5,'Estimates'!$H$5:$H$2004,1)))))</x:f>
      </x:c>
      <x:c r="F122" s="13" t="str">
        <x:f>IF(AND(ISNUMBER(C122),ISNUMBER(D122)),D122-C122,"")</x:f>
      </x:c>
      <x:c r="G122" s="13" t="str">
        <x:f>IF(AND(ISNUMBER(D122),ISNUMBER(E122)),E122-D122,"")</x:f>
      </x:c>
      <x:c r="H122" s="13" t="str">
        <x:f>IF(AND(COUNT(C122:E122)=3,COUNT('Status'!$E$5:$G$5)=3,'Status'!$E$5&gt;0,'Status'!$E$5&lt;'Status'!$F$5,'Status'!$F$5&lt;'Status'!$G$5),ABS(E122-(D122+(D122-C122)*((1/'Status'!$G$5)-(1/'Status'!$F$5))/((1/'Status'!$F$5)-(1/'Status'!$E$5)))),"")</x:f>
      </x:c>
      <x:c r="I122" s="13" t="str">
        <x:f>IF(AND(COUNT(C122:E122)=3,COUNT('Status'!$E$5:$G$5)=3,'Status'!$E$5&gt;0,'Status'!$E$5&lt;'Status'!$F$5,'Status'!$F$5&lt;'Status'!$G$5),((1/'Status'!$F$5)*E122-(1/'Status'!$G$5)*D122)/((1/'Status'!$F$5)-(1/'Status'!$G$5)),"")</x:f>
      </x:c>
      <x:c r="J122" s="13" t="str">
        <x:f>IF(OR(COUNTA($A122)=0,NOT(ISNUMBER('Status'!$E$6))),"",IF(COUNTIFS('Estimates'!$A$5:$A$2004,$A122,'Estimates'!$B$5:$B$2004,"PPS",'Estimates'!$D$5:$D$2004,'Status'!$E$6,'Estimates'!$H$5:$H$2004,1,'Estimates'!$E$5:$E$2004,'Status'!$E$7)=0,"",IF(COUNTIFS('Estimates'!$A$5:$A$2004,$A122,'Estimates'!$B$5:$B$2004,"PPS",'Estimates'!$D$5:$D$2004,'Status'!$E$6,'Estimates'!$H$5:$H$2004,1,'Estimates'!$E$5:$E$2004,'Status'!$E$7)&gt;1,"DUP",IF(COUNTIFS('Estimates'!$A$5:$A$2004,$A122,'Estimates'!$B$5:$B$2004,"PPS",'Estimates'!$D$5:$D$2004,'Status'!$E$6,'Estimates'!$H$5:$H$2004,1,'Estimates'!$E$5:$E$2004,'Status'!$E$7,'Estimates'!$F$5:$F$2004,"&lt;&gt;")=0,"",SUMIFS('Estimates'!$F$5:$F$2004,'Estimates'!$A$5:$A$2004,$A122,'Estimates'!$B$5:$B$2004,"PPS",'Estimates'!$D$5:$D$2004,'Status'!$E$6,'Estimates'!$H$5:$H$2004,1,'Estimates'!$E$5:$E$2004,'Status'!$E$7)))))</x:f>
      </x:c>
      <x:c r="K122" s="13" t="str">
        <x:f>IF(OR(COUNTA($A122)=0,NOT(ISNUMBER('Status'!$F$6))),"",IF(COUNTIFS('Estimates'!$A$5:$A$2004,$A122,'Estimates'!$B$5:$B$2004,"PPS",'Estimates'!$D$5:$D$2004,'Status'!$F$6,'Estimates'!$H$5:$H$2004,1,'Estimates'!$E$5:$E$2004,'Status'!$E$7)=0,"",IF(COUNTIFS('Estimates'!$A$5:$A$2004,$A122,'Estimates'!$B$5:$B$2004,"PPS",'Estimates'!$D$5:$D$2004,'Status'!$F$6,'Estimates'!$H$5:$H$2004,1,'Estimates'!$E$5:$E$2004,'Status'!$E$7)&gt;1,"DUP",IF(COUNTIFS('Estimates'!$A$5:$A$2004,$A122,'Estimates'!$B$5:$B$2004,"PPS",'Estimates'!$D$5:$D$2004,'Status'!$F$6,'Estimates'!$H$5:$H$2004,1,'Estimates'!$E$5:$E$2004,'Status'!$E$7,'Estimates'!$F$5:$F$2004,"&lt;&gt;")=0,"",SUMIFS('Estimates'!$F$5:$F$2004,'Estimates'!$A$5:$A$2004,$A122,'Estimates'!$B$5:$B$2004,"PPS",'Estimates'!$D$5:$D$2004,'Status'!$F$6,'Estimates'!$H$5:$H$2004,1,'Estimates'!$E$5:$E$2004,'Status'!$E$7)))))</x:f>
      </x:c>
      <x:c r="L122" s="13" t="str">
        <x:f>IF(OR(COUNTA($A122)=0,NOT(ISNUMBER('Status'!$G$6))),"",IF(COUNTIFS('Estimates'!$A$5:$A$2004,$A122,'Estimates'!$B$5:$B$2004,"PPS",'Estimates'!$D$5:$D$2004,'Status'!$G$6,'Estimates'!$H$5:$H$2004,1,'Estimates'!$E$5:$E$2004,'Status'!$E$7)=0,"",IF(COUNTIFS('Estimates'!$A$5:$A$2004,$A122,'Estimates'!$B$5:$B$2004,"PPS",'Estimates'!$D$5:$D$2004,'Status'!$G$6,'Estimates'!$H$5:$H$2004,1,'Estimates'!$E$5:$E$2004,'Status'!$E$7)&gt;1,"DUP",IF(COUNTIFS('Estimates'!$A$5:$A$2004,$A122,'Estimates'!$B$5:$B$2004,"PPS",'Estimates'!$D$5:$D$2004,'Status'!$G$6,'Estimates'!$H$5:$H$2004,1,'Estimates'!$E$5:$E$2004,'Status'!$E$7,'Estimates'!$F$5:$F$2004,"&lt;&gt;")=0,"",SUMIFS('Estimates'!$F$5:$F$2004,'Estimates'!$A$5:$A$2004,$A122,'Estimates'!$B$5:$B$2004,"PPS",'Estimates'!$D$5:$D$2004,'Status'!$G$6,'Estimates'!$H$5:$H$2004,1,'Estimates'!$E$5:$E$2004,'Status'!$E$7)))))</x:f>
      </x:c>
      <x:c r="M122" s="13" t="str">
        <x:f>IF(AND(ISNUMBER(J122),ISNUMBER(K122)),K122-J122,"")</x:f>
      </x:c>
      <x:c r="N122" s="13" t="str">
        <x:f>IF(AND(ISNUMBER(K122),ISNUMBER(L122)),L122-K122,"")</x:f>
      </x:c>
      <x:c r="O122" s="13" t="str">
        <x:f>IF(AND(COUNT(J122:L122)=3,COUNT('Status'!$E$6:$G$6)=3,'Status'!$E$6&gt;'Status'!$F$6,'Status'!$F$6&gt;'Status'!$G$6,'Status'!$G$6&gt;0),ABS(L122-(K122+(K122-J122)*('Status'!$G$6-'Status'!$F$6)/('Status'!$F$6-'Status'!$E$6))),"")</x:f>
      </x:c>
      <x:c r="P122" s="13" t="str">
        <x:f>IF(AND(COUNT(J122:L122)=3,COUNT('Status'!$E$6:$G$6)=3,'Status'!$E$6&gt;'Status'!$F$6,'Status'!$F$6&gt;'Status'!$G$6,'Status'!$G$6&gt;0),('Status'!$F$6*L122-'Status'!$G$6*K122)/('Status'!$F$6-'Status'!$G$6),"")</x:f>
      </x:c>
      <x:c r="Q122" s="20"/>
      <x:c r="R122" s="13" t="str">
        <x:f>IF(COUNTA($A122)=0,"",IF('Status'!$B$6="MPS 1",IF(ISNUMBER(C122),C122,""),IF('Status'!$B$6="MPS 2",IF(ISNUMBER(D122),D122,""),IF('Status'!$B$6="MPS 3",IF(ISNUMBER(E122),E122,""),IF('Status'!$B$6="MPS extrap",IF(ISNUMBER(I122),I122,""),IF('Status'!$B$6="PPS 1",IF(ISNUMBER(J122),J122,""),IF('Status'!$B$6="PPS 2",IF(ISNUMBER(K122),K122,""),IF('Status'!$B$6="PPS 3",IF(ISNUMBER(L122),L122,""),IF('Status'!$B$6="PPS extrap",IF(ISNUMBER(P122),P122,""),IF('Status'!$B$6="Calibrated",IF(ISNUMBER(Q122),Q122,""),""))))))))))</x:f>
      </x:c>
      <x:c r="S122" s="2" t="str">
        <x:f>IF(COUNTA(A122)=0,"",IF(COUNTIFS('Estimates'!$A$5:$A$2004,A122,'Estimates'!$B$5:$B$2004,"MPS",'Estimates'!$H$5:$H$2004,1)+COUNTIFS('Estimates'!$A$5:$A$2004,A122,'Estimates'!$B$5:$B$2004,"PPS",'Estimates'!$H$5:$H$2004,1)&gt;0,1,0))</x:f>
      </x:c>
      <x:c r="T122" s="2" t="str">
        <x:f>IF(COUNTA(A122)=0,"",IF(COUNTIFS($A$6:$A$165,A122)&gt;1,"Duplicate target",IF(COUNTIFS(C122:E122,"DUP")+COUNTIFS(J122:L122,"DUP")&gt;0,"Duplicate accepted run",IF(COUNTIFS('Estimates'!$A$5:$A$2004,A122,'Estimates'!$H$5:$H$2004,1)-COUNTIFS('Estimates'!$A$5:$A$2004,A122,'Estimates'!$H$5:$H$2004,1,'Estimates'!$F$5:$F$2004,"&lt;&gt;")&gt;0,"Accepted value missing",""))))</x:f>
      </x:c>
    </x:row>
    <x:row r="123">
      <x:c r="A123" s="21"/>
      <x:c r="B123" s="19"/>
      <x:c r="C123" s="13" t="str">
        <x:f>IF(OR(COUNTA($A123)=0,NOT(ISNUMBER('Status'!$E$5))),"",IF(COUNTIFS('Estimates'!$A$5:$A$2004,$A123,'Estimates'!$B$5:$B$2004,"MPS",'Estimates'!$C$5:$C$2004,'Status'!$E$5,'Estimates'!$H$5:$H$2004,1)=0,"",IF(COUNTIFS('Estimates'!$A$5:$A$2004,$A123,'Estimates'!$B$5:$B$2004,"MPS",'Estimates'!$C$5:$C$2004,'Status'!$E$5,'Estimates'!$H$5:$H$2004,1)&gt;1,"DUP",IF(COUNTIFS('Estimates'!$A$5:$A$2004,$A123,'Estimates'!$B$5:$B$2004,"MPS",'Estimates'!$C$5:$C$2004,'Status'!$E$5,'Estimates'!$H$5:$H$2004,1,'Estimates'!$F$5:$F$2004,"&lt;&gt;")=0,"",SUMIFS('Estimates'!$F$5:$F$2004,'Estimates'!$A$5:$A$2004,$A123,'Estimates'!$B$5:$B$2004,"MPS",'Estimates'!$C$5:$C$2004,'Status'!$E$5,'Estimates'!$H$5:$H$2004,1)))))</x:f>
      </x:c>
      <x:c r="D123" s="13" t="str">
        <x:f>IF(OR(COUNTA($A123)=0,NOT(ISNUMBER('Status'!$F$5))),"",IF(COUNTIFS('Estimates'!$A$5:$A$2004,$A123,'Estimates'!$B$5:$B$2004,"MPS",'Estimates'!$C$5:$C$2004,'Status'!$F$5,'Estimates'!$H$5:$H$2004,1)=0,"",IF(COUNTIFS('Estimates'!$A$5:$A$2004,$A123,'Estimates'!$B$5:$B$2004,"MPS",'Estimates'!$C$5:$C$2004,'Status'!$F$5,'Estimates'!$H$5:$H$2004,1)&gt;1,"DUP",IF(COUNTIFS('Estimates'!$A$5:$A$2004,$A123,'Estimates'!$B$5:$B$2004,"MPS",'Estimates'!$C$5:$C$2004,'Status'!$F$5,'Estimates'!$H$5:$H$2004,1,'Estimates'!$F$5:$F$2004,"&lt;&gt;")=0,"",SUMIFS('Estimates'!$F$5:$F$2004,'Estimates'!$A$5:$A$2004,$A123,'Estimates'!$B$5:$B$2004,"MPS",'Estimates'!$C$5:$C$2004,'Status'!$F$5,'Estimates'!$H$5:$H$2004,1)))))</x:f>
      </x:c>
      <x:c r="E123" s="13" t="str">
        <x:f>IF(OR(COUNTA($A123)=0,NOT(ISNUMBER('Status'!$G$5))),"",IF(COUNTIFS('Estimates'!$A$5:$A$2004,$A123,'Estimates'!$B$5:$B$2004,"MPS",'Estimates'!$C$5:$C$2004,'Status'!$G$5,'Estimates'!$H$5:$H$2004,1)=0,"",IF(COUNTIFS('Estimates'!$A$5:$A$2004,$A123,'Estimates'!$B$5:$B$2004,"MPS",'Estimates'!$C$5:$C$2004,'Status'!$G$5,'Estimates'!$H$5:$H$2004,1)&gt;1,"DUP",IF(COUNTIFS('Estimates'!$A$5:$A$2004,$A123,'Estimates'!$B$5:$B$2004,"MPS",'Estimates'!$C$5:$C$2004,'Status'!$G$5,'Estimates'!$H$5:$H$2004,1,'Estimates'!$F$5:$F$2004,"&lt;&gt;")=0,"",SUMIFS('Estimates'!$F$5:$F$2004,'Estimates'!$A$5:$A$2004,$A123,'Estimates'!$B$5:$B$2004,"MPS",'Estimates'!$C$5:$C$2004,'Status'!$G$5,'Estimates'!$H$5:$H$2004,1)))))</x:f>
      </x:c>
      <x:c r="F123" s="13" t="str">
        <x:f>IF(AND(ISNUMBER(C123),ISNUMBER(D123)),D123-C123,"")</x:f>
      </x:c>
      <x:c r="G123" s="13" t="str">
        <x:f>IF(AND(ISNUMBER(D123),ISNUMBER(E123)),E123-D123,"")</x:f>
      </x:c>
      <x:c r="H123" s="13" t="str">
        <x:f>IF(AND(COUNT(C123:E123)=3,COUNT('Status'!$E$5:$G$5)=3,'Status'!$E$5&gt;0,'Status'!$E$5&lt;'Status'!$F$5,'Status'!$F$5&lt;'Status'!$G$5),ABS(E123-(D123+(D123-C123)*((1/'Status'!$G$5)-(1/'Status'!$F$5))/((1/'Status'!$F$5)-(1/'Status'!$E$5)))),"")</x:f>
      </x:c>
      <x:c r="I123" s="13" t="str">
        <x:f>IF(AND(COUNT(C123:E123)=3,COUNT('Status'!$E$5:$G$5)=3,'Status'!$E$5&gt;0,'Status'!$E$5&lt;'Status'!$F$5,'Status'!$F$5&lt;'Status'!$G$5),((1/'Status'!$F$5)*E123-(1/'Status'!$G$5)*D123)/((1/'Status'!$F$5)-(1/'Status'!$G$5)),"")</x:f>
      </x:c>
      <x:c r="J123" s="13" t="str">
        <x:f>IF(OR(COUNTA($A123)=0,NOT(ISNUMBER('Status'!$E$6))),"",IF(COUNTIFS('Estimates'!$A$5:$A$2004,$A123,'Estimates'!$B$5:$B$2004,"PPS",'Estimates'!$D$5:$D$2004,'Status'!$E$6,'Estimates'!$H$5:$H$2004,1,'Estimates'!$E$5:$E$2004,'Status'!$E$7)=0,"",IF(COUNTIFS('Estimates'!$A$5:$A$2004,$A123,'Estimates'!$B$5:$B$2004,"PPS",'Estimates'!$D$5:$D$2004,'Status'!$E$6,'Estimates'!$H$5:$H$2004,1,'Estimates'!$E$5:$E$2004,'Status'!$E$7)&gt;1,"DUP",IF(COUNTIFS('Estimates'!$A$5:$A$2004,$A123,'Estimates'!$B$5:$B$2004,"PPS",'Estimates'!$D$5:$D$2004,'Status'!$E$6,'Estimates'!$H$5:$H$2004,1,'Estimates'!$E$5:$E$2004,'Status'!$E$7,'Estimates'!$F$5:$F$2004,"&lt;&gt;")=0,"",SUMIFS('Estimates'!$F$5:$F$2004,'Estimates'!$A$5:$A$2004,$A123,'Estimates'!$B$5:$B$2004,"PPS",'Estimates'!$D$5:$D$2004,'Status'!$E$6,'Estimates'!$H$5:$H$2004,1,'Estimates'!$E$5:$E$2004,'Status'!$E$7)))))</x:f>
      </x:c>
      <x:c r="K123" s="13" t="str">
        <x:f>IF(OR(COUNTA($A123)=0,NOT(ISNUMBER('Status'!$F$6))),"",IF(COUNTIFS('Estimates'!$A$5:$A$2004,$A123,'Estimates'!$B$5:$B$2004,"PPS",'Estimates'!$D$5:$D$2004,'Status'!$F$6,'Estimates'!$H$5:$H$2004,1,'Estimates'!$E$5:$E$2004,'Status'!$E$7)=0,"",IF(COUNTIFS('Estimates'!$A$5:$A$2004,$A123,'Estimates'!$B$5:$B$2004,"PPS",'Estimates'!$D$5:$D$2004,'Status'!$F$6,'Estimates'!$H$5:$H$2004,1,'Estimates'!$E$5:$E$2004,'Status'!$E$7)&gt;1,"DUP",IF(COUNTIFS('Estimates'!$A$5:$A$2004,$A123,'Estimates'!$B$5:$B$2004,"PPS",'Estimates'!$D$5:$D$2004,'Status'!$F$6,'Estimates'!$H$5:$H$2004,1,'Estimates'!$E$5:$E$2004,'Status'!$E$7,'Estimates'!$F$5:$F$2004,"&lt;&gt;")=0,"",SUMIFS('Estimates'!$F$5:$F$2004,'Estimates'!$A$5:$A$2004,$A123,'Estimates'!$B$5:$B$2004,"PPS",'Estimates'!$D$5:$D$2004,'Status'!$F$6,'Estimates'!$H$5:$H$2004,1,'Estimates'!$E$5:$E$2004,'Status'!$E$7)))))</x:f>
      </x:c>
      <x:c r="L123" s="13" t="str">
        <x:f>IF(OR(COUNTA($A123)=0,NOT(ISNUMBER('Status'!$G$6))),"",IF(COUNTIFS('Estimates'!$A$5:$A$2004,$A123,'Estimates'!$B$5:$B$2004,"PPS",'Estimates'!$D$5:$D$2004,'Status'!$G$6,'Estimates'!$H$5:$H$2004,1,'Estimates'!$E$5:$E$2004,'Status'!$E$7)=0,"",IF(COUNTIFS('Estimates'!$A$5:$A$2004,$A123,'Estimates'!$B$5:$B$2004,"PPS",'Estimates'!$D$5:$D$2004,'Status'!$G$6,'Estimates'!$H$5:$H$2004,1,'Estimates'!$E$5:$E$2004,'Status'!$E$7)&gt;1,"DUP",IF(COUNTIFS('Estimates'!$A$5:$A$2004,$A123,'Estimates'!$B$5:$B$2004,"PPS",'Estimates'!$D$5:$D$2004,'Status'!$G$6,'Estimates'!$H$5:$H$2004,1,'Estimates'!$E$5:$E$2004,'Status'!$E$7,'Estimates'!$F$5:$F$2004,"&lt;&gt;")=0,"",SUMIFS('Estimates'!$F$5:$F$2004,'Estimates'!$A$5:$A$2004,$A123,'Estimates'!$B$5:$B$2004,"PPS",'Estimates'!$D$5:$D$2004,'Status'!$G$6,'Estimates'!$H$5:$H$2004,1,'Estimates'!$E$5:$E$2004,'Status'!$E$7)))))</x:f>
      </x:c>
      <x:c r="M123" s="13" t="str">
        <x:f>IF(AND(ISNUMBER(J123),ISNUMBER(K123)),K123-J123,"")</x:f>
      </x:c>
      <x:c r="N123" s="13" t="str">
        <x:f>IF(AND(ISNUMBER(K123),ISNUMBER(L123)),L123-K123,"")</x:f>
      </x:c>
      <x:c r="O123" s="13" t="str">
        <x:f>IF(AND(COUNT(J123:L123)=3,COUNT('Status'!$E$6:$G$6)=3,'Status'!$E$6&gt;'Status'!$F$6,'Status'!$F$6&gt;'Status'!$G$6,'Status'!$G$6&gt;0),ABS(L123-(K123+(K123-J123)*('Status'!$G$6-'Status'!$F$6)/('Status'!$F$6-'Status'!$E$6))),"")</x:f>
      </x:c>
      <x:c r="P123" s="13" t="str">
        <x:f>IF(AND(COUNT(J123:L123)=3,COUNT('Status'!$E$6:$G$6)=3,'Status'!$E$6&gt;'Status'!$F$6,'Status'!$F$6&gt;'Status'!$G$6,'Status'!$G$6&gt;0),('Status'!$F$6*L123-'Status'!$G$6*K123)/('Status'!$F$6-'Status'!$G$6),"")</x:f>
      </x:c>
      <x:c r="Q123" s="20"/>
      <x:c r="R123" s="13" t="str">
        <x:f>IF(COUNTA($A123)=0,"",IF('Status'!$B$6="MPS 1",IF(ISNUMBER(C123),C123,""),IF('Status'!$B$6="MPS 2",IF(ISNUMBER(D123),D123,""),IF('Status'!$B$6="MPS 3",IF(ISNUMBER(E123),E123,""),IF('Status'!$B$6="MPS extrap",IF(ISNUMBER(I123),I123,""),IF('Status'!$B$6="PPS 1",IF(ISNUMBER(J123),J123,""),IF('Status'!$B$6="PPS 2",IF(ISNUMBER(K123),K123,""),IF('Status'!$B$6="PPS 3",IF(ISNUMBER(L123),L123,""),IF('Status'!$B$6="PPS extrap",IF(ISNUMBER(P123),P123,""),IF('Status'!$B$6="Calibrated",IF(ISNUMBER(Q123),Q123,""),""))))))))))</x:f>
      </x:c>
      <x:c r="S123" s="2" t="str">
        <x:f>IF(COUNTA(A123)=0,"",IF(COUNTIFS('Estimates'!$A$5:$A$2004,A123,'Estimates'!$B$5:$B$2004,"MPS",'Estimates'!$H$5:$H$2004,1)+COUNTIFS('Estimates'!$A$5:$A$2004,A123,'Estimates'!$B$5:$B$2004,"PPS",'Estimates'!$H$5:$H$2004,1)&gt;0,1,0))</x:f>
      </x:c>
      <x:c r="T123" s="2" t="str">
        <x:f>IF(COUNTA(A123)=0,"",IF(COUNTIFS($A$6:$A$165,A123)&gt;1,"Duplicate target",IF(COUNTIFS(C123:E123,"DUP")+COUNTIFS(J123:L123,"DUP")&gt;0,"Duplicate accepted run",IF(COUNTIFS('Estimates'!$A$5:$A$2004,A123,'Estimates'!$H$5:$H$2004,1)-COUNTIFS('Estimates'!$A$5:$A$2004,A123,'Estimates'!$H$5:$H$2004,1,'Estimates'!$F$5:$F$2004,"&lt;&gt;")&gt;0,"Accepted value missing",""))))</x:f>
      </x:c>
    </x:row>
    <x:row r="124">
      <x:c r="A124" s="21"/>
      <x:c r="B124" s="19"/>
      <x:c r="C124" s="13" t="str">
        <x:f>IF(OR(COUNTA($A124)=0,NOT(ISNUMBER('Status'!$E$5))),"",IF(COUNTIFS('Estimates'!$A$5:$A$2004,$A124,'Estimates'!$B$5:$B$2004,"MPS",'Estimates'!$C$5:$C$2004,'Status'!$E$5,'Estimates'!$H$5:$H$2004,1)=0,"",IF(COUNTIFS('Estimates'!$A$5:$A$2004,$A124,'Estimates'!$B$5:$B$2004,"MPS",'Estimates'!$C$5:$C$2004,'Status'!$E$5,'Estimates'!$H$5:$H$2004,1)&gt;1,"DUP",IF(COUNTIFS('Estimates'!$A$5:$A$2004,$A124,'Estimates'!$B$5:$B$2004,"MPS",'Estimates'!$C$5:$C$2004,'Status'!$E$5,'Estimates'!$H$5:$H$2004,1,'Estimates'!$F$5:$F$2004,"&lt;&gt;")=0,"",SUMIFS('Estimates'!$F$5:$F$2004,'Estimates'!$A$5:$A$2004,$A124,'Estimates'!$B$5:$B$2004,"MPS",'Estimates'!$C$5:$C$2004,'Status'!$E$5,'Estimates'!$H$5:$H$2004,1)))))</x:f>
      </x:c>
      <x:c r="D124" s="13" t="str">
        <x:f>IF(OR(COUNTA($A124)=0,NOT(ISNUMBER('Status'!$F$5))),"",IF(COUNTIFS('Estimates'!$A$5:$A$2004,$A124,'Estimates'!$B$5:$B$2004,"MPS",'Estimates'!$C$5:$C$2004,'Status'!$F$5,'Estimates'!$H$5:$H$2004,1)=0,"",IF(COUNTIFS('Estimates'!$A$5:$A$2004,$A124,'Estimates'!$B$5:$B$2004,"MPS",'Estimates'!$C$5:$C$2004,'Status'!$F$5,'Estimates'!$H$5:$H$2004,1)&gt;1,"DUP",IF(COUNTIFS('Estimates'!$A$5:$A$2004,$A124,'Estimates'!$B$5:$B$2004,"MPS",'Estimates'!$C$5:$C$2004,'Status'!$F$5,'Estimates'!$H$5:$H$2004,1,'Estimates'!$F$5:$F$2004,"&lt;&gt;")=0,"",SUMIFS('Estimates'!$F$5:$F$2004,'Estimates'!$A$5:$A$2004,$A124,'Estimates'!$B$5:$B$2004,"MPS",'Estimates'!$C$5:$C$2004,'Status'!$F$5,'Estimates'!$H$5:$H$2004,1)))))</x:f>
      </x:c>
      <x:c r="E124" s="13" t="str">
        <x:f>IF(OR(COUNTA($A124)=0,NOT(ISNUMBER('Status'!$G$5))),"",IF(COUNTIFS('Estimates'!$A$5:$A$2004,$A124,'Estimates'!$B$5:$B$2004,"MPS",'Estimates'!$C$5:$C$2004,'Status'!$G$5,'Estimates'!$H$5:$H$2004,1)=0,"",IF(COUNTIFS('Estimates'!$A$5:$A$2004,$A124,'Estimates'!$B$5:$B$2004,"MPS",'Estimates'!$C$5:$C$2004,'Status'!$G$5,'Estimates'!$H$5:$H$2004,1)&gt;1,"DUP",IF(COUNTIFS('Estimates'!$A$5:$A$2004,$A124,'Estimates'!$B$5:$B$2004,"MPS",'Estimates'!$C$5:$C$2004,'Status'!$G$5,'Estimates'!$H$5:$H$2004,1,'Estimates'!$F$5:$F$2004,"&lt;&gt;")=0,"",SUMIFS('Estimates'!$F$5:$F$2004,'Estimates'!$A$5:$A$2004,$A124,'Estimates'!$B$5:$B$2004,"MPS",'Estimates'!$C$5:$C$2004,'Status'!$G$5,'Estimates'!$H$5:$H$2004,1)))))</x:f>
      </x:c>
      <x:c r="F124" s="13" t="str">
        <x:f>IF(AND(ISNUMBER(C124),ISNUMBER(D124)),D124-C124,"")</x:f>
      </x:c>
      <x:c r="G124" s="13" t="str">
        <x:f>IF(AND(ISNUMBER(D124),ISNUMBER(E124)),E124-D124,"")</x:f>
      </x:c>
      <x:c r="H124" s="13" t="str">
        <x:f>IF(AND(COUNT(C124:E124)=3,COUNT('Status'!$E$5:$G$5)=3,'Status'!$E$5&gt;0,'Status'!$E$5&lt;'Status'!$F$5,'Status'!$F$5&lt;'Status'!$G$5),ABS(E124-(D124+(D124-C124)*((1/'Status'!$G$5)-(1/'Status'!$F$5))/((1/'Status'!$F$5)-(1/'Status'!$E$5)))),"")</x:f>
      </x:c>
      <x:c r="I124" s="13" t="str">
        <x:f>IF(AND(COUNT(C124:E124)=3,COUNT('Status'!$E$5:$G$5)=3,'Status'!$E$5&gt;0,'Status'!$E$5&lt;'Status'!$F$5,'Status'!$F$5&lt;'Status'!$G$5),((1/'Status'!$F$5)*E124-(1/'Status'!$G$5)*D124)/((1/'Status'!$F$5)-(1/'Status'!$G$5)),"")</x:f>
      </x:c>
      <x:c r="J124" s="13" t="str">
        <x:f>IF(OR(COUNTA($A124)=0,NOT(ISNUMBER('Status'!$E$6))),"",IF(COUNTIFS('Estimates'!$A$5:$A$2004,$A124,'Estimates'!$B$5:$B$2004,"PPS",'Estimates'!$D$5:$D$2004,'Status'!$E$6,'Estimates'!$H$5:$H$2004,1,'Estimates'!$E$5:$E$2004,'Status'!$E$7)=0,"",IF(COUNTIFS('Estimates'!$A$5:$A$2004,$A124,'Estimates'!$B$5:$B$2004,"PPS",'Estimates'!$D$5:$D$2004,'Status'!$E$6,'Estimates'!$H$5:$H$2004,1,'Estimates'!$E$5:$E$2004,'Status'!$E$7)&gt;1,"DUP",IF(COUNTIFS('Estimates'!$A$5:$A$2004,$A124,'Estimates'!$B$5:$B$2004,"PPS",'Estimates'!$D$5:$D$2004,'Status'!$E$6,'Estimates'!$H$5:$H$2004,1,'Estimates'!$E$5:$E$2004,'Status'!$E$7,'Estimates'!$F$5:$F$2004,"&lt;&gt;")=0,"",SUMIFS('Estimates'!$F$5:$F$2004,'Estimates'!$A$5:$A$2004,$A124,'Estimates'!$B$5:$B$2004,"PPS",'Estimates'!$D$5:$D$2004,'Status'!$E$6,'Estimates'!$H$5:$H$2004,1,'Estimates'!$E$5:$E$2004,'Status'!$E$7)))))</x:f>
      </x:c>
      <x:c r="K124" s="13" t="str">
        <x:f>IF(OR(COUNTA($A124)=0,NOT(ISNUMBER('Status'!$F$6))),"",IF(COUNTIFS('Estimates'!$A$5:$A$2004,$A124,'Estimates'!$B$5:$B$2004,"PPS",'Estimates'!$D$5:$D$2004,'Status'!$F$6,'Estimates'!$H$5:$H$2004,1,'Estimates'!$E$5:$E$2004,'Status'!$E$7)=0,"",IF(COUNTIFS('Estimates'!$A$5:$A$2004,$A124,'Estimates'!$B$5:$B$2004,"PPS",'Estimates'!$D$5:$D$2004,'Status'!$F$6,'Estimates'!$H$5:$H$2004,1,'Estimates'!$E$5:$E$2004,'Status'!$E$7)&gt;1,"DUP",IF(COUNTIFS('Estimates'!$A$5:$A$2004,$A124,'Estimates'!$B$5:$B$2004,"PPS",'Estimates'!$D$5:$D$2004,'Status'!$F$6,'Estimates'!$H$5:$H$2004,1,'Estimates'!$E$5:$E$2004,'Status'!$E$7,'Estimates'!$F$5:$F$2004,"&lt;&gt;")=0,"",SUMIFS('Estimates'!$F$5:$F$2004,'Estimates'!$A$5:$A$2004,$A124,'Estimates'!$B$5:$B$2004,"PPS",'Estimates'!$D$5:$D$2004,'Status'!$F$6,'Estimates'!$H$5:$H$2004,1,'Estimates'!$E$5:$E$2004,'Status'!$E$7)))))</x:f>
      </x:c>
      <x:c r="L124" s="13" t="str">
        <x:f>IF(OR(COUNTA($A124)=0,NOT(ISNUMBER('Status'!$G$6))),"",IF(COUNTIFS('Estimates'!$A$5:$A$2004,$A124,'Estimates'!$B$5:$B$2004,"PPS",'Estimates'!$D$5:$D$2004,'Status'!$G$6,'Estimates'!$H$5:$H$2004,1,'Estimates'!$E$5:$E$2004,'Status'!$E$7)=0,"",IF(COUNTIFS('Estimates'!$A$5:$A$2004,$A124,'Estimates'!$B$5:$B$2004,"PPS",'Estimates'!$D$5:$D$2004,'Status'!$G$6,'Estimates'!$H$5:$H$2004,1,'Estimates'!$E$5:$E$2004,'Status'!$E$7)&gt;1,"DUP",IF(COUNTIFS('Estimates'!$A$5:$A$2004,$A124,'Estimates'!$B$5:$B$2004,"PPS",'Estimates'!$D$5:$D$2004,'Status'!$G$6,'Estimates'!$H$5:$H$2004,1,'Estimates'!$E$5:$E$2004,'Status'!$E$7,'Estimates'!$F$5:$F$2004,"&lt;&gt;")=0,"",SUMIFS('Estimates'!$F$5:$F$2004,'Estimates'!$A$5:$A$2004,$A124,'Estimates'!$B$5:$B$2004,"PPS",'Estimates'!$D$5:$D$2004,'Status'!$G$6,'Estimates'!$H$5:$H$2004,1,'Estimates'!$E$5:$E$2004,'Status'!$E$7)))))</x:f>
      </x:c>
      <x:c r="M124" s="13" t="str">
        <x:f>IF(AND(ISNUMBER(J124),ISNUMBER(K124)),K124-J124,"")</x:f>
      </x:c>
      <x:c r="N124" s="13" t="str">
        <x:f>IF(AND(ISNUMBER(K124),ISNUMBER(L124)),L124-K124,"")</x:f>
      </x:c>
      <x:c r="O124" s="13" t="str">
        <x:f>IF(AND(COUNT(J124:L124)=3,COUNT('Status'!$E$6:$G$6)=3,'Status'!$E$6&gt;'Status'!$F$6,'Status'!$F$6&gt;'Status'!$G$6,'Status'!$G$6&gt;0),ABS(L124-(K124+(K124-J124)*('Status'!$G$6-'Status'!$F$6)/('Status'!$F$6-'Status'!$E$6))),"")</x:f>
      </x:c>
      <x:c r="P124" s="13" t="str">
        <x:f>IF(AND(COUNT(J124:L124)=3,COUNT('Status'!$E$6:$G$6)=3,'Status'!$E$6&gt;'Status'!$F$6,'Status'!$F$6&gt;'Status'!$G$6,'Status'!$G$6&gt;0),('Status'!$F$6*L124-'Status'!$G$6*K124)/('Status'!$F$6-'Status'!$G$6),"")</x:f>
      </x:c>
      <x:c r="Q124" s="20"/>
      <x:c r="R124" s="13" t="str">
        <x:f>IF(COUNTA($A124)=0,"",IF('Status'!$B$6="MPS 1",IF(ISNUMBER(C124),C124,""),IF('Status'!$B$6="MPS 2",IF(ISNUMBER(D124),D124,""),IF('Status'!$B$6="MPS 3",IF(ISNUMBER(E124),E124,""),IF('Status'!$B$6="MPS extrap",IF(ISNUMBER(I124),I124,""),IF('Status'!$B$6="PPS 1",IF(ISNUMBER(J124),J124,""),IF('Status'!$B$6="PPS 2",IF(ISNUMBER(K124),K124,""),IF('Status'!$B$6="PPS 3",IF(ISNUMBER(L124),L124,""),IF('Status'!$B$6="PPS extrap",IF(ISNUMBER(P124),P124,""),IF('Status'!$B$6="Calibrated",IF(ISNUMBER(Q124),Q124,""),""))))))))))</x:f>
      </x:c>
      <x:c r="S124" s="2" t="str">
        <x:f>IF(COUNTA(A124)=0,"",IF(COUNTIFS('Estimates'!$A$5:$A$2004,A124,'Estimates'!$B$5:$B$2004,"MPS",'Estimates'!$H$5:$H$2004,1)+COUNTIFS('Estimates'!$A$5:$A$2004,A124,'Estimates'!$B$5:$B$2004,"PPS",'Estimates'!$H$5:$H$2004,1)&gt;0,1,0))</x:f>
      </x:c>
      <x:c r="T124" s="2" t="str">
        <x:f>IF(COUNTA(A124)=0,"",IF(COUNTIFS($A$6:$A$165,A124)&gt;1,"Duplicate target",IF(COUNTIFS(C124:E124,"DUP")+COUNTIFS(J124:L124,"DUP")&gt;0,"Duplicate accepted run",IF(COUNTIFS('Estimates'!$A$5:$A$2004,A124,'Estimates'!$H$5:$H$2004,1)-COUNTIFS('Estimates'!$A$5:$A$2004,A124,'Estimates'!$H$5:$H$2004,1,'Estimates'!$F$5:$F$2004,"&lt;&gt;")&gt;0,"Accepted value missing",""))))</x:f>
      </x:c>
    </x:row>
    <x:row r="125">
      <x:c r="A125" s="21"/>
      <x:c r="B125" s="19"/>
      <x:c r="C125" s="13" t="str">
        <x:f>IF(OR(COUNTA($A125)=0,NOT(ISNUMBER('Status'!$E$5))),"",IF(COUNTIFS('Estimates'!$A$5:$A$2004,$A125,'Estimates'!$B$5:$B$2004,"MPS",'Estimates'!$C$5:$C$2004,'Status'!$E$5,'Estimates'!$H$5:$H$2004,1)=0,"",IF(COUNTIFS('Estimates'!$A$5:$A$2004,$A125,'Estimates'!$B$5:$B$2004,"MPS",'Estimates'!$C$5:$C$2004,'Status'!$E$5,'Estimates'!$H$5:$H$2004,1)&gt;1,"DUP",IF(COUNTIFS('Estimates'!$A$5:$A$2004,$A125,'Estimates'!$B$5:$B$2004,"MPS",'Estimates'!$C$5:$C$2004,'Status'!$E$5,'Estimates'!$H$5:$H$2004,1,'Estimates'!$F$5:$F$2004,"&lt;&gt;")=0,"",SUMIFS('Estimates'!$F$5:$F$2004,'Estimates'!$A$5:$A$2004,$A125,'Estimates'!$B$5:$B$2004,"MPS",'Estimates'!$C$5:$C$2004,'Status'!$E$5,'Estimates'!$H$5:$H$2004,1)))))</x:f>
      </x:c>
      <x:c r="D125" s="13" t="str">
        <x:f>IF(OR(COUNTA($A125)=0,NOT(ISNUMBER('Status'!$F$5))),"",IF(COUNTIFS('Estimates'!$A$5:$A$2004,$A125,'Estimates'!$B$5:$B$2004,"MPS",'Estimates'!$C$5:$C$2004,'Status'!$F$5,'Estimates'!$H$5:$H$2004,1)=0,"",IF(COUNTIFS('Estimates'!$A$5:$A$2004,$A125,'Estimates'!$B$5:$B$2004,"MPS",'Estimates'!$C$5:$C$2004,'Status'!$F$5,'Estimates'!$H$5:$H$2004,1)&gt;1,"DUP",IF(COUNTIFS('Estimates'!$A$5:$A$2004,$A125,'Estimates'!$B$5:$B$2004,"MPS",'Estimates'!$C$5:$C$2004,'Status'!$F$5,'Estimates'!$H$5:$H$2004,1,'Estimates'!$F$5:$F$2004,"&lt;&gt;")=0,"",SUMIFS('Estimates'!$F$5:$F$2004,'Estimates'!$A$5:$A$2004,$A125,'Estimates'!$B$5:$B$2004,"MPS",'Estimates'!$C$5:$C$2004,'Status'!$F$5,'Estimates'!$H$5:$H$2004,1)))))</x:f>
      </x:c>
      <x:c r="E125" s="13" t="str">
        <x:f>IF(OR(COUNTA($A125)=0,NOT(ISNUMBER('Status'!$G$5))),"",IF(COUNTIFS('Estimates'!$A$5:$A$2004,$A125,'Estimates'!$B$5:$B$2004,"MPS",'Estimates'!$C$5:$C$2004,'Status'!$G$5,'Estimates'!$H$5:$H$2004,1)=0,"",IF(COUNTIFS('Estimates'!$A$5:$A$2004,$A125,'Estimates'!$B$5:$B$2004,"MPS",'Estimates'!$C$5:$C$2004,'Status'!$G$5,'Estimates'!$H$5:$H$2004,1)&gt;1,"DUP",IF(COUNTIFS('Estimates'!$A$5:$A$2004,$A125,'Estimates'!$B$5:$B$2004,"MPS",'Estimates'!$C$5:$C$2004,'Status'!$G$5,'Estimates'!$H$5:$H$2004,1,'Estimates'!$F$5:$F$2004,"&lt;&gt;")=0,"",SUMIFS('Estimates'!$F$5:$F$2004,'Estimates'!$A$5:$A$2004,$A125,'Estimates'!$B$5:$B$2004,"MPS",'Estimates'!$C$5:$C$2004,'Status'!$G$5,'Estimates'!$H$5:$H$2004,1)))))</x:f>
      </x:c>
      <x:c r="F125" s="13" t="str">
        <x:f>IF(AND(ISNUMBER(C125),ISNUMBER(D125)),D125-C125,"")</x:f>
      </x:c>
      <x:c r="G125" s="13" t="str">
        <x:f>IF(AND(ISNUMBER(D125),ISNUMBER(E125)),E125-D125,"")</x:f>
      </x:c>
      <x:c r="H125" s="13" t="str">
        <x:f>IF(AND(COUNT(C125:E125)=3,COUNT('Status'!$E$5:$G$5)=3,'Status'!$E$5&gt;0,'Status'!$E$5&lt;'Status'!$F$5,'Status'!$F$5&lt;'Status'!$G$5),ABS(E125-(D125+(D125-C125)*((1/'Status'!$G$5)-(1/'Status'!$F$5))/((1/'Status'!$F$5)-(1/'Status'!$E$5)))),"")</x:f>
      </x:c>
      <x:c r="I125" s="13" t="str">
        <x:f>IF(AND(COUNT(C125:E125)=3,COUNT('Status'!$E$5:$G$5)=3,'Status'!$E$5&gt;0,'Status'!$E$5&lt;'Status'!$F$5,'Status'!$F$5&lt;'Status'!$G$5),((1/'Status'!$F$5)*E125-(1/'Status'!$G$5)*D125)/((1/'Status'!$F$5)-(1/'Status'!$G$5)),"")</x:f>
      </x:c>
      <x:c r="J125" s="13" t="str">
        <x:f>IF(OR(COUNTA($A125)=0,NOT(ISNUMBER('Status'!$E$6))),"",IF(COUNTIFS('Estimates'!$A$5:$A$2004,$A125,'Estimates'!$B$5:$B$2004,"PPS",'Estimates'!$D$5:$D$2004,'Status'!$E$6,'Estimates'!$H$5:$H$2004,1,'Estimates'!$E$5:$E$2004,'Status'!$E$7)=0,"",IF(COUNTIFS('Estimates'!$A$5:$A$2004,$A125,'Estimates'!$B$5:$B$2004,"PPS",'Estimates'!$D$5:$D$2004,'Status'!$E$6,'Estimates'!$H$5:$H$2004,1,'Estimates'!$E$5:$E$2004,'Status'!$E$7)&gt;1,"DUP",IF(COUNTIFS('Estimates'!$A$5:$A$2004,$A125,'Estimates'!$B$5:$B$2004,"PPS",'Estimates'!$D$5:$D$2004,'Status'!$E$6,'Estimates'!$H$5:$H$2004,1,'Estimates'!$E$5:$E$2004,'Status'!$E$7,'Estimates'!$F$5:$F$2004,"&lt;&gt;")=0,"",SUMIFS('Estimates'!$F$5:$F$2004,'Estimates'!$A$5:$A$2004,$A125,'Estimates'!$B$5:$B$2004,"PPS",'Estimates'!$D$5:$D$2004,'Status'!$E$6,'Estimates'!$H$5:$H$2004,1,'Estimates'!$E$5:$E$2004,'Status'!$E$7)))))</x:f>
      </x:c>
      <x:c r="K125" s="13" t="str">
        <x:f>IF(OR(COUNTA($A125)=0,NOT(ISNUMBER('Status'!$F$6))),"",IF(COUNTIFS('Estimates'!$A$5:$A$2004,$A125,'Estimates'!$B$5:$B$2004,"PPS",'Estimates'!$D$5:$D$2004,'Status'!$F$6,'Estimates'!$H$5:$H$2004,1,'Estimates'!$E$5:$E$2004,'Status'!$E$7)=0,"",IF(COUNTIFS('Estimates'!$A$5:$A$2004,$A125,'Estimates'!$B$5:$B$2004,"PPS",'Estimates'!$D$5:$D$2004,'Status'!$F$6,'Estimates'!$H$5:$H$2004,1,'Estimates'!$E$5:$E$2004,'Status'!$E$7)&gt;1,"DUP",IF(COUNTIFS('Estimates'!$A$5:$A$2004,$A125,'Estimates'!$B$5:$B$2004,"PPS",'Estimates'!$D$5:$D$2004,'Status'!$F$6,'Estimates'!$H$5:$H$2004,1,'Estimates'!$E$5:$E$2004,'Status'!$E$7,'Estimates'!$F$5:$F$2004,"&lt;&gt;")=0,"",SUMIFS('Estimates'!$F$5:$F$2004,'Estimates'!$A$5:$A$2004,$A125,'Estimates'!$B$5:$B$2004,"PPS",'Estimates'!$D$5:$D$2004,'Status'!$F$6,'Estimates'!$H$5:$H$2004,1,'Estimates'!$E$5:$E$2004,'Status'!$E$7)))))</x:f>
      </x:c>
      <x:c r="L125" s="13" t="str">
        <x:f>IF(OR(COUNTA($A125)=0,NOT(ISNUMBER('Status'!$G$6))),"",IF(COUNTIFS('Estimates'!$A$5:$A$2004,$A125,'Estimates'!$B$5:$B$2004,"PPS",'Estimates'!$D$5:$D$2004,'Status'!$G$6,'Estimates'!$H$5:$H$2004,1,'Estimates'!$E$5:$E$2004,'Status'!$E$7)=0,"",IF(COUNTIFS('Estimates'!$A$5:$A$2004,$A125,'Estimates'!$B$5:$B$2004,"PPS",'Estimates'!$D$5:$D$2004,'Status'!$G$6,'Estimates'!$H$5:$H$2004,1,'Estimates'!$E$5:$E$2004,'Status'!$E$7)&gt;1,"DUP",IF(COUNTIFS('Estimates'!$A$5:$A$2004,$A125,'Estimates'!$B$5:$B$2004,"PPS",'Estimates'!$D$5:$D$2004,'Status'!$G$6,'Estimates'!$H$5:$H$2004,1,'Estimates'!$E$5:$E$2004,'Status'!$E$7,'Estimates'!$F$5:$F$2004,"&lt;&gt;")=0,"",SUMIFS('Estimates'!$F$5:$F$2004,'Estimates'!$A$5:$A$2004,$A125,'Estimates'!$B$5:$B$2004,"PPS",'Estimates'!$D$5:$D$2004,'Status'!$G$6,'Estimates'!$H$5:$H$2004,1,'Estimates'!$E$5:$E$2004,'Status'!$E$7)))))</x:f>
      </x:c>
      <x:c r="M125" s="13" t="str">
        <x:f>IF(AND(ISNUMBER(J125),ISNUMBER(K125)),K125-J125,"")</x:f>
      </x:c>
      <x:c r="N125" s="13" t="str">
        <x:f>IF(AND(ISNUMBER(K125),ISNUMBER(L125)),L125-K125,"")</x:f>
      </x:c>
      <x:c r="O125" s="13" t="str">
        <x:f>IF(AND(COUNT(J125:L125)=3,COUNT('Status'!$E$6:$G$6)=3,'Status'!$E$6&gt;'Status'!$F$6,'Status'!$F$6&gt;'Status'!$G$6,'Status'!$G$6&gt;0),ABS(L125-(K125+(K125-J125)*('Status'!$G$6-'Status'!$F$6)/('Status'!$F$6-'Status'!$E$6))),"")</x:f>
      </x:c>
      <x:c r="P125" s="13" t="str">
        <x:f>IF(AND(COUNT(J125:L125)=3,COUNT('Status'!$E$6:$G$6)=3,'Status'!$E$6&gt;'Status'!$F$6,'Status'!$F$6&gt;'Status'!$G$6,'Status'!$G$6&gt;0),('Status'!$F$6*L125-'Status'!$G$6*K125)/('Status'!$F$6-'Status'!$G$6),"")</x:f>
      </x:c>
      <x:c r="Q125" s="20"/>
      <x:c r="R125" s="13" t="str">
        <x:f>IF(COUNTA($A125)=0,"",IF('Status'!$B$6="MPS 1",IF(ISNUMBER(C125),C125,""),IF('Status'!$B$6="MPS 2",IF(ISNUMBER(D125),D125,""),IF('Status'!$B$6="MPS 3",IF(ISNUMBER(E125),E125,""),IF('Status'!$B$6="MPS extrap",IF(ISNUMBER(I125),I125,""),IF('Status'!$B$6="PPS 1",IF(ISNUMBER(J125),J125,""),IF('Status'!$B$6="PPS 2",IF(ISNUMBER(K125),K125,""),IF('Status'!$B$6="PPS 3",IF(ISNUMBER(L125),L125,""),IF('Status'!$B$6="PPS extrap",IF(ISNUMBER(P125),P125,""),IF('Status'!$B$6="Calibrated",IF(ISNUMBER(Q125),Q125,""),""))))))))))</x:f>
      </x:c>
      <x:c r="S125" s="2" t="str">
        <x:f>IF(COUNTA(A125)=0,"",IF(COUNTIFS('Estimates'!$A$5:$A$2004,A125,'Estimates'!$B$5:$B$2004,"MPS",'Estimates'!$H$5:$H$2004,1)+COUNTIFS('Estimates'!$A$5:$A$2004,A125,'Estimates'!$B$5:$B$2004,"PPS",'Estimates'!$H$5:$H$2004,1)&gt;0,1,0))</x:f>
      </x:c>
      <x:c r="T125" s="2" t="str">
        <x:f>IF(COUNTA(A125)=0,"",IF(COUNTIFS($A$6:$A$165,A125)&gt;1,"Duplicate target",IF(COUNTIFS(C125:E125,"DUP")+COUNTIFS(J125:L125,"DUP")&gt;0,"Duplicate accepted run",IF(COUNTIFS('Estimates'!$A$5:$A$2004,A125,'Estimates'!$H$5:$H$2004,1)-COUNTIFS('Estimates'!$A$5:$A$2004,A125,'Estimates'!$H$5:$H$2004,1,'Estimates'!$F$5:$F$2004,"&lt;&gt;")&gt;0,"Accepted value missing",""))))</x:f>
      </x:c>
    </x:row>
    <x:row r="126">
      <x:c r="A126" s="21"/>
      <x:c r="B126" s="19"/>
      <x:c r="C126" s="13" t="str">
        <x:f>IF(OR(COUNTA($A126)=0,NOT(ISNUMBER('Status'!$E$5))),"",IF(COUNTIFS('Estimates'!$A$5:$A$2004,$A126,'Estimates'!$B$5:$B$2004,"MPS",'Estimates'!$C$5:$C$2004,'Status'!$E$5,'Estimates'!$H$5:$H$2004,1)=0,"",IF(COUNTIFS('Estimates'!$A$5:$A$2004,$A126,'Estimates'!$B$5:$B$2004,"MPS",'Estimates'!$C$5:$C$2004,'Status'!$E$5,'Estimates'!$H$5:$H$2004,1)&gt;1,"DUP",IF(COUNTIFS('Estimates'!$A$5:$A$2004,$A126,'Estimates'!$B$5:$B$2004,"MPS",'Estimates'!$C$5:$C$2004,'Status'!$E$5,'Estimates'!$H$5:$H$2004,1,'Estimates'!$F$5:$F$2004,"&lt;&gt;")=0,"",SUMIFS('Estimates'!$F$5:$F$2004,'Estimates'!$A$5:$A$2004,$A126,'Estimates'!$B$5:$B$2004,"MPS",'Estimates'!$C$5:$C$2004,'Status'!$E$5,'Estimates'!$H$5:$H$2004,1)))))</x:f>
      </x:c>
      <x:c r="D126" s="13" t="str">
        <x:f>IF(OR(COUNTA($A126)=0,NOT(ISNUMBER('Status'!$F$5))),"",IF(COUNTIFS('Estimates'!$A$5:$A$2004,$A126,'Estimates'!$B$5:$B$2004,"MPS",'Estimates'!$C$5:$C$2004,'Status'!$F$5,'Estimates'!$H$5:$H$2004,1)=0,"",IF(COUNTIFS('Estimates'!$A$5:$A$2004,$A126,'Estimates'!$B$5:$B$2004,"MPS",'Estimates'!$C$5:$C$2004,'Status'!$F$5,'Estimates'!$H$5:$H$2004,1)&gt;1,"DUP",IF(COUNTIFS('Estimates'!$A$5:$A$2004,$A126,'Estimates'!$B$5:$B$2004,"MPS",'Estimates'!$C$5:$C$2004,'Status'!$F$5,'Estimates'!$H$5:$H$2004,1,'Estimates'!$F$5:$F$2004,"&lt;&gt;")=0,"",SUMIFS('Estimates'!$F$5:$F$2004,'Estimates'!$A$5:$A$2004,$A126,'Estimates'!$B$5:$B$2004,"MPS",'Estimates'!$C$5:$C$2004,'Status'!$F$5,'Estimates'!$H$5:$H$2004,1)))))</x:f>
      </x:c>
      <x:c r="E126" s="13" t="str">
        <x:f>IF(OR(COUNTA($A126)=0,NOT(ISNUMBER('Status'!$G$5))),"",IF(COUNTIFS('Estimates'!$A$5:$A$2004,$A126,'Estimates'!$B$5:$B$2004,"MPS",'Estimates'!$C$5:$C$2004,'Status'!$G$5,'Estimates'!$H$5:$H$2004,1)=0,"",IF(COUNTIFS('Estimates'!$A$5:$A$2004,$A126,'Estimates'!$B$5:$B$2004,"MPS",'Estimates'!$C$5:$C$2004,'Status'!$G$5,'Estimates'!$H$5:$H$2004,1)&gt;1,"DUP",IF(COUNTIFS('Estimates'!$A$5:$A$2004,$A126,'Estimates'!$B$5:$B$2004,"MPS",'Estimates'!$C$5:$C$2004,'Status'!$G$5,'Estimates'!$H$5:$H$2004,1,'Estimates'!$F$5:$F$2004,"&lt;&gt;")=0,"",SUMIFS('Estimates'!$F$5:$F$2004,'Estimates'!$A$5:$A$2004,$A126,'Estimates'!$B$5:$B$2004,"MPS",'Estimates'!$C$5:$C$2004,'Status'!$G$5,'Estimates'!$H$5:$H$2004,1)))))</x:f>
      </x:c>
      <x:c r="F126" s="13" t="str">
        <x:f>IF(AND(ISNUMBER(C126),ISNUMBER(D126)),D126-C126,"")</x:f>
      </x:c>
      <x:c r="G126" s="13" t="str">
        <x:f>IF(AND(ISNUMBER(D126),ISNUMBER(E126)),E126-D126,"")</x:f>
      </x:c>
      <x:c r="H126" s="13" t="str">
        <x:f>IF(AND(COUNT(C126:E126)=3,COUNT('Status'!$E$5:$G$5)=3,'Status'!$E$5&gt;0,'Status'!$E$5&lt;'Status'!$F$5,'Status'!$F$5&lt;'Status'!$G$5),ABS(E126-(D126+(D126-C126)*((1/'Status'!$G$5)-(1/'Status'!$F$5))/((1/'Status'!$F$5)-(1/'Status'!$E$5)))),"")</x:f>
      </x:c>
      <x:c r="I126" s="13" t="str">
        <x:f>IF(AND(COUNT(C126:E126)=3,COUNT('Status'!$E$5:$G$5)=3,'Status'!$E$5&gt;0,'Status'!$E$5&lt;'Status'!$F$5,'Status'!$F$5&lt;'Status'!$G$5),((1/'Status'!$F$5)*E126-(1/'Status'!$G$5)*D126)/((1/'Status'!$F$5)-(1/'Status'!$G$5)),"")</x:f>
      </x:c>
      <x:c r="J126" s="13" t="str">
        <x:f>IF(OR(COUNTA($A126)=0,NOT(ISNUMBER('Status'!$E$6))),"",IF(COUNTIFS('Estimates'!$A$5:$A$2004,$A126,'Estimates'!$B$5:$B$2004,"PPS",'Estimates'!$D$5:$D$2004,'Status'!$E$6,'Estimates'!$H$5:$H$2004,1,'Estimates'!$E$5:$E$2004,'Status'!$E$7)=0,"",IF(COUNTIFS('Estimates'!$A$5:$A$2004,$A126,'Estimates'!$B$5:$B$2004,"PPS",'Estimates'!$D$5:$D$2004,'Status'!$E$6,'Estimates'!$H$5:$H$2004,1,'Estimates'!$E$5:$E$2004,'Status'!$E$7)&gt;1,"DUP",IF(COUNTIFS('Estimates'!$A$5:$A$2004,$A126,'Estimates'!$B$5:$B$2004,"PPS",'Estimates'!$D$5:$D$2004,'Status'!$E$6,'Estimates'!$H$5:$H$2004,1,'Estimates'!$E$5:$E$2004,'Status'!$E$7,'Estimates'!$F$5:$F$2004,"&lt;&gt;")=0,"",SUMIFS('Estimates'!$F$5:$F$2004,'Estimates'!$A$5:$A$2004,$A126,'Estimates'!$B$5:$B$2004,"PPS",'Estimates'!$D$5:$D$2004,'Status'!$E$6,'Estimates'!$H$5:$H$2004,1,'Estimates'!$E$5:$E$2004,'Status'!$E$7)))))</x:f>
      </x:c>
      <x:c r="K126" s="13" t="str">
        <x:f>IF(OR(COUNTA($A126)=0,NOT(ISNUMBER('Status'!$F$6))),"",IF(COUNTIFS('Estimates'!$A$5:$A$2004,$A126,'Estimates'!$B$5:$B$2004,"PPS",'Estimates'!$D$5:$D$2004,'Status'!$F$6,'Estimates'!$H$5:$H$2004,1,'Estimates'!$E$5:$E$2004,'Status'!$E$7)=0,"",IF(COUNTIFS('Estimates'!$A$5:$A$2004,$A126,'Estimates'!$B$5:$B$2004,"PPS",'Estimates'!$D$5:$D$2004,'Status'!$F$6,'Estimates'!$H$5:$H$2004,1,'Estimates'!$E$5:$E$2004,'Status'!$E$7)&gt;1,"DUP",IF(COUNTIFS('Estimates'!$A$5:$A$2004,$A126,'Estimates'!$B$5:$B$2004,"PPS",'Estimates'!$D$5:$D$2004,'Status'!$F$6,'Estimates'!$H$5:$H$2004,1,'Estimates'!$E$5:$E$2004,'Status'!$E$7,'Estimates'!$F$5:$F$2004,"&lt;&gt;")=0,"",SUMIFS('Estimates'!$F$5:$F$2004,'Estimates'!$A$5:$A$2004,$A126,'Estimates'!$B$5:$B$2004,"PPS",'Estimates'!$D$5:$D$2004,'Status'!$F$6,'Estimates'!$H$5:$H$2004,1,'Estimates'!$E$5:$E$2004,'Status'!$E$7)))))</x:f>
      </x:c>
      <x:c r="L126" s="13" t="str">
        <x:f>IF(OR(COUNTA($A126)=0,NOT(ISNUMBER('Status'!$G$6))),"",IF(COUNTIFS('Estimates'!$A$5:$A$2004,$A126,'Estimates'!$B$5:$B$2004,"PPS",'Estimates'!$D$5:$D$2004,'Status'!$G$6,'Estimates'!$H$5:$H$2004,1,'Estimates'!$E$5:$E$2004,'Status'!$E$7)=0,"",IF(COUNTIFS('Estimates'!$A$5:$A$2004,$A126,'Estimates'!$B$5:$B$2004,"PPS",'Estimates'!$D$5:$D$2004,'Status'!$G$6,'Estimates'!$H$5:$H$2004,1,'Estimates'!$E$5:$E$2004,'Status'!$E$7)&gt;1,"DUP",IF(COUNTIFS('Estimates'!$A$5:$A$2004,$A126,'Estimates'!$B$5:$B$2004,"PPS",'Estimates'!$D$5:$D$2004,'Status'!$G$6,'Estimates'!$H$5:$H$2004,1,'Estimates'!$E$5:$E$2004,'Status'!$E$7,'Estimates'!$F$5:$F$2004,"&lt;&gt;")=0,"",SUMIFS('Estimates'!$F$5:$F$2004,'Estimates'!$A$5:$A$2004,$A126,'Estimates'!$B$5:$B$2004,"PPS",'Estimates'!$D$5:$D$2004,'Status'!$G$6,'Estimates'!$H$5:$H$2004,1,'Estimates'!$E$5:$E$2004,'Status'!$E$7)))))</x:f>
      </x:c>
      <x:c r="M126" s="13" t="str">
        <x:f>IF(AND(ISNUMBER(J126),ISNUMBER(K126)),K126-J126,"")</x:f>
      </x:c>
      <x:c r="N126" s="13" t="str">
        <x:f>IF(AND(ISNUMBER(K126),ISNUMBER(L126)),L126-K126,"")</x:f>
      </x:c>
      <x:c r="O126" s="13" t="str">
        <x:f>IF(AND(COUNT(J126:L126)=3,COUNT('Status'!$E$6:$G$6)=3,'Status'!$E$6&gt;'Status'!$F$6,'Status'!$F$6&gt;'Status'!$G$6,'Status'!$G$6&gt;0),ABS(L126-(K126+(K126-J126)*('Status'!$G$6-'Status'!$F$6)/('Status'!$F$6-'Status'!$E$6))),"")</x:f>
      </x:c>
      <x:c r="P126" s="13" t="str">
        <x:f>IF(AND(COUNT(J126:L126)=3,COUNT('Status'!$E$6:$G$6)=3,'Status'!$E$6&gt;'Status'!$F$6,'Status'!$F$6&gt;'Status'!$G$6,'Status'!$G$6&gt;0),('Status'!$F$6*L126-'Status'!$G$6*K126)/('Status'!$F$6-'Status'!$G$6),"")</x:f>
      </x:c>
      <x:c r="Q126" s="20"/>
      <x:c r="R126" s="13" t="str">
        <x:f>IF(COUNTA($A126)=0,"",IF('Status'!$B$6="MPS 1",IF(ISNUMBER(C126),C126,""),IF('Status'!$B$6="MPS 2",IF(ISNUMBER(D126),D126,""),IF('Status'!$B$6="MPS 3",IF(ISNUMBER(E126),E126,""),IF('Status'!$B$6="MPS extrap",IF(ISNUMBER(I126),I126,""),IF('Status'!$B$6="PPS 1",IF(ISNUMBER(J126),J126,""),IF('Status'!$B$6="PPS 2",IF(ISNUMBER(K126),K126,""),IF('Status'!$B$6="PPS 3",IF(ISNUMBER(L126),L126,""),IF('Status'!$B$6="PPS extrap",IF(ISNUMBER(P126),P126,""),IF('Status'!$B$6="Calibrated",IF(ISNUMBER(Q126),Q126,""),""))))))))))</x:f>
      </x:c>
      <x:c r="S126" s="2" t="str">
        <x:f>IF(COUNTA(A126)=0,"",IF(COUNTIFS('Estimates'!$A$5:$A$2004,A126,'Estimates'!$B$5:$B$2004,"MPS",'Estimates'!$H$5:$H$2004,1)+COUNTIFS('Estimates'!$A$5:$A$2004,A126,'Estimates'!$B$5:$B$2004,"PPS",'Estimates'!$H$5:$H$2004,1)&gt;0,1,0))</x:f>
      </x:c>
      <x:c r="T126" s="2" t="str">
        <x:f>IF(COUNTA(A126)=0,"",IF(COUNTIFS($A$6:$A$165,A126)&gt;1,"Duplicate target",IF(COUNTIFS(C126:E126,"DUP")+COUNTIFS(J126:L126,"DUP")&gt;0,"Duplicate accepted run",IF(COUNTIFS('Estimates'!$A$5:$A$2004,A126,'Estimates'!$H$5:$H$2004,1)-COUNTIFS('Estimates'!$A$5:$A$2004,A126,'Estimates'!$H$5:$H$2004,1,'Estimates'!$F$5:$F$2004,"&lt;&gt;")&gt;0,"Accepted value missing",""))))</x:f>
      </x:c>
    </x:row>
    <x:row r="127">
      <x:c r="A127" s="21"/>
      <x:c r="B127" s="19"/>
      <x:c r="C127" s="13" t="str">
        <x:f>IF(OR(COUNTA($A127)=0,NOT(ISNUMBER('Status'!$E$5))),"",IF(COUNTIFS('Estimates'!$A$5:$A$2004,$A127,'Estimates'!$B$5:$B$2004,"MPS",'Estimates'!$C$5:$C$2004,'Status'!$E$5,'Estimates'!$H$5:$H$2004,1)=0,"",IF(COUNTIFS('Estimates'!$A$5:$A$2004,$A127,'Estimates'!$B$5:$B$2004,"MPS",'Estimates'!$C$5:$C$2004,'Status'!$E$5,'Estimates'!$H$5:$H$2004,1)&gt;1,"DUP",IF(COUNTIFS('Estimates'!$A$5:$A$2004,$A127,'Estimates'!$B$5:$B$2004,"MPS",'Estimates'!$C$5:$C$2004,'Status'!$E$5,'Estimates'!$H$5:$H$2004,1,'Estimates'!$F$5:$F$2004,"&lt;&gt;")=0,"",SUMIFS('Estimates'!$F$5:$F$2004,'Estimates'!$A$5:$A$2004,$A127,'Estimates'!$B$5:$B$2004,"MPS",'Estimates'!$C$5:$C$2004,'Status'!$E$5,'Estimates'!$H$5:$H$2004,1)))))</x:f>
      </x:c>
      <x:c r="D127" s="13" t="str">
        <x:f>IF(OR(COUNTA($A127)=0,NOT(ISNUMBER('Status'!$F$5))),"",IF(COUNTIFS('Estimates'!$A$5:$A$2004,$A127,'Estimates'!$B$5:$B$2004,"MPS",'Estimates'!$C$5:$C$2004,'Status'!$F$5,'Estimates'!$H$5:$H$2004,1)=0,"",IF(COUNTIFS('Estimates'!$A$5:$A$2004,$A127,'Estimates'!$B$5:$B$2004,"MPS",'Estimates'!$C$5:$C$2004,'Status'!$F$5,'Estimates'!$H$5:$H$2004,1)&gt;1,"DUP",IF(COUNTIFS('Estimates'!$A$5:$A$2004,$A127,'Estimates'!$B$5:$B$2004,"MPS",'Estimates'!$C$5:$C$2004,'Status'!$F$5,'Estimates'!$H$5:$H$2004,1,'Estimates'!$F$5:$F$2004,"&lt;&gt;")=0,"",SUMIFS('Estimates'!$F$5:$F$2004,'Estimates'!$A$5:$A$2004,$A127,'Estimates'!$B$5:$B$2004,"MPS",'Estimates'!$C$5:$C$2004,'Status'!$F$5,'Estimates'!$H$5:$H$2004,1)))))</x:f>
      </x:c>
      <x:c r="E127" s="13" t="str">
        <x:f>IF(OR(COUNTA($A127)=0,NOT(ISNUMBER('Status'!$G$5))),"",IF(COUNTIFS('Estimates'!$A$5:$A$2004,$A127,'Estimates'!$B$5:$B$2004,"MPS",'Estimates'!$C$5:$C$2004,'Status'!$G$5,'Estimates'!$H$5:$H$2004,1)=0,"",IF(COUNTIFS('Estimates'!$A$5:$A$2004,$A127,'Estimates'!$B$5:$B$2004,"MPS",'Estimates'!$C$5:$C$2004,'Status'!$G$5,'Estimates'!$H$5:$H$2004,1)&gt;1,"DUP",IF(COUNTIFS('Estimates'!$A$5:$A$2004,$A127,'Estimates'!$B$5:$B$2004,"MPS",'Estimates'!$C$5:$C$2004,'Status'!$G$5,'Estimates'!$H$5:$H$2004,1,'Estimates'!$F$5:$F$2004,"&lt;&gt;")=0,"",SUMIFS('Estimates'!$F$5:$F$2004,'Estimates'!$A$5:$A$2004,$A127,'Estimates'!$B$5:$B$2004,"MPS",'Estimates'!$C$5:$C$2004,'Status'!$G$5,'Estimates'!$H$5:$H$2004,1)))))</x:f>
      </x:c>
      <x:c r="F127" s="13" t="str">
        <x:f>IF(AND(ISNUMBER(C127),ISNUMBER(D127)),D127-C127,"")</x:f>
      </x:c>
      <x:c r="G127" s="13" t="str">
        <x:f>IF(AND(ISNUMBER(D127),ISNUMBER(E127)),E127-D127,"")</x:f>
      </x:c>
      <x:c r="H127" s="13" t="str">
        <x:f>IF(AND(COUNT(C127:E127)=3,COUNT('Status'!$E$5:$G$5)=3,'Status'!$E$5&gt;0,'Status'!$E$5&lt;'Status'!$F$5,'Status'!$F$5&lt;'Status'!$G$5),ABS(E127-(D127+(D127-C127)*((1/'Status'!$G$5)-(1/'Status'!$F$5))/((1/'Status'!$F$5)-(1/'Status'!$E$5)))),"")</x:f>
      </x:c>
      <x:c r="I127" s="13" t="str">
        <x:f>IF(AND(COUNT(C127:E127)=3,COUNT('Status'!$E$5:$G$5)=3,'Status'!$E$5&gt;0,'Status'!$E$5&lt;'Status'!$F$5,'Status'!$F$5&lt;'Status'!$G$5),((1/'Status'!$F$5)*E127-(1/'Status'!$G$5)*D127)/((1/'Status'!$F$5)-(1/'Status'!$G$5)),"")</x:f>
      </x:c>
      <x:c r="J127" s="13" t="str">
        <x:f>IF(OR(COUNTA($A127)=0,NOT(ISNUMBER('Status'!$E$6))),"",IF(COUNTIFS('Estimates'!$A$5:$A$2004,$A127,'Estimates'!$B$5:$B$2004,"PPS",'Estimates'!$D$5:$D$2004,'Status'!$E$6,'Estimates'!$H$5:$H$2004,1,'Estimates'!$E$5:$E$2004,'Status'!$E$7)=0,"",IF(COUNTIFS('Estimates'!$A$5:$A$2004,$A127,'Estimates'!$B$5:$B$2004,"PPS",'Estimates'!$D$5:$D$2004,'Status'!$E$6,'Estimates'!$H$5:$H$2004,1,'Estimates'!$E$5:$E$2004,'Status'!$E$7)&gt;1,"DUP",IF(COUNTIFS('Estimates'!$A$5:$A$2004,$A127,'Estimates'!$B$5:$B$2004,"PPS",'Estimates'!$D$5:$D$2004,'Status'!$E$6,'Estimates'!$H$5:$H$2004,1,'Estimates'!$E$5:$E$2004,'Status'!$E$7,'Estimates'!$F$5:$F$2004,"&lt;&gt;")=0,"",SUMIFS('Estimates'!$F$5:$F$2004,'Estimates'!$A$5:$A$2004,$A127,'Estimates'!$B$5:$B$2004,"PPS",'Estimates'!$D$5:$D$2004,'Status'!$E$6,'Estimates'!$H$5:$H$2004,1,'Estimates'!$E$5:$E$2004,'Status'!$E$7)))))</x:f>
      </x:c>
      <x:c r="K127" s="13" t="str">
        <x:f>IF(OR(COUNTA($A127)=0,NOT(ISNUMBER('Status'!$F$6))),"",IF(COUNTIFS('Estimates'!$A$5:$A$2004,$A127,'Estimates'!$B$5:$B$2004,"PPS",'Estimates'!$D$5:$D$2004,'Status'!$F$6,'Estimates'!$H$5:$H$2004,1,'Estimates'!$E$5:$E$2004,'Status'!$E$7)=0,"",IF(COUNTIFS('Estimates'!$A$5:$A$2004,$A127,'Estimates'!$B$5:$B$2004,"PPS",'Estimates'!$D$5:$D$2004,'Status'!$F$6,'Estimates'!$H$5:$H$2004,1,'Estimates'!$E$5:$E$2004,'Status'!$E$7)&gt;1,"DUP",IF(COUNTIFS('Estimates'!$A$5:$A$2004,$A127,'Estimates'!$B$5:$B$2004,"PPS",'Estimates'!$D$5:$D$2004,'Status'!$F$6,'Estimates'!$H$5:$H$2004,1,'Estimates'!$E$5:$E$2004,'Status'!$E$7,'Estimates'!$F$5:$F$2004,"&lt;&gt;")=0,"",SUMIFS('Estimates'!$F$5:$F$2004,'Estimates'!$A$5:$A$2004,$A127,'Estimates'!$B$5:$B$2004,"PPS",'Estimates'!$D$5:$D$2004,'Status'!$F$6,'Estimates'!$H$5:$H$2004,1,'Estimates'!$E$5:$E$2004,'Status'!$E$7)))))</x:f>
      </x:c>
      <x:c r="L127" s="13" t="str">
        <x:f>IF(OR(COUNTA($A127)=0,NOT(ISNUMBER('Status'!$G$6))),"",IF(COUNTIFS('Estimates'!$A$5:$A$2004,$A127,'Estimates'!$B$5:$B$2004,"PPS",'Estimates'!$D$5:$D$2004,'Status'!$G$6,'Estimates'!$H$5:$H$2004,1,'Estimates'!$E$5:$E$2004,'Status'!$E$7)=0,"",IF(COUNTIFS('Estimates'!$A$5:$A$2004,$A127,'Estimates'!$B$5:$B$2004,"PPS",'Estimates'!$D$5:$D$2004,'Status'!$G$6,'Estimates'!$H$5:$H$2004,1,'Estimates'!$E$5:$E$2004,'Status'!$E$7)&gt;1,"DUP",IF(COUNTIFS('Estimates'!$A$5:$A$2004,$A127,'Estimates'!$B$5:$B$2004,"PPS",'Estimates'!$D$5:$D$2004,'Status'!$G$6,'Estimates'!$H$5:$H$2004,1,'Estimates'!$E$5:$E$2004,'Status'!$E$7,'Estimates'!$F$5:$F$2004,"&lt;&gt;")=0,"",SUMIFS('Estimates'!$F$5:$F$2004,'Estimates'!$A$5:$A$2004,$A127,'Estimates'!$B$5:$B$2004,"PPS",'Estimates'!$D$5:$D$2004,'Status'!$G$6,'Estimates'!$H$5:$H$2004,1,'Estimates'!$E$5:$E$2004,'Status'!$E$7)))))</x:f>
      </x:c>
      <x:c r="M127" s="13" t="str">
        <x:f>IF(AND(ISNUMBER(J127),ISNUMBER(K127)),K127-J127,"")</x:f>
      </x:c>
      <x:c r="N127" s="13" t="str">
        <x:f>IF(AND(ISNUMBER(K127),ISNUMBER(L127)),L127-K127,"")</x:f>
      </x:c>
      <x:c r="O127" s="13" t="str">
        <x:f>IF(AND(COUNT(J127:L127)=3,COUNT('Status'!$E$6:$G$6)=3,'Status'!$E$6&gt;'Status'!$F$6,'Status'!$F$6&gt;'Status'!$G$6,'Status'!$G$6&gt;0),ABS(L127-(K127+(K127-J127)*('Status'!$G$6-'Status'!$F$6)/('Status'!$F$6-'Status'!$E$6))),"")</x:f>
      </x:c>
      <x:c r="P127" s="13" t="str">
        <x:f>IF(AND(COUNT(J127:L127)=3,COUNT('Status'!$E$6:$G$6)=3,'Status'!$E$6&gt;'Status'!$F$6,'Status'!$F$6&gt;'Status'!$G$6,'Status'!$G$6&gt;0),('Status'!$F$6*L127-'Status'!$G$6*K127)/('Status'!$F$6-'Status'!$G$6),"")</x:f>
      </x:c>
      <x:c r="Q127" s="20"/>
      <x:c r="R127" s="13" t="str">
        <x:f>IF(COUNTA($A127)=0,"",IF('Status'!$B$6="MPS 1",IF(ISNUMBER(C127),C127,""),IF('Status'!$B$6="MPS 2",IF(ISNUMBER(D127),D127,""),IF('Status'!$B$6="MPS 3",IF(ISNUMBER(E127),E127,""),IF('Status'!$B$6="MPS extrap",IF(ISNUMBER(I127),I127,""),IF('Status'!$B$6="PPS 1",IF(ISNUMBER(J127),J127,""),IF('Status'!$B$6="PPS 2",IF(ISNUMBER(K127),K127,""),IF('Status'!$B$6="PPS 3",IF(ISNUMBER(L127),L127,""),IF('Status'!$B$6="PPS extrap",IF(ISNUMBER(P127),P127,""),IF('Status'!$B$6="Calibrated",IF(ISNUMBER(Q127),Q127,""),""))))))))))</x:f>
      </x:c>
      <x:c r="S127" s="2" t="str">
        <x:f>IF(COUNTA(A127)=0,"",IF(COUNTIFS('Estimates'!$A$5:$A$2004,A127,'Estimates'!$B$5:$B$2004,"MPS",'Estimates'!$H$5:$H$2004,1)+COUNTIFS('Estimates'!$A$5:$A$2004,A127,'Estimates'!$B$5:$B$2004,"PPS",'Estimates'!$H$5:$H$2004,1)&gt;0,1,0))</x:f>
      </x:c>
      <x:c r="T127" s="2" t="str">
        <x:f>IF(COUNTA(A127)=0,"",IF(COUNTIFS($A$6:$A$165,A127)&gt;1,"Duplicate target",IF(COUNTIFS(C127:E127,"DUP")+COUNTIFS(J127:L127,"DUP")&gt;0,"Duplicate accepted run",IF(COUNTIFS('Estimates'!$A$5:$A$2004,A127,'Estimates'!$H$5:$H$2004,1)-COUNTIFS('Estimates'!$A$5:$A$2004,A127,'Estimates'!$H$5:$H$2004,1,'Estimates'!$F$5:$F$2004,"&lt;&gt;")&gt;0,"Accepted value missing",""))))</x:f>
      </x:c>
    </x:row>
    <x:row r="128">
      <x:c r="A128" s="21"/>
      <x:c r="B128" s="19"/>
      <x:c r="C128" s="13" t="str">
        <x:f>IF(OR(COUNTA($A128)=0,NOT(ISNUMBER('Status'!$E$5))),"",IF(COUNTIFS('Estimates'!$A$5:$A$2004,$A128,'Estimates'!$B$5:$B$2004,"MPS",'Estimates'!$C$5:$C$2004,'Status'!$E$5,'Estimates'!$H$5:$H$2004,1)=0,"",IF(COUNTIFS('Estimates'!$A$5:$A$2004,$A128,'Estimates'!$B$5:$B$2004,"MPS",'Estimates'!$C$5:$C$2004,'Status'!$E$5,'Estimates'!$H$5:$H$2004,1)&gt;1,"DUP",IF(COUNTIFS('Estimates'!$A$5:$A$2004,$A128,'Estimates'!$B$5:$B$2004,"MPS",'Estimates'!$C$5:$C$2004,'Status'!$E$5,'Estimates'!$H$5:$H$2004,1,'Estimates'!$F$5:$F$2004,"&lt;&gt;")=0,"",SUMIFS('Estimates'!$F$5:$F$2004,'Estimates'!$A$5:$A$2004,$A128,'Estimates'!$B$5:$B$2004,"MPS",'Estimates'!$C$5:$C$2004,'Status'!$E$5,'Estimates'!$H$5:$H$2004,1)))))</x:f>
      </x:c>
      <x:c r="D128" s="13" t="str">
        <x:f>IF(OR(COUNTA($A128)=0,NOT(ISNUMBER('Status'!$F$5))),"",IF(COUNTIFS('Estimates'!$A$5:$A$2004,$A128,'Estimates'!$B$5:$B$2004,"MPS",'Estimates'!$C$5:$C$2004,'Status'!$F$5,'Estimates'!$H$5:$H$2004,1)=0,"",IF(COUNTIFS('Estimates'!$A$5:$A$2004,$A128,'Estimates'!$B$5:$B$2004,"MPS",'Estimates'!$C$5:$C$2004,'Status'!$F$5,'Estimates'!$H$5:$H$2004,1)&gt;1,"DUP",IF(COUNTIFS('Estimates'!$A$5:$A$2004,$A128,'Estimates'!$B$5:$B$2004,"MPS",'Estimates'!$C$5:$C$2004,'Status'!$F$5,'Estimates'!$H$5:$H$2004,1,'Estimates'!$F$5:$F$2004,"&lt;&gt;")=0,"",SUMIFS('Estimates'!$F$5:$F$2004,'Estimates'!$A$5:$A$2004,$A128,'Estimates'!$B$5:$B$2004,"MPS",'Estimates'!$C$5:$C$2004,'Status'!$F$5,'Estimates'!$H$5:$H$2004,1)))))</x:f>
      </x:c>
      <x:c r="E128" s="13" t="str">
        <x:f>IF(OR(COUNTA($A128)=0,NOT(ISNUMBER('Status'!$G$5))),"",IF(COUNTIFS('Estimates'!$A$5:$A$2004,$A128,'Estimates'!$B$5:$B$2004,"MPS",'Estimates'!$C$5:$C$2004,'Status'!$G$5,'Estimates'!$H$5:$H$2004,1)=0,"",IF(COUNTIFS('Estimates'!$A$5:$A$2004,$A128,'Estimates'!$B$5:$B$2004,"MPS",'Estimates'!$C$5:$C$2004,'Status'!$G$5,'Estimates'!$H$5:$H$2004,1)&gt;1,"DUP",IF(COUNTIFS('Estimates'!$A$5:$A$2004,$A128,'Estimates'!$B$5:$B$2004,"MPS",'Estimates'!$C$5:$C$2004,'Status'!$G$5,'Estimates'!$H$5:$H$2004,1,'Estimates'!$F$5:$F$2004,"&lt;&gt;")=0,"",SUMIFS('Estimates'!$F$5:$F$2004,'Estimates'!$A$5:$A$2004,$A128,'Estimates'!$B$5:$B$2004,"MPS",'Estimates'!$C$5:$C$2004,'Status'!$G$5,'Estimates'!$H$5:$H$2004,1)))))</x:f>
      </x:c>
      <x:c r="F128" s="13" t="str">
        <x:f>IF(AND(ISNUMBER(C128),ISNUMBER(D128)),D128-C128,"")</x:f>
      </x:c>
      <x:c r="G128" s="13" t="str">
        <x:f>IF(AND(ISNUMBER(D128),ISNUMBER(E128)),E128-D128,"")</x:f>
      </x:c>
      <x:c r="H128" s="13" t="str">
        <x:f>IF(AND(COUNT(C128:E128)=3,COUNT('Status'!$E$5:$G$5)=3,'Status'!$E$5&gt;0,'Status'!$E$5&lt;'Status'!$F$5,'Status'!$F$5&lt;'Status'!$G$5),ABS(E128-(D128+(D128-C128)*((1/'Status'!$G$5)-(1/'Status'!$F$5))/((1/'Status'!$F$5)-(1/'Status'!$E$5)))),"")</x:f>
      </x:c>
      <x:c r="I128" s="13" t="str">
        <x:f>IF(AND(COUNT(C128:E128)=3,COUNT('Status'!$E$5:$G$5)=3,'Status'!$E$5&gt;0,'Status'!$E$5&lt;'Status'!$F$5,'Status'!$F$5&lt;'Status'!$G$5),((1/'Status'!$F$5)*E128-(1/'Status'!$G$5)*D128)/((1/'Status'!$F$5)-(1/'Status'!$G$5)),"")</x:f>
      </x:c>
      <x:c r="J128" s="13" t="str">
        <x:f>IF(OR(COUNTA($A128)=0,NOT(ISNUMBER('Status'!$E$6))),"",IF(COUNTIFS('Estimates'!$A$5:$A$2004,$A128,'Estimates'!$B$5:$B$2004,"PPS",'Estimates'!$D$5:$D$2004,'Status'!$E$6,'Estimates'!$H$5:$H$2004,1,'Estimates'!$E$5:$E$2004,'Status'!$E$7)=0,"",IF(COUNTIFS('Estimates'!$A$5:$A$2004,$A128,'Estimates'!$B$5:$B$2004,"PPS",'Estimates'!$D$5:$D$2004,'Status'!$E$6,'Estimates'!$H$5:$H$2004,1,'Estimates'!$E$5:$E$2004,'Status'!$E$7)&gt;1,"DUP",IF(COUNTIFS('Estimates'!$A$5:$A$2004,$A128,'Estimates'!$B$5:$B$2004,"PPS",'Estimates'!$D$5:$D$2004,'Status'!$E$6,'Estimates'!$H$5:$H$2004,1,'Estimates'!$E$5:$E$2004,'Status'!$E$7,'Estimates'!$F$5:$F$2004,"&lt;&gt;")=0,"",SUMIFS('Estimates'!$F$5:$F$2004,'Estimates'!$A$5:$A$2004,$A128,'Estimates'!$B$5:$B$2004,"PPS",'Estimates'!$D$5:$D$2004,'Status'!$E$6,'Estimates'!$H$5:$H$2004,1,'Estimates'!$E$5:$E$2004,'Status'!$E$7)))))</x:f>
      </x:c>
      <x:c r="K128" s="13" t="str">
        <x:f>IF(OR(COUNTA($A128)=0,NOT(ISNUMBER('Status'!$F$6))),"",IF(COUNTIFS('Estimates'!$A$5:$A$2004,$A128,'Estimates'!$B$5:$B$2004,"PPS",'Estimates'!$D$5:$D$2004,'Status'!$F$6,'Estimates'!$H$5:$H$2004,1,'Estimates'!$E$5:$E$2004,'Status'!$E$7)=0,"",IF(COUNTIFS('Estimates'!$A$5:$A$2004,$A128,'Estimates'!$B$5:$B$2004,"PPS",'Estimates'!$D$5:$D$2004,'Status'!$F$6,'Estimates'!$H$5:$H$2004,1,'Estimates'!$E$5:$E$2004,'Status'!$E$7)&gt;1,"DUP",IF(COUNTIFS('Estimates'!$A$5:$A$2004,$A128,'Estimates'!$B$5:$B$2004,"PPS",'Estimates'!$D$5:$D$2004,'Status'!$F$6,'Estimates'!$H$5:$H$2004,1,'Estimates'!$E$5:$E$2004,'Status'!$E$7,'Estimates'!$F$5:$F$2004,"&lt;&gt;")=0,"",SUMIFS('Estimates'!$F$5:$F$2004,'Estimates'!$A$5:$A$2004,$A128,'Estimates'!$B$5:$B$2004,"PPS",'Estimates'!$D$5:$D$2004,'Status'!$F$6,'Estimates'!$H$5:$H$2004,1,'Estimates'!$E$5:$E$2004,'Status'!$E$7)))))</x:f>
      </x:c>
      <x:c r="L128" s="13" t="str">
        <x:f>IF(OR(COUNTA($A128)=0,NOT(ISNUMBER('Status'!$G$6))),"",IF(COUNTIFS('Estimates'!$A$5:$A$2004,$A128,'Estimates'!$B$5:$B$2004,"PPS",'Estimates'!$D$5:$D$2004,'Status'!$G$6,'Estimates'!$H$5:$H$2004,1,'Estimates'!$E$5:$E$2004,'Status'!$E$7)=0,"",IF(COUNTIFS('Estimates'!$A$5:$A$2004,$A128,'Estimates'!$B$5:$B$2004,"PPS",'Estimates'!$D$5:$D$2004,'Status'!$G$6,'Estimates'!$H$5:$H$2004,1,'Estimates'!$E$5:$E$2004,'Status'!$E$7)&gt;1,"DUP",IF(COUNTIFS('Estimates'!$A$5:$A$2004,$A128,'Estimates'!$B$5:$B$2004,"PPS",'Estimates'!$D$5:$D$2004,'Status'!$G$6,'Estimates'!$H$5:$H$2004,1,'Estimates'!$E$5:$E$2004,'Status'!$E$7,'Estimates'!$F$5:$F$2004,"&lt;&gt;")=0,"",SUMIFS('Estimates'!$F$5:$F$2004,'Estimates'!$A$5:$A$2004,$A128,'Estimates'!$B$5:$B$2004,"PPS",'Estimates'!$D$5:$D$2004,'Status'!$G$6,'Estimates'!$H$5:$H$2004,1,'Estimates'!$E$5:$E$2004,'Status'!$E$7)))))</x:f>
      </x:c>
      <x:c r="M128" s="13" t="str">
        <x:f>IF(AND(ISNUMBER(J128),ISNUMBER(K128)),K128-J128,"")</x:f>
      </x:c>
      <x:c r="N128" s="13" t="str">
        <x:f>IF(AND(ISNUMBER(K128),ISNUMBER(L128)),L128-K128,"")</x:f>
      </x:c>
      <x:c r="O128" s="13" t="str">
        <x:f>IF(AND(COUNT(J128:L128)=3,COUNT('Status'!$E$6:$G$6)=3,'Status'!$E$6&gt;'Status'!$F$6,'Status'!$F$6&gt;'Status'!$G$6,'Status'!$G$6&gt;0),ABS(L128-(K128+(K128-J128)*('Status'!$G$6-'Status'!$F$6)/('Status'!$F$6-'Status'!$E$6))),"")</x:f>
      </x:c>
      <x:c r="P128" s="13" t="str">
        <x:f>IF(AND(COUNT(J128:L128)=3,COUNT('Status'!$E$6:$G$6)=3,'Status'!$E$6&gt;'Status'!$F$6,'Status'!$F$6&gt;'Status'!$G$6,'Status'!$G$6&gt;0),('Status'!$F$6*L128-'Status'!$G$6*K128)/('Status'!$F$6-'Status'!$G$6),"")</x:f>
      </x:c>
      <x:c r="Q128" s="20"/>
      <x:c r="R128" s="13" t="str">
        <x:f>IF(COUNTA($A128)=0,"",IF('Status'!$B$6="MPS 1",IF(ISNUMBER(C128),C128,""),IF('Status'!$B$6="MPS 2",IF(ISNUMBER(D128),D128,""),IF('Status'!$B$6="MPS 3",IF(ISNUMBER(E128),E128,""),IF('Status'!$B$6="MPS extrap",IF(ISNUMBER(I128),I128,""),IF('Status'!$B$6="PPS 1",IF(ISNUMBER(J128),J128,""),IF('Status'!$B$6="PPS 2",IF(ISNUMBER(K128),K128,""),IF('Status'!$B$6="PPS 3",IF(ISNUMBER(L128),L128,""),IF('Status'!$B$6="PPS extrap",IF(ISNUMBER(P128),P128,""),IF('Status'!$B$6="Calibrated",IF(ISNUMBER(Q128),Q128,""),""))))))))))</x:f>
      </x:c>
      <x:c r="S128" s="2" t="str">
        <x:f>IF(COUNTA(A128)=0,"",IF(COUNTIFS('Estimates'!$A$5:$A$2004,A128,'Estimates'!$B$5:$B$2004,"MPS",'Estimates'!$H$5:$H$2004,1)+COUNTIFS('Estimates'!$A$5:$A$2004,A128,'Estimates'!$B$5:$B$2004,"PPS",'Estimates'!$H$5:$H$2004,1)&gt;0,1,0))</x:f>
      </x:c>
      <x:c r="T128" s="2" t="str">
        <x:f>IF(COUNTA(A128)=0,"",IF(COUNTIFS($A$6:$A$165,A128)&gt;1,"Duplicate target",IF(COUNTIFS(C128:E128,"DUP")+COUNTIFS(J128:L128,"DUP")&gt;0,"Duplicate accepted run",IF(COUNTIFS('Estimates'!$A$5:$A$2004,A128,'Estimates'!$H$5:$H$2004,1)-COUNTIFS('Estimates'!$A$5:$A$2004,A128,'Estimates'!$H$5:$H$2004,1,'Estimates'!$F$5:$F$2004,"&lt;&gt;")&gt;0,"Accepted value missing",""))))</x:f>
      </x:c>
    </x:row>
    <x:row r="129">
      <x:c r="A129" s="21"/>
      <x:c r="B129" s="19"/>
      <x:c r="C129" s="13" t="str">
        <x:f>IF(OR(COUNTA($A129)=0,NOT(ISNUMBER('Status'!$E$5))),"",IF(COUNTIFS('Estimates'!$A$5:$A$2004,$A129,'Estimates'!$B$5:$B$2004,"MPS",'Estimates'!$C$5:$C$2004,'Status'!$E$5,'Estimates'!$H$5:$H$2004,1)=0,"",IF(COUNTIFS('Estimates'!$A$5:$A$2004,$A129,'Estimates'!$B$5:$B$2004,"MPS",'Estimates'!$C$5:$C$2004,'Status'!$E$5,'Estimates'!$H$5:$H$2004,1)&gt;1,"DUP",IF(COUNTIFS('Estimates'!$A$5:$A$2004,$A129,'Estimates'!$B$5:$B$2004,"MPS",'Estimates'!$C$5:$C$2004,'Status'!$E$5,'Estimates'!$H$5:$H$2004,1,'Estimates'!$F$5:$F$2004,"&lt;&gt;")=0,"",SUMIFS('Estimates'!$F$5:$F$2004,'Estimates'!$A$5:$A$2004,$A129,'Estimates'!$B$5:$B$2004,"MPS",'Estimates'!$C$5:$C$2004,'Status'!$E$5,'Estimates'!$H$5:$H$2004,1)))))</x:f>
      </x:c>
      <x:c r="D129" s="13" t="str">
        <x:f>IF(OR(COUNTA($A129)=0,NOT(ISNUMBER('Status'!$F$5))),"",IF(COUNTIFS('Estimates'!$A$5:$A$2004,$A129,'Estimates'!$B$5:$B$2004,"MPS",'Estimates'!$C$5:$C$2004,'Status'!$F$5,'Estimates'!$H$5:$H$2004,1)=0,"",IF(COUNTIFS('Estimates'!$A$5:$A$2004,$A129,'Estimates'!$B$5:$B$2004,"MPS",'Estimates'!$C$5:$C$2004,'Status'!$F$5,'Estimates'!$H$5:$H$2004,1)&gt;1,"DUP",IF(COUNTIFS('Estimates'!$A$5:$A$2004,$A129,'Estimates'!$B$5:$B$2004,"MPS",'Estimates'!$C$5:$C$2004,'Status'!$F$5,'Estimates'!$H$5:$H$2004,1,'Estimates'!$F$5:$F$2004,"&lt;&gt;")=0,"",SUMIFS('Estimates'!$F$5:$F$2004,'Estimates'!$A$5:$A$2004,$A129,'Estimates'!$B$5:$B$2004,"MPS",'Estimates'!$C$5:$C$2004,'Status'!$F$5,'Estimates'!$H$5:$H$2004,1)))))</x:f>
      </x:c>
      <x:c r="E129" s="13" t="str">
        <x:f>IF(OR(COUNTA($A129)=0,NOT(ISNUMBER('Status'!$G$5))),"",IF(COUNTIFS('Estimates'!$A$5:$A$2004,$A129,'Estimates'!$B$5:$B$2004,"MPS",'Estimates'!$C$5:$C$2004,'Status'!$G$5,'Estimates'!$H$5:$H$2004,1)=0,"",IF(COUNTIFS('Estimates'!$A$5:$A$2004,$A129,'Estimates'!$B$5:$B$2004,"MPS",'Estimates'!$C$5:$C$2004,'Status'!$G$5,'Estimates'!$H$5:$H$2004,1)&gt;1,"DUP",IF(COUNTIFS('Estimates'!$A$5:$A$2004,$A129,'Estimates'!$B$5:$B$2004,"MPS",'Estimates'!$C$5:$C$2004,'Status'!$G$5,'Estimates'!$H$5:$H$2004,1,'Estimates'!$F$5:$F$2004,"&lt;&gt;")=0,"",SUMIFS('Estimates'!$F$5:$F$2004,'Estimates'!$A$5:$A$2004,$A129,'Estimates'!$B$5:$B$2004,"MPS",'Estimates'!$C$5:$C$2004,'Status'!$G$5,'Estimates'!$H$5:$H$2004,1)))))</x:f>
      </x:c>
      <x:c r="F129" s="13" t="str">
        <x:f>IF(AND(ISNUMBER(C129),ISNUMBER(D129)),D129-C129,"")</x:f>
      </x:c>
      <x:c r="G129" s="13" t="str">
        <x:f>IF(AND(ISNUMBER(D129),ISNUMBER(E129)),E129-D129,"")</x:f>
      </x:c>
      <x:c r="H129" s="13" t="str">
        <x:f>IF(AND(COUNT(C129:E129)=3,COUNT('Status'!$E$5:$G$5)=3,'Status'!$E$5&gt;0,'Status'!$E$5&lt;'Status'!$F$5,'Status'!$F$5&lt;'Status'!$G$5),ABS(E129-(D129+(D129-C129)*((1/'Status'!$G$5)-(1/'Status'!$F$5))/((1/'Status'!$F$5)-(1/'Status'!$E$5)))),"")</x:f>
      </x:c>
      <x:c r="I129" s="13" t="str">
        <x:f>IF(AND(COUNT(C129:E129)=3,COUNT('Status'!$E$5:$G$5)=3,'Status'!$E$5&gt;0,'Status'!$E$5&lt;'Status'!$F$5,'Status'!$F$5&lt;'Status'!$G$5),((1/'Status'!$F$5)*E129-(1/'Status'!$G$5)*D129)/((1/'Status'!$F$5)-(1/'Status'!$G$5)),"")</x:f>
      </x:c>
      <x:c r="J129" s="13" t="str">
        <x:f>IF(OR(COUNTA($A129)=0,NOT(ISNUMBER('Status'!$E$6))),"",IF(COUNTIFS('Estimates'!$A$5:$A$2004,$A129,'Estimates'!$B$5:$B$2004,"PPS",'Estimates'!$D$5:$D$2004,'Status'!$E$6,'Estimates'!$H$5:$H$2004,1,'Estimates'!$E$5:$E$2004,'Status'!$E$7)=0,"",IF(COUNTIFS('Estimates'!$A$5:$A$2004,$A129,'Estimates'!$B$5:$B$2004,"PPS",'Estimates'!$D$5:$D$2004,'Status'!$E$6,'Estimates'!$H$5:$H$2004,1,'Estimates'!$E$5:$E$2004,'Status'!$E$7)&gt;1,"DUP",IF(COUNTIFS('Estimates'!$A$5:$A$2004,$A129,'Estimates'!$B$5:$B$2004,"PPS",'Estimates'!$D$5:$D$2004,'Status'!$E$6,'Estimates'!$H$5:$H$2004,1,'Estimates'!$E$5:$E$2004,'Status'!$E$7,'Estimates'!$F$5:$F$2004,"&lt;&gt;")=0,"",SUMIFS('Estimates'!$F$5:$F$2004,'Estimates'!$A$5:$A$2004,$A129,'Estimates'!$B$5:$B$2004,"PPS",'Estimates'!$D$5:$D$2004,'Status'!$E$6,'Estimates'!$H$5:$H$2004,1,'Estimates'!$E$5:$E$2004,'Status'!$E$7)))))</x:f>
      </x:c>
      <x:c r="K129" s="13" t="str">
        <x:f>IF(OR(COUNTA($A129)=0,NOT(ISNUMBER('Status'!$F$6))),"",IF(COUNTIFS('Estimates'!$A$5:$A$2004,$A129,'Estimates'!$B$5:$B$2004,"PPS",'Estimates'!$D$5:$D$2004,'Status'!$F$6,'Estimates'!$H$5:$H$2004,1,'Estimates'!$E$5:$E$2004,'Status'!$E$7)=0,"",IF(COUNTIFS('Estimates'!$A$5:$A$2004,$A129,'Estimates'!$B$5:$B$2004,"PPS",'Estimates'!$D$5:$D$2004,'Status'!$F$6,'Estimates'!$H$5:$H$2004,1,'Estimates'!$E$5:$E$2004,'Status'!$E$7)&gt;1,"DUP",IF(COUNTIFS('Estimates'!$A$5:$A$2004,$A129,'Estimates'!$B$5:$B$2004,"PPS",'Estimates'!$D$5:$D$2004,'Status'!$F$6,'Estimates'!$H$5:$H$2004,1,'Estimates'!$E$5:$E$2004,'Status'!$E$7,'Estimates'!$F$5:$F$2004,"&lt;&gt;")=0,"",SUMIFS('Estimates'!$F$5:$F$2004,'Estimates'!$A$5:$A$2004,$A129,'Estimates'!$B$5:$B$2004,"PPS",'Estimates'!$D$5:$D$2004,'Status'!$F$6,'Estimates'!$H$5:$H$2004,1,'Estimates'!$E$5:$E$2004,'Status'!$E$7)))))</x:f>
      </x:c>
      <x:c r="L129" s="13" t="str">
        <x:f>IF(OR(COUNTA($A129)=0,NOT(ISNUMBER('Status'!$G$6))),"",IF(COUNTIFS('Estimates'!$A$5:$A$2004,$A129,'Estimates'!$B$5:$B$2004,"PPS",'Estimates'!$D$5:$D$2004,'Status'!$G$6,'Estimates'!$H$5:$H$2004,1,'Estimates'!$E$5:$E$2004,'Status'!$E$7)=0,"",IF(COUNTIFS('Estimates'!$A$5:$A$2004,$A129,'Estimates'!$B$5:$B$2004,"PPS",'Estimates'!$D$5:$D$2004,'Status'!$G$6,'Estimates'!$H$5:$H$2004,1,'Estimates'!$E$5:$E$2004,'Status'!$E$7)&gt;1,"DUP",IF(COUNTIFS('Estimates'!$A$5:$A$2004,$A129,'Estimates'!$B$5:$B$2004,"PPS",'Estimates'!$D$5:$D$2004,'Status'!$G$6,'Estimates'!$H$5:$H$2004,1,'Estimates'!$E$5:$E$2004,'Status'!$E$7,'Estimates'!$F$5:$F$2004,"&lt;&gt;")=0,"",SUMIFS('Estimates'!$F$5:$F$2004,'Estimates'!$A$5:$A$2004,$A129,'Estimates'!$B$5:$B$2004,"PPS",'Estimates'!$D$5:$D$2004,'Status'!$G$6,'Estimates'!$H$5:$H$2004,1,'Estimates'!$E$5:$E$2004,'Status'!$E$7)))))</x:f>
      </x:c>
      <x:c r="M129" s="13" t="str">
        <x:f>IF(AND(ISNUMBER(J129),ISNUMBER(K129)),K129-J129,"")</x:f>
      </x:c>
      <x:c r="N129" s="13" t="str">
        <x:f>IF(AND(ISNUMBER(K129),ISNUMBER(L129)),L129-K129,"")</x:f>
      </x:c>
      <x:c r="O129" s="13" t="str">
        <x:f>IF(AND(COUNT(J129:L129)=3,COUNT('Status'!$E$6:$G$6)=3,'Status'!$E$6&gt;'Status'!$F$6,'Status'!$F$6&gt;'Status'!$G$6,'Status'!$G$6&gt;0),ABS(L129-(K129+(K129-J129)*('Status'!$G$6-'Status'!$F$6)/('Status'!$F$6-'Status'!$E$6))),"")</x:f>
      </x:c>
      <x:c r="P129" s="13" t="str">
        <x:f>IF(AND(COUNT(J129:L129)=3,COUNT('Status'!$E$6:$G$6)=3,'Status'!$E$6&gt;'Status'!$F$6,'Status'!$F$6&gt;'Status'!$G$6,'Status'!$G$6&gt;0),('Status'!$F$6*L129-'Status'!$G$6*K129)/('Status'!$F$6-'Status'!$G$6),"")</x:f>
      </x:c>
      <x:c r="Q129" s="20"/>
      <x:c r="R129" s="13" t="str">
        <x:f>IF(COUNTA($A129)=0,"",IF('Status'!$B$6="MPS 1",IF(ISNUMBER(C129),C129,""),IF('Status'!$B$6="MPS 2",IF(ISNUMBER(D129),D129,""),IF('Status'!$B$6="MPS 3",IF(ISNUMBER(E129),E129,""),IF('Status'!$B$6="MPS extrap",IF(ISNUMBER(I129),I129,""),IF('Status'!$B$6="PPS 1",IF(ISNUMBER(J129),J129,""),IF('Status'!$B$6="PPS 2",IF(ISNUMBER(K129),K129,""),IF('Status'!$B$6="PPS 3",IF(ISNUMBER(L129),L129,""),IF('Status'!$B$6="PPS extrap",IF(ISNUMBER(P129),P129,""),IF('Status'!$B$6="Calibrated",IF(ISNUMBER(Q129),Q129,""),""))))))))))</x:f>
      </x:c>
      <x:c r="S129" s="2" t="str">
        <x:f>IF(COUNTA(A129)=0,"",IF(COUNTIFS('Estimates'!$A$5:$A$2004,A129,'Estimates'!$B$5:$B$2004,"MPS",'Estimates'!$H$5:$H$2004,1)+COUNTIFS('Estimates'!$A$5:$A$2004,A129,'Estimates'!$B$5:$B$2004,"PPS",'Estimates'!$H$5:$H$2004,1)&gt;0,1,0))</x:f>
      </x:c>
      <x:c r="T129" s="2" t="str">
        <x:f>IF(COUNTA(A129)=0,"",IF(COUNTIFS($A$6:$A$165,A129)&gt;1,"Duplicate target",IF(COUNTIFS(C129:E129,"DUP")+COUNTIFS(J129:L129,"DUP")&gt;0,"Duplicate accepted run",IF(COUNTIFS('Estimates'!$A$5:$A$2004,A129,'Estimates'!$H$5:$H$2004,1)-COUNTIFS('Estimates'!$A$5:$A$2004,A129,'Estimates'!$H$5:$H$2004,1,'Estimates'!$F$5:$F$2004,"&lt;&gt;")&gt;0,"Accepted value missing",""))))</x:f>
      </x:c>
    </x:row>
    <x:row r="130">
      <x:c r="A130" s="21"/>
      <x:c r="B130" s="19"/>
      <x:c r="C130" s="13" t="str">
        <x:f>IF(OR(COUNTA($A130)=0,NOT(ISNUMBER('Status'!$E$5))),"",IF(COUNTIFS('Estimates'!$A$5:$A$2004,$A130,'Estimates'!$B$5:$B$2004,"MPS",'Estimates'!$C$5:$C$2004,'Status'!$E$5,'Estimates'!$H$5:$H$2004,1)=0,"",IF(COUNTIFS('Estimates'!$A$5:$A$2004,$A130,'Estimates'!$B$5:$B$2004,"MPS",'Estimates'!$C$5:$C$2004,'Status'!$E$5,'Estimates'!$H$5:$H$2004,1)&gt;1,"DUP",IF(COUNTIFS('Estimates'!$A$5:$A$2004,$A130,'Estimates'!$B$5:$B$2004,"MPS",'Estimates'!$C$5:$C$2004,'Status'!$E$5,'Estimates'!$H$5:$H$2004,1,'Estimates'!$F$5:$F$2004,"&lt;&gt;")=0,"",SUMIFS('Estimates'!$F$5:$F$2004,'Estimates'!$A$5:$A$2004,$A130,'Estimates'!$B$5:$B$2004,"MPS",'Estimates'!$C$5:$C$2004,'Status'!$E$5,'Estimates'!$H$5:$H$2004,1)))))</x:f>
      </x:c>
      <x:c r="D130" s="13" t="str">
        <x:f>IF(OR(COUNTA($A130)=0,NOT(ISNUMBER('Status'!$F$5))),"",IF(COUNTIFS('Estimates'!$A$5:$A$2004,$A130,'Estimates'!$B$5:$B$2004,"MPS",'Estimates'!$C$5:$C$2004,'Status'!$F$5,'Estimates'!$H$5:$H$2004,1)=0,"",IF(COUNTIFS('Estimates'!$A$5:$A$2004,$A130,'Estimates'!$B$5:$B$2004,"MPS",'Estimates'!$C$5:$C$2004,'Status'!$F$5,'Estimates'!$H$5:$H$2004,1)&gt;1,"DUP",IF(COUNTIFS('Estimates'!$A$5:$A$2004,$A130,'Estimates'!$B$5:$B$2004,"MPS",'Estimates'!$C$5:$C$2004,'Status'!$F$5,'Estimates'!$H$5:$H$2004,1,'Estimates'!$F$5:$F$2004,"&lt;&gt;")=0,"",SUMIFS('Estimates'!$F$5:$F$2004,'Estimates'!$A$5:$A$2004,$A130,'Estimates'!$B$5:$B$2004,"MPS",'Estimates'!$C$5:$C$2004,'Status'!$F$5,'Estimates'!$H$5:$H$2004,1)))))</x:f>
      </x:c>
      <x:c r="E130" s="13" t="str">
        <x:f>IF(OR(COUNTA($A130)=0,NOT(ISNUMBER('Status'!$G$5))),"",IF(COUNTIFS('Estimates'!$A$5:$A$2004,$A130,'Estimates'!$B$5:$B$2004,"MPS",'Estimates'!$C$5:$C$2004,'Status'!$G$5,'Estimates'!$H$5:$H$2004,1)=0,"",IF(COUNTIFS('Estimates'!$A$5:$A$2004,$A130,'Estimates'!$B$5:$B$2004,"MPS",'Estimates'!$C$5:$C$2004,'Status'!$G$5,'Estimates'!$H$5:$H$2004,1)&gt;1,"DUP",IF(COUNTIFS('Estimates'!$A$5:$A$2004,$A130,'Estimates'!$B$5:$B$2004,"MPS",'Estimates'!$C$5:$C$2004,'Status'!$G$5,'Estimates'!$H$5:$H$2004,1,'Estimates'!$F$5:$F$2004,"&lt;&gt;")=0,"",SUMIFS('Estimates'!$F$5:$F$2004,'Estimates'!$A$5:$A$2004,$A130,'Estimates'!$B$5:$B$2004,"MPS",'Estimates'!$C$5:$C$2004,'Status'!$G$5,'Estimates'!$H$5:$H$2004,1)))))</x:f>
      </x:c>
      <x:c r="F130" s="13" t="str">
        <x:f>IF(AND(ISNUMBER(C130),ISNUMBER(D130)),D130-C130,"")</x:f>
      </x:c>
      <x:c r="G130" s="13" t="str">
        <x:f>IF(AND(ISNUMBER(D130),ISNUMBER(E130)),E130-D130,"")</x:f>
      </x:c>
      <x:c r="H130" s="13" t="str">
        <x:f>IF(AND(COUNT(C130:E130)=3,COUNT('Status'!$E$5:$G$5)=3,'Status'!$E$5&gt;0,'Status'!$E$5&lt;'Status'!$F$5,'Status'!$F$5&lt;'Status'!$G$5),ABS(E130-(D130+(D130-C130)*((1/'Status'!$G$5)-(1/'Status'!$F$5))/((1/'Status'!$F$5)-(1/'Status'!$E$5)))),"")</x:f>
      </x:c>
      <x:c r="I130" s="13" t="str">
        <x:f>IF(AND(COUNT(C130:E130)=3,COUNT('Status'!$E$5:$G$5)=3,'Status'!$E$5&gt;0,'Status'!$E$5&lt;'Status'!$F$5,'Status'!$F$5&lt;'Status'!$G$5),((1/'Status'!$F$5)*E130-(1/'Status'!$G$5)*D130)/((1/'Status'!$F$5)-(1/'Status'!$G$5)),"")</x:f>
      </x:c>
      <x:c r="J130" s="13" t="str">
        <x:f>IF(OR(COUNTA($A130)=0,NOT(ISNUMBER('Status'!$E$6))),"",IF(COUNTIFS('Estimates'!$A$5:$A$2004,$A130,'Estimates'!$B$5:$B$2004,"PPS",'Estimates'!$D$5:$D$2004,'Status'!$E$6,'Estimates'!$H$5:$H$2004,1,'Estimates'!$E$5:$E$2004,'Status'!$E$7)=0,"",IF(COUNTIFS('Estimates'!$A$5:$A$2004,$A130,'Estimates'!$B$5:$B$2004,"PPS",'Estimates'!$D$5:$D$2004,'Status'!$E$6,'Estimates'!$H$5:$H$2004,1,'Estimates'!$E$5:$E$2004,'Status'!$E$7)&gt;1,"DUP",IF(COUNTIFS('Estimates'!$A$5:$A$2004,$A130,'Estimates'!$B$5:$B$2004,"PPS",'Estimates'!$D$5:$D$2004,'Status'!$E$6,'Estimates'!$H$5:$H$2004,1,'Estimates'!$E$5:$E$2004,'Status'!$E$7,'Estimates'!$F$5:$F$2004,"&lt;&gt;")=0,"",SUMIFS('Estimates'!$F$5:$F$2004,'Estimates'!$A$5:$A$2004,$A130,'Estimates'!$B$5:$B$2004,"PPS",'Estimates'!$D$5:$D$2004,'Status'!$E$6,'Estimates'!$H$5:$H$2004,1,'Estimates'!$E$5:$E$2004,'Status'!$E$7)))))</x:f>
      </x:c>
      <x:c r="K130" s="13" t="str">
        <x:f>IF(OR(COUNTA($A130)=0,NOT(ISNUMBER('Status'!$F$6))),"",IF(COUNTIFS('Estimates'!$A$5:$A$2004,$A130,'Estimates'!$B$5:$B$2004,"PPS",'Estimates'!$D$5:$D$2004,'Status'!$F$6,'Estimates'!$H$5:$H$2004,1,'Estimates'!$E$5:$E$2004,'Status'!$E$7)=0,"",IF(COUNTIFS('Estimates'!$A$5:$A$2004,$A130,'Estimates'!$B$5:$B$2004,"PPS",'Estimates'!$D$5:$D$2004,'Status'!$F$6,'Estimates'!$H$5:$H$2004,1,'Estimates'!$E$5:$E$2004,'Status'!$E$7)&gt;1,"DUP",IF(COUNTIFS('Estimates'!$A$5:$A$2004,$A130,'Estimates'!$B$5:$B$2004,"PPS",'Estimates'!$D$5:$D$2004,'Status'!$F$6,'Estimates'!$H$5:$H$2004,1,'Estimates'!$E$5:$E$2004,'Status'!$E$7,'Estimates'!$F$5:$F$2004,"&lt;&gt;")=0,"",SUMIFS('Estimates'!$F$5:$F$2004,'Estimates'!$A$5:$A$2004,$A130,'Estimates'!$B$5:$B$2004,"PPS",'Estimates'!$D$5:$D$2004,'Status'!$F$6,'Estimates'!$H$5:$H$2004,1,'Estimates'!$E$5:$E$2004,'Status'!$E$7)))))</x:f>
      </x:c>
      <x:c r="L130" s="13" t="str">
        <x:f>IF(OR(COUNTA($A130)=0,NOT(ISNUMBER('Status'!$G$6))),"",IF(COUNTIFS('Estimates'!$A$5:$A$2004,$A130,'Estimates'!$B$5:$B$2004,"PPS",'Estimates'!$D$5:$D$2004,'Status'!$G$6,'Estimates'!$H$5:$H$2004,1,'Estimates'!$E$5:$E$2004,'Status'!$E$7)=0,"",IF(COUNTIFS('Estimates'!$A$5:$A$2004,$A130,'Estimates'!$B$5:$B$2004,"PPS",'Estimates'!$D$5:$D$2004,'Status'!$G$6,'Estimates'!$H$5:$H$2004,1,'Estimates'!$E$5:$E$2004,'Status'!$E$7)&gt;1,"DUP",IF(COUNTIFS('Estimates'!$A$5:$A$2004,$A130,'Estimates'!$B$5:$B$2004,"PPS",'Estimates'!$D$5:$D$2004,'Status'!$G$6,'Estimates'!$H$5:$H$2004,1,'Estimates'!$E$5:$E$2004,'Status'!$E$7,'Estimates'!$F$5:$F$2004,"&lt;&gt;")=0,"",SUMIFS('Estimates'!$F$5:$F$2004,'Estimates'!$A$5:$A$2004,$A130,'Estimates'!$B$5:$B$2004,"PPS",'Estimates'!$D$5:$D$2004,'Status'!$G$6,'Estimates'!$H$5:$H$2004,1,'Estimates'!$E$5:$E$2004,'Status'!$E$7)))))</x:f>
      </x:c>
      <x:c r="M130" s="13" t="str">
        <x:f>IF(AND(ISNUMBER(J130),ISNUMBER(K130)),K130-J130,"")</x:f>
      </x:c>
      <x:c r="N130" s="13" t="str">
        <x:f>IF(AND(ISNUMBER(K130),ISNUMBER(L130)),L130-K130,"")</x:f>
      </x:c>
      <x:c r="O130" s="13" t="str">
        <x:f>IF(AND(COUNT(J130:L130)=3,COUNT('Status'!$E$6:$G$6)=3,'Status'!$E$6&gt;'Status'!$F$6,'Status'!$F$6&gt;'Status'!$G$6,'Status'!$G$6&gt;0),ABS(L130-(K130+(K130-J130)*('Status'!$G$6-'Status'!$F$6)/('Status'!$F$6-'Status'!$E$6))),"")</x:f>
      </x:c>
      <x:c r="P130" s="13" t="str">
        <x:f>IF(AND(COUNT(J130:L130)=3,COUNT('Status'!$E$6:$G$6)=3,'Status'!$E$6&gt;'Status'!$F$6,'Status'!$F$6&gt;'Status'!$G$6,'Status'!$G$6&gt;0),('Status'!$F$6*L130-'Status'!$G$6*K130)/('Status'!$F$6-'Status'!$G$6),"")</x:f>
      </x:c>
      <x:c r="Q130" s="20"/>
      <x:c r="R130" s="13" t="str">
        <x:f>IF(COUNTA($A130)=0,"",IF('Status'!$B$6="MPS 1",IF(ISNUMBER(C130),C130,""),IF('Status'!$B$6="MPS 2",IF(ISNUMBER(D130),D130,""),IF('Status'!$B$6="MPS 3",IF(ISNUMBER(E130),E130,""),IF('Status'!$B$6="MPS extrap",IF(ISNUMBER(I130),I130,""),IF('Status'!$B$6="PPS 1",IF(ISNUMBER(J130),J130,""),IF('Status'!$B$6="PPS 2",IF(ISNUMBER(K130),K130,""),IF('Status'!$B$6="PPS 3",IF(ISNUMBER(L130),L130,""),IF('Status'!$B$6="PPS extrap",IF(ISNUMBER(P130),P130,""),IF('Status'!$B$6="Calibrated",IF(ISNUMBER(Q130),Q130,""),""))))))))))</x:f>
      </x:c>
      <x:c r="S130" s="2" t="str">
        <x:f>IF(COUNTA(A130)=0,"",IF(COUNTIFS('Estimates'!$A$5:$A$2004,A130,'Estimates'!$B$5:$B$2004,"MPS",'Estimates'!$H$5:$H$2004,1)+COUNTIFS('Estimates'!$A$5:$A$2004,A130,'Estimates'!$B$5:$B$2004,"PPS",'Estimates'!$H$5:$H$2004,1)&gt;0,1,0))</x:f>
      </x:c>
      <x:c r="T130" s="2" t="str">
        <x:f>IF(COUNTA(A130)=0,"",IF(COUNTIFS($A$6:$A$165,A130)&gt;1,"Duplicate target",IF(COUNTIFS(C130:E130,"DUP")+COUNTIFS(J130:L130,"DUP")&gt;0,"Duplicate accepted run",IF(COUNTIFS('Estimates'!$A$5:$A$2004,A130,'Estimates'!$H$5:$H$2004,1)-COUNTIFS('Estimates'!$A$5:$A$2004,A130,'Estimates'!$H$5:$H$2004,1,'Estimates'!$F$5:$F$2004,"&lt;&gt;")&gt;0,"Accepted value missing",""))))</x:f>
      </x:c>
    </x:row>
    <x:row r="131">
      <x:c r="A131" s="21"/>
      <x:c r="B131" s="19"/>
      <x:c r="C131" s="13" t="str">
        <x:f>IF(OR(COUNTA($A131)=0,NOT(ISNUMBER('Status'!$E$5))),"",IF(COUNTIFS('Estimates'!$A$5:$A$2004,$A131,'Estimates'!$B$5:$B$2004,"MPS",'Estimates'!$C$5:$C$2004,'Status'!$E$5,'Estimates'!$H$5:$H$2004,1)=0,"",IF(COUNTIFS('Estimates'!$A$5:$A$2004,$A131,'Estimates'!$B$5:$B$2004,"MPS",'Estimates'!$C$5:$C$2004,'Status'!$E$5,'Estimates'!$H$5:$H$2004,1)&gt;1,"DUP",IF(COUNTIFS('Estimates'!$A$5:$A$2004,$A131,'Estimates'!$B$5:$B$2004,"MPS",'Estimates'!$C$5:$C$2004,'Status'!$E$5,'Estimates'!$H$5:$H$2004,1,'Estimates'!$F$5:$F$2004,"&lt;&gt;")=0,"",SUMIFS('Estimates'!$F$5:$F$2004,'Estimates'!$A$5:$A$2004,$A131,'Estimates'!$B$5:$B$2004,"MPS",'Estimates'!$C$5:$C$2004,'Status'!$E$5,'Estimates'!$H$5:$H$2004,1)))))</x:f>
      </x:c>
      <x:c r="D131" s="13" t="str">
        <x:f>IF(OR(COUNTA($A131)=0,NOT(ISNUMBER('Status'!$F$5))),"",IF(COUNTIFS('Estimates'!$A$5:$A$2004,$A131,'Estimates'!$B$5:$B$2004,"MPS",'Estimates'!$C$5:$C$2004,'Status'!$F$5,'Estimates'!$H$5:$H$2004,1)=0,"",IF(COUNTIFS('Estimates'!$A$5:$A$2004,$A131,'Estimates'!$B$5:$B$2004,"MPS",'Estimates'!$C$5:$C$2004,'Status'!$F$5,'Estimates'!$H$5:$H$2004,1)&gt;1,"DUP",IF(COUNTIFS('Estimates'!$A$5:$A$2004,$A131,'Estimates'!$B$5:$B$2004,"MPS",'Estimates'!$C$5:$C$2004,'Status'!$F$5,'Estimates'!$H$5:$H$2004,1,'Estimates'!$F$5:$F$2004,"&lt;&gt;")=0,"",SUMIFS('Estimates'!$F$5:$F$2004,'Estimates'!$A$5:$A$2004,$A131,'Estimates'!$B$5:$B$2004,"MPS",'Estimates'!$C$5:$C$2004,'Status'!$F$5,'Estimates'!$H$5:$H$2004,1)))))</x:f>
      </x:c>
      <x:c r="E131" s="13" t="str">
        <x:f>IF(OR(COUNTA($A131)=0,NOT(ISNUMBER('Status'!$G$5))),"",IF(COUNTIFS('Estimates'!$A$5:$A$2004,$A131,'Estimates'!$B$5:$B$2004,"MPS",'Estimates'!$C$5:$C$2004,'Status'!$G$5,'Estimates'!$H$5:$H$2004,1)=0,"",IF(COUNTIFS('Estimates'!$A$5:$A$2004,$A131,'Estimates'!$B$5:$B$2004,"MPS",'Estimates'!$C$5:$C$2004,'Status'!$G$5,'Estimates'!$H$5:$H$2004,1)&gt;1,"DUP",IF(COUNTIFS('Estimates'!$A$5:$A$2004,$A131,'Estimates'!$B$5:$B$2004,"MPS",'Estimates'!$C$5:$C$2004,'Status'!$G$5,'Estimates'!$H$5:$H$2004,1,'Estimates'!$F$5:$F$2004,"&lt;&gt;")=0,"",SUMIFS('Estimates'!$F$5:$F$2004,'Estimates'!$A$5:$A$2004,$A131,'Estimates'!$B$5:$B$2004,"MPS",'Estimates'!$C$5:$C$2004,'Status'!$G$5,'Estimates'!$H$5:$H$2004,1)))))</x:f>
      </x:c>
      <x:c r="F131" s="13" t="str">
        <x:f>IF(AND(ISNUMBER(C131),ISNUMBER(D131)),D131-C131,"")</x:f>
      </x:c>
      <x:c r="G131" s="13" t="str">
        <x:f>IF(AND(ISNUMBER(D131),ISNUMBER(E131)),E131-D131,"")</x:f>
      </x:c>
      <x:c r="H131" s="13" t="str">
        <x:f>IF(AND(COUNT(C131:E131)=3,COUNT('Status'!$E$5:$G$5)=3,'Status'!$E$5&gt;0,'Status'!$E$5&lt;'Status'!$F$5,'Status'!$F$5&lt;'Status'!$G$5),ABS(E131-(D131+(D131-C131)*((1/'Status'!$G$5)-(1/'Status'!$F$5))/((1/'Status'!$F$5)-(1/'Status'!$E$5)))),"")</x:f>
      </x:c>
      <x:c r="I131" s="13" t="str">
        <x:f>IF(AND(COUNT(C131:E131)=3,COUNT('Status'!$E$5:$G$5)=3,'Status'!$E$5&gt;0,'Status'!$E$5&lt;'Status'!$F$5,'Status'!$F$5&lt;'Status'!$G$5),((1/'Status'!$F$5)*E131-(1/'Status'!$G$5)*D131)/((1/'Status'!$F$5)-(1/'Status'!$G$5)),"")</x:f>
      </x:c>
      <x:c r="J131" s="13" t="str">
        <x:f>IF(OR(COUNTA($A131)=0,NOT(ISNUMBER('Status'!$E$6))),"",IF(COUNTIFS('Estimates'!$A$5:$A$2004,$A131,'Estimates'!$B$5:$B$2004,"PPS",'Estimates'!$D$5:$D$2004,'Status'!$E$6,'Estimates'!$H$5:$H$2004,1,'Estimates'!$E$5:$E$2004,'Status'!$E$7)=0,"",IF(COUNTIFS('Estimates'!$A$5:$A$2004,$A131,'Estimates'!$B$5:$B$2004,"PPS",'Estimates'!$D$5:$D$2004,'Status'!$E$6,'Estimates'!$H$5:$H$2004,1,'Estimates'!$E$5:$E$2004,'Status'!$E$7)&gt;1,"DUP",IF(COUNTIFS('Estimates'!$A$5:$A$2004,$A131,'Estimates'!$B$5:$B$2004,"PPS",'Estimates'!$D$5:$D$2004,'Status'!$E$6,'Estimates'!$H$5:$H$2004,1,'Estimates'!$E$5:$E$2004,'Status'!$E$7,'Estimates'!$F$5:$F$2004,"&lt;&gt;")=0,"",SUMIFS('Estimates'!$F$5:$F$2004,'Estimates'!$A$5:$A$2004,$A131,'Estimates'!$B$5:$B$2004,"PPS",'Estimates'!$D$5:$D$2004,'Status'!$E$6,'Estimates'!$H$5:$H$2004,1,'Estimates'!$E$5:$E$2004,'Status'!$E$7)))))</x:f>
      </x:c>
      <x:c r="K131" s="13" t="str">
        <x:f>IF(OR(COUNTA($A131)=0,NOT(ISNUMBER('Status'!$F$6))),"",IF(COUNTIFS('Estimates'!$A$5:$A$2004,$A131,'Estimates'!$B$5:$B$2004,"PPS",'Estimates'!$D$5:$D$2004,'Status'!$F$6,'Estimates'!$H$5:$H$2004,1,'Estimates'!$E$5:$E$2004,'Status'!$E$7)=0,"",IF(COUNTIFS('Estimates'!$A$5:$A$2004,$A131,'Estimates'!$B$5:$B$2004,"PPS",'Estimates'!$D$5:$D$2004,'Status'!$F$6,'Estimates'!$H$5:$H$2004,1,'Estimates'!$E$5:$E$2004,'Status'!$E$7)&gt;1,"DUP",IF(COUNTIFS('Estimates'!$A$5:$A$2004,$A131,'Estimates'!$B$5:$B$2004,"PPS",'Estimates'!$D$5:$D$2004,'Status'!$F$6,'Estimates'!$H$5:$H$2004,1,'Estimates'!$E$5:$E$2004,'Status'!$E$7,'Estimates'!$F$5:$F$2004,"&lt;&gt;")=0,"",SUMIFS('Estimates'!$F$5:$F$2004,'Estimates'!$A$5:$A$2004,$A131,'Estimates'!$B$5:$B$2004,"PPS",'Estimates'!$D$5:$D$2004,'Status'!$F$6,'Estimates'!$H$5:$H$2004,1,'Estimates'!$E$5:$E$2004,'Status'!$E$7)))))</x:f>
      </x:c>
      <x:c r="L131" s="13" t="str">
        <x:f>IF(OR(COUNTA($A131)=0,NOT(ISNUMBER('Status'!$G$6))),"",IF(COUNTIFS('Estimates'!$A$5:$A$2004,$A131,'Estimates'!$B$5:$B$2004,"PPS",'Estimates'!$D$5:$D$2004,'Status'!$G$6,'Estimates'!$H$5:$H$2004,1,'Estimates'!$E$5:$E$2004,'Status'!$E$7)=0,"",IF(COUNTIFS('Estimates'!$A$5:$A$2004,$A131,'Estimates'!$B$5:$B$2004,"PPS",'Estimates'!$D$5:$D$2004,'Status'!$G$6,'Estimates'!$H$5:$H$2004,1,'Estimates'!$E$5:$E$2004,'Status'!$E$7)&gt;1,"DUP",IF(COUNTIFS('Estimates'!$A$5:$A$2004,$A131,'Estimates'!$B$5:$B$2004,"PPS",'Estimates'!$D$5:$D$2004,'Status'!$G$6,'Estimates'!$H$5:$H$2004,1,'Estimates'!$E$5:$E$2004,'Status'!$E$7,'Estimates'!$F$5:$F$2004,"&lt;&gt;")=0,"",SUMIFS('Estimates'!$F$5:$F$2004,'Estimates'!$A$5:$A$2004,$A131,'Estimates'!$B$5:$B$2004,"PPS",'Estimates'!$D$5:$D$2004,'Status'!$G$6,'Estimates'!$H$5:$H$2004,1,'Estimates'!$E$5:$E$2004,'Status'!$E$7)))))</x:f>
      </x:c>
      <x:c r="M131" s="13" t="str">
        <x:f>IF(AND(ISNUMBER(J131),ISNUMBER(K131)),K131-J131,"")</x:f>
      </x:c>
      <x:c r="N131" s="13" t="str">
        <x:f>IF(AND(ISNUMBER(K131),ISNUMBER(L131)),L131-K131,"")</x:f>
      </x:c>
      <x:c r="O131" s="13" t="str">
        <x:f>IF(AND(COUNT(J131:L131)=3,COUNT('Status'!$E$6:$G$6)=3,'Status'!$E$6&gt;'Status'!$F$6,'Status'!$F$6&gt;'Status'!$G$6,'Status'!$G$6&gt;0),ABS(L131-(K131+(K131-J131)*('Status'!$G$6-'Status'!$F$6)/('Status'!$F$6-'Status'!$E$6))),"")</x:f>
      </x:c>
      <x:c r="P131" s="13" t="str">
        <x:f>IF(AND(COUNT(J131:L131)=3,COUNT('Status'!$E$6:$G$6)=3,'Status'!$E$6&gt;'Status'!$F$6,'Status'!$F$6&gt;'Status'!$G$6,'Status'!$G$6&gt;0),('Status'!$F$6*L131-'Status'!$G$6*K131)/('Status'!$F$6-'Status'!$G$6),"")</x:f>
      </x:c>
      <x:c r="Q131" s="20"/>
      <x:c r="R131" s="13" t="str">
        <x:f>IF(COUNTA($A131)=0,"",IF('Status'!$B$6="MPS 1",IF(ISNUMBER(C131),C131,""),IF('Status'!$B$6="MPS 2",IF(ISNUMBER(D131),D131,""),IF('Status'!$B$6="MPS 3",IF(ISNUMBER(E131),E131,""),IF('Status'!$B$6="MPS extrap",IF(ISNUMBER(I131),I131,""),IF('Status'!$B$6="PPS 1",IF(ISNUMBER(J131),J131,""),IF('Status'!$B$6="PPS 2",IF(ISNUMBER(K131),K131,""),IF('Status'!$B$6="PPS 3",IF(ISNUMBER(L131),L131,""),IF('Status'!$B$6="PPS extrap",IF(ISNUMBER(P131),P131,""),IF('Status'!$B$6="Calibrated",IF(ISNUMBER(Q131),Q131,""),""))))))))))</x:f>
      </x:c>
      <x:c r="S131" s="2" t="str">
        <x:f>IF(COUNTA(A131)=0,"",IF(COUNTIFS('Estimates'!$A$5:$A$2004,A131,'Estimates'!$B$5:$B$2004,"MPS",'Estimates'!$H$5:$H$2004,1)+COUNTIFS('Estimates'!$A$5:$A$2004,A131,'Estimates'!$B$5:$B$2004,"PPS",'Estimates'!$H$5:$H$2004,1)&gt;0,1,0))</x:f>
      </x:c>
      <x:c r="T131" s="2" t="str">
        <x:f>IF(COUNTA(A131)=0,"",IF(COUNTIFS($A$6:$A$165,A131)&gt;1,"Duplicate target",IF(COUNTIFS(C131:E131,"DUP")+COUNTIFS(J131:L131,"DUP")&gt;0,"Duplicate accepted run",IF(COUNTIFS('Estimates'!$A$5:$A$2004,A131,'Estimates'!$H$5:$H$2004,1)-COUNTIFS('Estimates'!$A$5:$A$2004,A131,'Estimates'!$H$5:$H$2004,1,'Estimates'!$F$5:$F$2004,"&lt;&gt;")&gt;0,"Accepted value missing",""))))</x:f>
      </x:c>
    </x:row>
    <x:row r="132">
      <x:c r="A132" s="21"/>
      <x:c r="B132" s="19"/>
      <x:c r="C132" s="13" t="str">
        <x:f>IF(OR(COUNTA($A132)=0,NOT(ISNUMBER('Status'!$E$5))),"",IF(COUNTIFS('Estimates'!$A$5:$A$2004,$A132,'Estimates'!$B$5:$B$2004,"MPS",'Estimates'!$C$5:$C$2004,'Status'!$E$5,'Estimates'!$H$5:$H$2004,1)=0,"",IF(COUNTIFS('Estimates'!$A$5:$A$2004,$A132,'Estimates'!$B$5:$B$2004,"MPS",'Estimates'!$C$5:$C$2004,'Status'!$E$5,'Estimates'!$H$5:$H$2004,1)&gt;1,"DUP",IF(COUNTIFS('Estimates'!$A$5:$A$2004,$A132,'Estimates'!$B$5:$B$2004,"MPS",'Estimates'!$C$5:$C$2004,'Status'!$E$5,'Estimates'!$H$5:$H$2004,1,'Estimates'!$F$5:$F$2004,"&lt;&gt;")=0,"",SUMIFS('Estimates'!$F$5:$F$2004,'Estimates'!$A$5:$A$2004,$A132,'Estimates'!$B$5:$B$2004,"MPS",'Estimates'!$C$5:$C$2004,'Status'!$E$5,'Estimates'!$H$5:$H$2004,1)))))</x:f>
      </x:c>
      <x:c r="D132" s="13" t="str">
        <x:f>IF(OR(COUNTA($A132)=0,NOT(ISNUMBER('Status'!$F$5))),"",IF(COUNTIFS('Estimates'!$A$5:$A$2004,$A132,'Estimates'!$B$5:$B$2004,"MPS",'Estimates'!$C$5:$C$2004,'Status'!$F$5,'Estimates'!$H$5:$H$2004,1)=0,"",IF(COUNTIFS('Estimates'!$A$5:$A$2004,$A132,'Estimates'!$B$5:$B$2004,"MPS",'Estimates'!$C$5:$C$2004,'Status'!$F$5,'Estimates'!$H$5:$H$2004,1)&gt;1,"DUP",IF(COUNTIFS('Estimates'!$A$5:$A$2004,$A132,'Estimates'!$B$5:$B$2004,"MPS",'Estimates'!$C$5:$C$2004,'Status'!$F$5,'Estimates'!$H$5:$H$2004,1,'Estimates'!$F$5:$F$2004,"&lt;&gt;")=0,"",SUMIFS('Estimates'!$F$5:$F$2004,'Estimates'!$A$5:$A$2004,$A132,'Estimates'!$B$5:$B$2004,"MPS",'Estimates'!$C$5:$C$2004,'Status'!$F$5,'Estimates'!$H$5:$H$2004,1)))))</x:f>
      </x:c>
      <x:c r="E132" s="13" t="str">
        <x:f>IF(OR(COUNTA($A132)=0,NOT(ISNUMBER('Status'!$G$5))),"",IF(COUNTIFS('Estimates'!$A$5:$A$2004,$A132,'Estimates'!$B$5:$B$2004,"MPS",'Estimates'!$C$5:$C$2004,'Status'!$G$5,'Estimates'!$H$5:$H$2004,1)=0,"",IF(COUNTIFS('Estimates'!$A$5:$A$2004,$A132,'Estimates'!$B$5:$B$2004,"MPS",'Estimates'!$C$5:$C$2004,'Status'!$G$5,'Estimates'!$H$5:$H$2004,1)&gt;1,"DUP",IF(COUNTIFS('Estimates'!$A$5:$A$2004,$A132,'Estimates'!$B$5:$B$2004,"MPS",'Estimates'!$C$5:$C$2004,'Status'!$G$5,'Estimates'!$H$5:$H$2004,1,'Estimates'!$F$5:$F$2004,"&lt;&gt;")=0,"",SUMIFS('Estimates'!$F$5:$F$2004,'Estimates'!$A$5:$A$2004,$A132,'Estimates'!$B$5:$B$2004,"MPS",'Estimates'!$C$5:$C$2004,'Status'!$G$5,'Estimates'!$H$5:$H$2004,1)))))</x:f>
      </x:c>
      <x:c r="F132" s="13" t="str">
        <x:f>IF(AND(ISNUMBER(C132),ISNUMBER(D132)),D132-C132,"")</x:f>
      </x:c>
      <x:c r="G132" s="13" t="str">
        <x:f>IF(AND(ISNUMBER(D132),ISNUMBER(E132)),E132-D132,"")</x:f>
      </x:c>
      <x:c r="H132" s="13" t="str">
        <x:f>IF(AND(COUNT(C132:E132)=3,COUNT('Status'!$E$5:$G$5)=3,'Status'!$E$5&gt;0,'Status'!$E$5&lt;'Status'!$F$5,'Status'!$F$5&lt;'Status'!$G$5),ABS(E132-(D132+(D132-C132)*((1/'Status'!$G$5)-(1/'Status'!$F$5))/((1/'Status'!$F$5)-(1/'Status'!$E$5)))),"")</x:f>
      </x:c>
      <x:c r="I132" s="13" t="str">
        <x:f>IF(AND(COUNT(C132:E132)=3,COUNT('Status'!$E$5:$G$5)=3,'Status'!$E$5&gt;0,'Status'!$E$5&lt;'Status'!$F$5,'Status'!$F$5&lt;'Status'!$G$5),((1/'Status'!$F$5)*E132-(1/'Status'!$G$5)*D132)/((1/'Status'!$F$5)-(1/'Status'!$G$5)),"")</x:f>
      </x:c>
      <x:c r="J132" s="13" t="str">
        <x:f>IF(OR(COUNTA($A132)=0,NOT(ISNUMBER('Status'!$E$6))),"",IF(COUNTIFS('Estimates'!$A$5:$A$2004,$A132,'Estimates'!$B$5:$B$2004,"PPS",'Estimates'!$D$5:$D$2004,'Status'!$E$6,'Estimates'!$H$5:$H$2004,1,'Estimates'!$E$5:$E$2004,'Status'!$E$7)=0,"",IF(COUNTIFS('Estimates'!$A$5:$A$2004,$A132,'Estimates'!$B$5:$B$2004,"PPS",'Estimates'!$D$5:$D$2004,'Status'!$E$6,'Estimates'!$H$5:$H$2004,1,'Estimates'!$E$5:$E$2004,'Status'!$E$7)&gt;1,"DUP",IF(COUNTIFS('Estimates'!$A$5:$A$2004,$A132,'Estimates'!$B$5:$B$2004,"PPS",'Estimates'!$D$5:$D$2004,'Status'!$E$6,'Estimates'!$H$5:$H$2004,1,'Estimates'!$E$5:$E$2004,'Status'!$E$7,'Estimates'!$F$5:$F$2004,"&lt;&gt;")=0,"",SUMIFS('Estimates'!$F$5:$F$2004,'Estimates'!$A$5:$A$2004,$A132,'Estimates'!$B$5:$B$2004,"PPS",'Estimates'!$D$5:$D$2004,'Status'!$E$6,'Estimates'!$H$5:$H$2004,1,'Estimates'!$E$5:$E$2004,'Status'!$E$7)))))</x:f>
      </x:c>
      <x:c r="K132" s="13" t="str">
        <x:f>IF(OR(COUNTA($A132)=0,NOT(ISNUMBER('Status'!$F$6))),"",IF(COUNTIFS('Estimates'!$A$5:$A$2004,$A132,'Estimates'!$B$5:$B$2004,"PPS",'Estimates'!$D$5:$D$2004,'Status'!$F$6,'Estimates'!$H$5:$H$2004,1,'Estimates'!$E$5:$E$2004,'Status'!$E$7)=0,"",IF(COUNTIFS('Estimates'!$A$5:$A$2004,$A132,'Estimates'!$B$5:$B$2004,"PPS",'Estimates'!$D$5:$D$2004,'Status'!$F$6,'Estimates'!$H$5:$H$2004,1,'Estimates'!$E$5:$E$2004,'Status'!$E$7)&gt;1,"DUP",IF(COUNTIFS('Estimates'!$A$5:$A$2004,$A132,'Estimates'!$B$5:$B$2004,"PPS",'Estimates'!$D$5:$D$2004,'Status'!$F$6,'Estimates'!$H$5:$H$2004,1,'Estimates'!$E$5:$E$2004,'Status'!$E$7,'Estimates'!$F$5:$F$2004,"&lt;&gt;")=0,"",SUMIFS('Estimates'!$F$5:$F$2004,'Estimates'!$A$5:$A$2004,$A132,'Estimates'!$B$5:$B$2004,"PPS",'Estimates'!$D$5:$D$2004,'Status'!$F$6,'Estimates'!$H$5:$H$2004,1,'Estimates'!$E$5:$E$2004,'Status'!$E$7)))))</x:f>
      </x:c>
      <x:c r="L132" s="13" t="str">
        <x:f>IF(OR(COUNTA($A132)=0,NOT(ISNUMBER('Status'!$G$6))),"",IF(COUNTIFS('Estimates'!$A$5:$A$2004,$A132,'Estimates'!$B$5:$B$2004,"PPS",'Estimates'!$D$5:$D$2004,'Status'!$G$6,'Estimates'!$H$5:$H$2004,1,'Estimates'!$E$5:$E$2004,'Status'!$E$7)=0,"",IF(COUNTIFS('Estimates'!$A$5:$A$2004,$A132,'Estimates'!$B$5:$B$2004,"PPS",'Estimates'!$D$5:$D$2004,'Status'!$G$6,'Estimates'!$H$5:$H$2004,1,'Estimates'!$E$5:$E$2004,'Status'!$E$7)&gt;1,"DUP",IF(COUNTIFS('Estimates'!$A$5:$A$2004,$A132,'Estimates'!$B$5:$B$2004,"PPS",'Estimates'!$D$5:$D$2004,'Status'!$G$6,'Estimates'!$H$5:$H$2004,1,'Estimates'!$E$5:$E$2004,'Status'!$E$7,'Estimates'!$F$5:$F$2004,"&lt;&gt;")=0,"",SUMIFS('Estimates'!$F$5:$F$2004,'Estimates'!$A$5:$A$2004,$A132,'Estimates'!$B$5:$B$2004,"PPS",'Estimates'!$D$5:$D$2004,'Status'!$G$6,'Estimates'!$H$5:$H$2004,1,'Estimates'!$E$5:$E$2004,'Status'!$E$7)))))</x:f>
      </x:c>
      <x:c r="M132" s="13" t="str">
        <x:f>IF(AND(ISNUMBER(J132),ISNUMBER(K132)),K132-J132,"")</x:f>
      </x:c>
      <x:c r="N132" s="13" t="str">
        <x:f>IF(AND(ISNUMBER(K132),ISNUMBER(L132)),L132-K132,"")</x:f>
      </x:c>
      <x:c r="O132" s="13" t="str">
        <x:f>IF(AND(COUNT(J132:L132)=3,COUNT('Status'!$E$6:$G$6)=3,'Status'!$E$6&gt;'Status'!$F$6,'Status'!$F$6&gt;'Status'!$G$6,'Status'!$G$6&gt;0),ABS(L132-(K132+(K132-J132)*('Status'!$G$6-'Status'!$F$6)/('Status'!$F$6-'Status'!$E$6))),"")</x:f>
      </x:c>
      <x:c r="P132" s="13" t="str">
        <x:f>IF(AND(COUNT(J132:L132)=3,COUNT('Status'!$E$6:$G$6)=3,'Status'!$E$6&gt;'Status'!$F$6,'Status'!$F$6&gt;'Status'!$G$6,'Status'!$G$6&gt;0),('Status'!$F$6*L132-'Status'!$G$6*K132)/('Status'!$F$6-'Status'!$G$6),"")</x:f>
      </x:c>
      <x:c r="Q132" s="20"/>
      <x:c r="R132" s="13" t="str">
        <x:f>IF(COUNTA($A132)=0,"",IF('Status'!$B$6="MPS 1",IF(ISNUMBER(C132),C132,""),IF('Status'!$B$6="MPS 2",IF(ISNUMBER(D132),D132,""),IF('Status'!$B$6="MPS 3",IF(ISNUMBER(E132),E132,""),IF('Status'!$B$6="MPS extrap",IF(ISNUMBER(I132),I132,""),IF('Status'!$B$6="PPS 1",IF(ISNUMBER(J132),J132,""),IF('Status'!$B$6="PPS 2",IF(ISNUMBER(K132),K132,""),IF('Status'!$B$6="PPS 3",IF(ISNUMBER(L132),L132,""),IF('Status'!$B$6="PPS extrap",IF(ISNUMBER(P132),P132,""),IF('Status'!$B$6="Calibrated",IF(ISNUMBER(Q132),Q132,""),""))))))))))</x:f>
      </x:c>
      <x:c r="S132" s="2" t="str">
        <x:f>IF(COUNTA(A132)=0,"",IF(COUNTIFS('Estimates'!$A$5:$A$2004,A132,'Estimates'!$B$5:$B$2004,"MPS",'Estimates'!$H$5:$H$2004,1)+COUNTIFS('Estimates'!$A$5:$A$2004,A132,'Estimates'!$B$5:$B$2004,"PPS",'Estimates'!$H$5:$H$2004,1)&gt;0,1,0))</x:f>
      </x:c>
      <x:c r="T132" s="2" t="str">
        <x:f>IF(COUNTA(A132)=0,"",IF(COUNTIFS($A$6:$A$165,A132)&gt;1,"Duplicate target",IF(COUNTIFS(C132:E132,"DUP")+COUNTIFS(J132:L132,"DUP")&gt;0,"Duplicate accepted run",IF(COUNTIFS('Estimates'!$A$5:$A$2004,A132,'Estimates'!$H$5:$H$2004,1)-COUNTIFS('Estimates'!$A$5:$A$2004,A132,'Estimates'!$H$5:$H$2004,1,'Estimates'!$F$5:$F$2004,"&lt;&gt;")&gt;0,"Accepted value missing",""))))</x:f>
      </x:c>
    </x:row>
    <x:row r="133">
      <x:c r="A133" s="21"/>
      <x:c r="B133" s="19"/>
      <x:c r="C133" s="13" t="str">
        <x:f>IF(OR(COUNTA($A133)=0,NOT(ISNUMBER('Status'!$E$5))),"",IF(COUNTIFS('Estimates'!$A$5:$A$2004,$A133,'Estimates'!$B$5:$B$2004,"MPS",'Estimates'!$C$5:$C$2004,'Status'!$E$5,'Estimates'!$H$5:$H$2004,1)=0,"",IF(COUNTIFS('Estimates'!$A$5:$A$2004,$A133,'Estimates'!$B$5:$B$2004,"MPS",'Estimates'!$C$5:$C$2004,'Status'!$E$5,'Estimates'!$H$5:$H$2004,1)&gt;1,"DUP",IF(COUNTIFS('Estimates'!$A$5:$A$2004,$A133,'Estimates'!$B$5:$B$2004,"MPS",'Estimates'!$C$5:$C$2004,'Status'!$E$5,'Estimates'!$H$5:$H$2004,1,'Estimates'!$F$5:$F$2004,"&lt;&gt;")=0,"",SUMIFS('Estimates'!$F$5:$F$2004,'Estimates'!$A$5:$A$2004,$A133,'Estimates'!$B$5:$B$2004,"MPS",'Estimates'!$C$5:$C$2004,'Status'!$E$5,'Estimates'!$H$5:$H$2004,1)))))</x:f>
      </x:c>
      <x:c r="D133" s="13" t="str">
        <x:f>IF(OR(COUNTA($A133)=0,NOT(ISNUMBER('Status'!$F$5))),"",IF(COUNTIFS('Estimates'!$A$5:$A$2004,$A133,'Estimates'!$B$5:$B$2004,"MPS",'Estimates'!$C$5:$C$2004,'Status'!$F$5,'Estimates'!$H$5:$H$2004,1)=0,"",IF(COUNTIFS('Estimates'!$A$5:$A$2004,$A133,'Estimates'!$B$5:$B$2004,"MPS",'Estimates'!$C$5:$C$2004,'Status'!$F$5,'Estimates'!$H$5:$H$2004,1)&gt;1,"DUP",IF(COUNTIFS('Estimates'!$A$5:$A$2004,$A133,'Estimates'!$B$5:$B$2004,"MPS",'Estimates'!$C$5:$C$2004,'Status'!$F$5,'Estimates'!$H$5:$H$2004,1,'Estimates'!$F$5:$F$2004,"&lt;&gt;")=0,"",SUMIFS('Estimates'!$F$5:$F$2004,'Estimates'!$A$5:$A$2004,$A133,'Estimates'!$B$5:$B$2004,"MPS",'Estimates'!$C$5:$C$2004,'Status'!$F$5,'Estimates'!$H$5:$H$2004,1)))))</x:f>
      </x:c>
      <x:c r="E133" s="13" t="str">
        <x:f>IF(OR(COUNTA($A133)=0,NOT(ISNUMBER('Status'!$G$5))),"",IF(COUNTIFS('Estimates'!$A$5:$A$2004,$A133,'Estimates'!$B$5:$B$2004,"MPS",'Estimates'!$C$5:$C$2004,'Status'!$G$5,'Estimates'!$H$5:$H$2004,1)=0,"",IF(COUNTIFS('Estimates'!$A$5:$A$2004,$A133,'Estimates'!$B$5:$B$2004,"MPS",'Estimates'!$C$5:$C$2004,'Status'!$G$5,'Estimates'!$H$5:$H$2004,1)&gt;1,"DUP",IF(COUNTIFS('Estimates'!$A$5:$A$2004,$A133,'Estimates'!$B$5:$B$2004,"MPS",'Estimates'!$C$5:$C$2004,'Status'!$G$5,'Estimates'!$H$5:$H$2004,1,'Estimates'!$F$5:$F$2004,"&lt;&gt;")=0,"",SUMIFS('Estimates'!$F$5:$F$2004,'Estimates'!$A$5:$A$2004,$A133,'Estimates'!$B$5:$B$2004,"MPS",'Estimates'!$C$5:$C$2004,'Status'!$G$5,'Estimates'!$H$5:$H$2004,1)))))</x:f>
      </x:c>
      <x:c r="F133" s="13" t="str">
        <x:f>IF(AND(ISNUMBER(C133),ISNUMBER(D133)),D133-C133,"")</x:f>
      </x:c>
      <x:c r="G133" s="13" t="str">
        <x:f>IF(AND(ISNUMBER(D133),ISNUMBER(E133)),E133-D133,"")</x:f>
      </x:c>
      <x:c r="H133" s="13" t="str">
        <x:f>IF(AND(COUNT(C133:E133)=3,COUNT('Status'!$E$5:$G$5)=3,'Status'!$E$5&gt;0,'Status'!$E$5&lt;'Status'!$F$5,'Status'!$F$5&lt;'Status'!$G$5),ABS(E133-(D133+(D133-C133)*((1/'Status'!$G$5)-(1/'Status'!$F$5))/((1/'Status'!$F$5)-(1/'Status'!$E$5)))),"")</x:f>
      </x:c>
      <x:c r="I133" s="13" t="str">
        <x:f>IF(AND(COUNT(C133:E133)=3,COUNT('Status'!$E$5:$G$5)=3,'Status'!$E$5&gt;0,'Status'!$E$5&lt;'Status'!$F$5,'Status'!$F$5&lt;'Status'!$G$5),((1/'Status'!$F$5)*E133-(1/'Status'!$G$5)*D133)/((1/'Status'!$F$5)-(1/'Status'!$G$5)),"")</x:f>
      </x:c>
      <x:c r="J133" s="13" t="str">
        <x:f>IF(OR(COUNTA($A133)=0,NOT(ISNUMBER('Status'!$E$6))),"",IF(COUNTIFS('Estimates'!$A$5:$A$2004,$A133,'Estimates'!$B$5:$B$2004,"PPS",'Estimates'!$D$5:$D$2004,'Status'!$E$6,'Estimates'!$H$5:$H$2004,1,'Estimates'!$E$5:$E$2004,'Status'!$E$7)=0,"",IF(COUNTIFS('Estimates'!$A$5:$A$2004,$A133,'Estimates'!$B$5:$B$2004,"PPS",'Estimates'!$D$5:$D$2004,'Status'!$E$6,'Estimates'!$H$5:$H$2004,1,'Estimates'!$E$5:$E$2004,'Status'!$E$7)&gt;1,"DUP",IF(COUNTIFS('Estimates'!$A$5:$A$2004,$A133,'Estimates'!$B$5:$B$2004,"PPS",'Estimates'!$D$5:$D$2004,'Status'!$E$6,'Estimates'!$H$5:$H$2004,1,'Estimates'!$E$5:$E$2004,'Status'!$E$7,'Estimates'!$F$5:$F$2004,"&lt;&gt;")=0,"",SUMIFS('Estimates'!$F$5:$F$2004,'Estimates'!$A$5:$A$2004,$A133,'Estimates'!$B$5:$B$2004,"PPS",'Estimates'!$D$5:$D$2004,'Status'!$E$6,'Estimates'!$H$5:$H$2004,1,'Estimates'!$E$5:$E$2004,'Status'!$E$7)))))</x:f>
      </x:c>
      <x:c r="K133" s="13" t="str">
        <x:f>IF(OR(COUNTA($A133)=0,NOT(ISNUMBER('Status'!$F$6))),"",IF(COUNTIFS('Estimates'!$A$5:$A$2004,$A133,'Estimates'!$B$5:$B$2004,"PPS",'Estimates'!$D$5:$D$2004,'Status'!$F$6,'Estimates'!$H$5:$H$2004,1,'Estimates'!$E$5:$E$2004,'Status'!$E$7)=0,"",IF(COUNTIFS('Estimates'!$A$5:$A$2004,$A133,'Estimates'!$B$5:$B$2004,"PPS",'Estimates'!$D$5:$D$2004,'Status'!$F$6,'Estimates'!$H$5:$H$2004,1,'Estimates'!$E$5:$E$2004,'Status'!$E$7)&gt;1,"DUP",IF(COUNTIFS('Estimates'!$A$5:$A$2004,$A133,'Estimates'!$B$5:$B$2004,"PPS",'Estimates'!$D$5:$D$2004,'Status'!$F$6,'Estimates'!$H$5:$H$2004,1,'Estimates'!$E$5:$E$2004,'Status'!$E$7,'Estimates'!$F$5:$F$2004,"&lt;&gt;")=0,"",SUMIFS('Estimates'!$F$5:$F$2004,'Estimates'!$A$5:$A$2004,$A133,'Estimates'!$B$5:$B$2004,"PPS",'Estimates'!$D$5:$D$2004,'Status'!$F$6,'Estimates'!$H$5:$H$2004,1,'Estimates'!$E$5:$E$2004,'Status'!$E$7)))))</x:f>
      </x:c>
      <x:c r="L133" s="13" t="str">
        <x:f>IF(OR(COUNTA($A133)=0,NOT(ISNUMBER('Status'!$G$6))),"",IF(COUNTIFS('Estimates'!$A$5:$A$2004,$A133,'Estimates'!$B$5:$B$2004,"PPS",'Estimates'!$D$5:$D$2004,'Status'!$G$6,'Estimates'!$H$5:$H$2004,1,'Estimates'!$E$5:$E$2004,'Status'!$E$7)=0,"",IF(COUNTIFS('Estimates'!$A$5:$A$2004,$A133,'Estimates'!$B$5:$B$2004,"PPS",'Estimates'!$D$5:$D$2004,'Status'!$G$6,'Estimates'!$H$5:$H$2004,1,'Estimates'!$E$5:$E$2004,'Status'!$E$7)&gt;1,"DUP",IF(COUNTIFS('Estimates'!$A$5:$A$2004,$A133,'Estimates'!$B$5:$B$2004,"PPS",'Estimates'!$D$5:$D$2004,'Status'!$G$6,'Estimates'!$H$5:$H$2004,1,'Estimates'!$E$5:$E$2004,'Status'!$E$7,'Estimates'!$F$5:$F$2004,"&lt;&gt;")=0,"",SUMIFS('Estimates'!$F$5:$F$2004,'Estimates'!$A$5:$A$2004,$A133,'Estimates'!$B$5:$B$2004,"PPS",'Estimates'!$D$5:$D$2004,'Status'!$G$6,'Estimates'!$H$5:$H$2004,1,'Estimates'!$E$5:$E$2004,'Status'!$E$7)))))</x:f>
      </x:c>
      <x:c r="M133" s="13" t="str">
        <x:f>IF(AND(ISNUMBER(J133),ISNUMBER(K133)),K133-J133,"")</x:f>
      </x:c>
      <x:c r="N133" s="13" t="str">
        <x:f>IF(AND(ISNUMBER(K133),ISNUMBER(L133)),L133-K133,"")</x:f>
      </x:c>
      <x:c r="O133" s="13" t="str">
        <x:f>IF(AND(COUNT(J133:L133)=3,COUNT('Status'!$E$6:$G$6)=3,'Status'!$E$6&gt;'Status'!$F$6,'Status'!$F$6&gt;'Status'!$G$6,'Status'!$G$6&gt;0),ABS(L133-(K133+(K133-J133)*('Status'!$G$6-'Status'!$F$6)/('Status'!$F$6-'Status'!$E$6))),"")</x:f>
      </x:c>
      <x:c r="P133" s="13" t="str">
        <x:f>IF(AND(COUNT(J133:L133)=3,COUNT('Status'!$E$6:$G$6)=3,'Status'!$E$6&gt;'Status'!$F$6,'Status'!$F$6&gt;'Status'!$G$6,'Status'!$G$6&gt;0),('Status'!$F$6*L133-'Status'!$G$6*K133)/('Status'!$F$6-'Status'!$G$6),"")</x:f>
      </x:c>
      <x:c r="Q133" s="20"/>
      <x:c r="R133" s="13" t="str">
        <x:f>IF(COUNTA($A133)=0,"",IF('Status'!$B$6="MPS 1",IF(ISNUMBER(C133),C133,""),IF('Status'!$B$6="MPS 2",IF(ISNUMBER(D133),D133,""),IF('Status'!$B$6="MPS 3",IF(ISNUMBER(E133),E133,""),IF('Status'!$B$6="MPS extrap",IF(ISNUMBER(I133),I133,""),IF('Status'!$B$6="PPS 1",IF(ISNUMBER(J133),J133,""),IF('Status'!$B$6="PPS 2",IF(ISNUMBER(K133),K133,""),IF('Status'!$B$6="PPS 3",IF(ISNUMBER(L133),L133,""),IF('Status'!$B$6="PPS extrap",IF(ISNUMBER(P133),P133,""),IF('Status'!$B$6="Calibrated",IF(ISNUMBER(Q133),Q133,""),""))))))))))</x:f>
      </x:c>
      <x:c r="S133" s="2" t="str">
        <x:f>IF(COUNTA(A133)=0,"",IF(COUNTIFS('Estimates'!$A$5:$A$2004,A133,'Estimates'!$B$5:$B$2004,"MPS",'Estimates'!$H$5:$H$2004,1)+COUNTIFS('Estimates'!$A$5:$A$2004,A133,'Estimates'!$B$5:$B$2004,"PPS",'Estimates'!$H$5:$H$2004,1)&gt;0,1,0))</x:f>
      </x:c>
      <x:c r="T133" s="2" t="str">
        <x:f>IF(COUNTA(A133)=0,"",IF(COUNTIFS($A$6:$A$165,A133)&gt;1,"Duplicate target",IF(COUNTIFS(C133:E133,"DUP")+COUNTIFS(J133:L133,"DUP")&gt;0,"Duplicate accepted run",IF(COUNTIFS('Estimates'!$A$5:$A$2004,A133,'Estimates'!$H$5:$H$2004,1)-COUNTIFS('Estimates'!$A$5:$A$2004,A133,'Estimates'!$H$5:$H$2004,1,'Estimates'!$F$5:$F$2004,"&lt;&gt;")&gt;0,"Accepted value missing",""))))</x:f>
      </x:c>
    </x:row>
    <x:row r="134">
      <x:c r="A134" s="21"/>
      <x:c r="B134" s="19"/>
      <x:c r="C134" s="13" t="str">
        <x:f>IF(OR(COUNTA($A134)=0,NOT(ISNUMBER('Status'!$E$5))),"",IF(COUNTIFS('Estimates'!$A$5:$A$2004,$A134,'Estimates'!$B$5:$B$2004,"MPS",'Estimates'!$C$5:$C$2004,'Status'!$E$5,'Estimates'!$H$5:$H$2004,1)=0,"",IF(COUNTIFS('Estimates'!$A$5:$A$2004,$A134,'Estimates'!$B$5:$B$2004,"MPS",'Estimates'!$C$5:$C$2004,'Status'!$E$5,'Estimates'!$H$5:$H$2004,1)&gt;1,"DUP",IF(COUNTIFS('Estimates'!$A$5:$A$2004,$A134,'Estimates'!$B$5:$B$2004,"MPS",'Estimates'!$C$5:$C$2004,'Status'!$E$5,'Estimates'!$H$5:$H$2004,1,'Estimates'!$F$5:$F$2004,"&lt;&gt;")=0,"",SUMIFS('Estimates'!$F$5:$F$2004,'Estimates'!$A$5:$A$2004,$A134,'Estimates'!$B$5:$B$2004,"MPS",'Estimates'!$C$5:$C$2004,'Status'!$E$5,'Estimates'!$H$5:$H$2004,1)))))</x:f>
      </x:c>
      <x:c r="D134" s="13" t="str">
        <x:f>IF(OR(COUNTA($A134)=0,NOT(ISNUMBER('Status'!$F$5))),"",IF(COUNTIFS('Estimates'!$A$5:$A$2004,$A134,'Estimates'!$B$5:$B$2004,"MPS",'Estimates'!$C$5:$C$2004,'Status'!$F$5,'Estimates'!$H$5:$H$2004,1)=0,"",IF(COUNTIFS('Estimates'!$A$5:$A$2004,$A134,'Estimates'!$B$5:$B$2004,"MPS",'Estimates'!$C$5:$C$2004,'Status'!$F$5,'Estimates'!$H$5:$H$2004,1)&gt;1,"DUP",IF(COUNTIFS('Estimates'!$A$5:$A$2004,$A134,'Estimates'!$B$5:$B$2004,"MPS",'Estimates'!$C$5:$C$2004,'Status'!$F$5,'Estimates'!$H$5:$H$2004,1,'Estimates'!$F$5:$F$2004,"&lt;&gt;")=0,"",SUMIFS('Estimates'!$F$5:$F$2004,'Estimates'!$A$5:$A$2004,$A134,'Estimates'!$B$5:$B$2004,"MPS",'Estimates'!$C$5:$C$2004,'Status'!$F$5,'Estimates'!$H$5:$H$2004,1)))))</x:f>
      </x:c>
      <x:c r="E134" s="13" t="str">
        <x:f>IF(OR(COUNTA($A134)=0,NOT(ISNUMBER('Status'!$G$5))),"",IF(COUNTIFS('Estimates'!$A$5:$A$2004,$A134,'Estimates'!$B$5:$B$2004,"MPS",'Estimates'!$C$5:$C$2004,'Status'!$G$5,'Estimates'!$H$5:$H$2004,1)=0,"",IF(COUNTIFS('Estimates'!$A$5:$A$2004,$A134,'Estimates'!$B$5:$B$2004,"MPS",'Estimates'!$C$5:$C$2004,'Status'!$G$5,'Estimates'!$H$5:$H$2004,1)&gt;1,"DUP",IF(COUNTIFS('Estimates'!$A$5:$A$2004,$A134,'Estimates'!$B$5:$B$2004,"MPS",'Estimates'!$C$5:$C$2004,'Status'!$G$5,'Estimates'!$H$5:$H$2004,1,'Estimates'!$F$5:$F$2004,"&lt;&gt;")=0,"",SUMIFS('Estimates'!$F$5:$F$2004,'Estimates'!$A$5:$A$2004,$A134,'Estimates'!$B$5:$B$2004,"MPS",'Estimates'!$C$5:$C$2004,'Status'!$G$5,'Estimates'!$H$5:$H$2004,1)))))</x:f>
      </x:c>
      <x:c r="F134" s="13" t="str">
        <x:f>IF(AND(ISNUMBER(C134),ISNUMBER(D134)),D134-C134,"")</x:f>
      </x:c>
      <x:c r="G134" s="13" t="str">
        <x:f>IF(AND(ISNUMBER(D134),ISNUMBER(E134)),E134-D134,"")</x:f>
      </x:c>
      <x:c r="H134" s="13" t="str">
        <x:f>IF(AND(COUNT(C134:E134)=3,COUNT('Status'!$E$5:$G$5)=3,'Status'!$E$5&gt;0,'Status'!$E$5&lt;'Status'!$F$5,'Status'!$F$5&lt;'Status'!$G$5),ABS(E134-(D134+(D134-C134)*((1/'Status'!$G$5)-(1/'Status'!$F$5))/((1/'Status'!$F$5)-(1/'Status'!$E$5)))),"")</x:f>
      </x:c>
      <x:c r="I134" s="13" t="str">
        <x:f>IF(AND(COUNT(C134:E134)=3,COUNT('Status'!$E$5:$G$5)=3,'Status'!$E$5&gt;0,'Status'!$E$5&lt;'Status'!$F$5,'Status'!$F$5&lt;'Status'!$G$5),((1/'Status'!$F$5)*E134-(1/'Status'!$G$5)*D134)/((1/'Status'!$F$5)-(1/'Status'!$G$5)),"")</x:f>
      </x:c>
      <x:c r="J134" s="13" t="str">
        <x:f>IF(OR(COUNTA($A134)=0,NOT(ISNUMBER('Status'!$E$6))),"",IF(COUNTIFS('Estimates'!$A$5:$A$2004,$A134,'Estimates'!$B$5:$B$2004,"PPS",'Estimates'!$D$5:$D$2004,'Status'!$E$6,'Estimates'!$H$5:$H$2004,1,'Estimates'!$E$5:$E$2004,'Status'!$E$7)=0,"",IF(COUNTIFS('Estimates'!$A$5:$A$2004,$A134,'Estimates'!$B$5:$B$2004,"PPS",'Estimates'!$D$5:$D$2004,'Status'!$E$6,'Estimates'!$H$5:$H$2004,1,'Estimates'!$E$5:$E$2004,'Status'!$E$7)&gt;1,"DUP",IF(COUNTIFS('Estimates'!$A$5:$A$2004,$A134,'Estimates'!$B$5:$B$2004,"PPS",'Estimates'!$D$5:$D$2004,'Status'!$E$6,'Estimates'!$H$5:$H$2004,1,'Estimates'!$E$5:$E$2004,'Status'!$E$7,'Estimates'!$F$5:$F$2004,"&lt;&gt;")=0,"",SUMIFS('Estimates'!$F$5:$F$2004,'Estimates'!$A$5:$A$2004,$A134,'Estimates'!$B$5:$B$2004,"PPS",'Estimates'!$D$5:$D$2004,'Status'!$E$6,'Estimates'!$H$5:$H$2004,1,'Estimates'!$E$5:$E$2004,'Status'!$E$7)))))</x:f>
      </x:c>
      <x:c r="K134" s="13" t="str">
        <x:f>IF(OR(COUNTA($A134)=0,NOT(ISNUMBER('Status'!$F$6))),"",IF(COUNTIFS('Estimates'!$A$5:$A$2004,$A134,'Estimates'!$B$5:$B$2004,"PPS",'Estimates'!$D$5:$D$2004,'Status'!$F$6,'Estimates'!$H$5:$H$2004,1,'Estimates'!$E$5:$E$2004,'Status'!$E$7)=0,"",IF(COUNTIFS('Estimates'!$A$5:$A$2004,$A134,'Estimates'!$B$5:$B$2004,"PPS",'Estimates'!$D$5:$D$2004,'Status'!$F$6,'Estimates'!$H$5:$H$2004,1,'Estimates'!$E$5:$E$2004,'Status'!$E$7)&gt;1,"DUP",IF(COUNTIFS('Estimates'!$A$5:$A$2004,$A134,'Estimates'!$B$5:$B$2004,"PPS",'Estimates'!$D$5:$D$2004,'Status'!$F$6,'Estimates'!$H$5:$H$2004,1,'Estimates'!$E$5:$E$2004,'Status'!$E$7,'Estimates'!$F$5:$F$2004,"&lt;&gt;")=0,"",SUMIFS('Estimates'!$F$5:$F$2004,'Estimates'!$A$5:$A$2004,$A134,'Estimates'!$B$5:$B$2004,"PPS",'Estimates'!$D$5:$D$2004,'Status'!$F$6,'Estimates'!$H$5:$H$2004,1,'Estimates'!$E$5:$E$2004,'Status'!$E$7)))))</x:f>
      </x:c>
      <x:c r="L134" s="13" t="str">
        <x:f>IF(OR(COUNTA($A134)=0,NOT(ISNUMBER('Status'!$G$6))),"",IF(COUNTIFS('Estimates'!$A$5:$A$2004,$A134,'Estimates'!$B$5:$B$2004,"PPS",'Estimates'!$D$5:$D$2004,'Status'!$G$6,'Estimates'!$H$5:$H$2004,1,'Estimates'!$E$5:$E$2004,'Status'!$E$7)=0,"",IF(COUNTIFS('Estimates'!$A$5:$A$2004,$A134,'Estimates'!$B$5:$B$2004,"PPS",'Estimates'!$D$5:$D$2004,'Status'!$G$6,'Estimates'!$H$5:$H$2004,1,'Estimates'!$E$5:$E$2004,'Status'!$E$7)&gt;1,"DUP",IF(COUNTIFS('Estimates'!$A$5:$A$2004,$A134,'Estimates'!$B$5:$B$2004,"PPS",'Estimates'!$D$5:$D$2004,'Status'!$G$6,'Estimates'!$H$5:$H$2004,1,'Estimates'!$E$5:$E$2004,'Status'!$E$7,'Estimates'!$F$5:$F$2004,"&lt;&gt;")=0,"",SUMIFS('Estimates'!$F$5:$F$2004,'Estimates'!$A$5:$A$2004,$A134,'Estimates'!$B$5:$B$2004,"PPS",'Estimates'!$D$5:$D$2004,'Status'!$G$6,'Estimates'!$H$5:$H$2004,1,'Estimates'!$E$5:$E$2004,'Status'!$E$7)))))</x:f>
      </x:c>
      <x:c r="M134" s="13" t="str">
        <x:f>IF(AND(ISNUMBER(J134),ISNUMBER(K134)),K134-J134,"")</x:f>
      </x:c>
      <x:c r="N134" s="13" t="str">
        <x:f>IF(AND(ISNUMBER(K134),ISNUMBER(L134)),L134-K134,"")</x:f>
      </x:c>
      <x:c r="O134" s="13" t="str">
        <x:f>IF(AND(COUNT(J134:L134)=3,COUNT('Status'!$E$6:$G$6)=3,'Status'!$E$6&gt;'Status'!$F$6,'Status'!$F$6&gt;'Status'!$G$6,'Status'!$G$6&gt;0),ABS(L134-(K134+(K134-J134)*('Status'!$G$6-'Status'!$F$6)/('Status'!$F$6-'Status'!$E$6))),"")</x:f>
      </x:c>
      <x:c r="P134" s="13" t="str">
        <x:f>IF(AND(COUNT(J134:L134)=3,COUNT('Status'!$E$6:$G$6)=3,'Status'!$E$6&gt;'Status'!$F$6,'Status'!$F$6&gt;'Status'!$G$6,'Status'!$G$6&gt;0),('Status'!$F$6*L134-'Status'!$G$6*K134)/('Status'!$F$6-'Status'!$G$6),"")</x:f>
      </x:c>
      <x:c r="Q134" s="20"/>
      <x:c r="R134" s="13" t="str">
        <x:f>IF(COUNTA($A134)=0,"",IF('Status'!$B$6="MPS 1",IF(ISNUMBER(C134),C134,""),IF('Status'!$B$6="MPS 2",IF(ISNUMBER(D134),D134,""),IF('Status'!$B$6="MPS 3",IF(ISNUMBER(E134),E134,""),IF('Status'!$B$6="MPS extrap",IF(ISNUMBER(I134),I134,""),IF('Status'!$B$6="PPS 1",IF(ISNUMBER(J134),J134,""),IF('Status'!$B$6="PPS 2",IF(ISNUMBER(K134),K134,""),IF('Status'!$B$6="PPS 3",IF(ISNUMBER(L134),L134,""),IF('Status'!$B$6="PPS extrap",IF(ISNUMBER(P134),P134,""),IF('Status'!$B$6="Calibrated",IF(ISNUMBER(Q134),Q134,""),""))))))))))</x:f>
      </x:c>
      <x:c r="S134" s="2" t="str">
        <x:f>IF(COUNTA(A134)=0,"",IF(COUNTIFS('Estimates'!$A$5:$A$2004,A134,'Estimates'!$B$5:$B$2004,"MPS",'Estimates'!$H$5:$H$2004,1)+COUNTIFS('Estimates'!$A$5:$A$2004,A134,'Estimates'!$B$5:$B$2004,"PPS",'Estimates'!$H$5:$H$2004,1)&gt;0,1,0))</x:f>
      </x:c>
      <x:c r="T134" s="2" t="str">
        <x:f>IF(COUNTA(A134)=0,"",IF(COUNTIFS($A$6:$A$165,A134)&gt;1,"Duplicate target",IF(COUNTIFS(C134:E134,"DUP")+COUNTIFS(J134:L134,"DUP")&gt;0,"Duplicate accepted run",IF(COUNTIFS('Estimates'!$A$5:$A$2004,A134,'Estimates'!$H$5:$H$2004,1)-COUNTIFS('Estimates'!$A$5:$A$2004,A134,'Estimates'!$H$5:$H$2004,1,'Estimates'!$F$5:$F$2004,"&lt;&gt;")&gt;0,"Accepted value missing",""))))</x:f>
      </x:c>
    </x:row>
    <x:row r="135">
      <x:c r="A135" s="21"/>
      <x:c r="B135" s="19"/>
      <x:c r="C135" s="13" t="str">
        <x:f>IF(OR(COUNTA($A135)=0,NOT(ISNUMBER('Status'!$E$5))),"",IF(COUNTIFS('Estimates'!$A$5:$A$2004,$A135,'Estimates'!$B$5:$B$2004,"MPS",'Estimates'!$C$5:$C$2004,'Status'!$E$5,'Estimates'!$H$5:$H$2004,1)=0,"",IF(COUNTIFS('Estimates'!$A$5:$A$2004,$A135,'Estimates'!$B$5:$B$2004,"MPS",'Estimates'!$C$5:$C$2004,'Status'!$E$5,'Estimates'!$H$5:$H$2004,1)&gt;1,"DUP",IF(COUNTIFS('Estimates'!$A$5:$A$2004,$A135,'Estimates'!$B$5:$B$2004,"MPS",'Estimates'!$C$5:$C$2004,'Status'!$E$5,'Estimates'!$H$5:$H$2004,1,'Estimates'!$F$5:$F$2004,"&lt;&gt;")=0,"",SUMIFS('Estimates'!$F$5:$F$2004,'Estimates'!$A$5:$A$2004,$A135,'Estimates'!$B$5:$B$2004,"MPS",'Estimates'!$C$5:$C$2004,'Status'!$E$5,'Estimates'!$H$5:$H$2004,1)))))</x:f>
      </x:c>
      <x:c r="D135" s="13" t="str">
        <x:f>IF(OR(COUNTA($A135)=0,NOT(ISNUMBER('Status'!$F$5))),"",IF(COUNTIFS('Estimates'!$A$5:$A$2004,$A135,'Estimates'!$B$5:$B$2004,"MPS",'Estimates'!$C$5:$C$2004,'Status'!$F$5,'Estimates'!$H$5:$H$2004,1)=0,"",IF(COUNTIFS('Estimates'!$A$5:$A$2004,$A135,'Estimates'!$B$5:$B$2004,"MPS",'Estimates'!$C$5:$C$2004,'Status'!$F$5,'Estimates'!$H$5:$H$2004,1)&gt;1,"DUP",IF(COUNTIFS('Estimates'!$A$5:$A$2004,$A135,'Estimates'!$B$5:$B$2004,"MPS",'Estimates'!$C$5:$C$2004,'Status'!$F$5,'Estimates'!$H$5:$H$2004,1,'Estimates'!$F$5:$F$2004,"&lt;&gt;")=0,"",SUMIFS('Estimates'!$F$5:$F$2004,'Estimates'!$A$5:$A$2004,$A135,'Estimates'!$B$5:$B$2004,"MPS",'Estimates'!$C$5:$C$2004,'Status'!$F$5,'Estimates'!$H$5:$H$2004,1)))))</x:f>
      </x:c>
      <x:c r="E135" s="13" t="str">
        <x:f>IF(OR(COUNTA($A135)=0,NOT(ISNUMBER('Status'!$G$5))),"",IF(COUNTIFS('Estimates'!$A$5:$A$2004,$A135,'Estimates'!$B$5:$B$2004,"MPS",'Estimates'!$C$5:$C$2004,'Status'!$G$5,'Estimates'!$H$5:$H$2004,1)=0,"",IF(COUNTIFS('Estimates'!$A$5:$A$2004,$A135,'Estimates'!$B$5:$B$2004,"MPS",'Estimates'!$C$5:$C$2004,'Status'!$G$5,'Estimates'!$H$5:$H$2004,1)&gt;1,"DUP",IF(COUNTIFS('Estimates'!$A$5:$A$2004,$A135,'Estimates'!$B$5:$B$2004,"MPS",'Estimates'!$C$5:$C$2004,'Status'!$G$5,'Estimates'!$H$5:$H$2004,1,'Estimates'!$F$5:$F$2004,"&lt;&gt;")=0,"",SUMIFS('Estimates'!$F$5:$F$2004,'Estimates'!$A$5:$A$2004,$A135,'Estimates'!$B$5:$B$2004,"MPS",'Estimates'!$C$5:$C$2004,'Status'!$G$5,'Estimates'!$H$5:$H$2004,1)))))</x:f>
      </x:c>
      <x:c r="F135" s="13" t="str">
        <x:f>IF(AND(ISNUMBER(C135),ISNUMBER(D135)),D135-C135,"")</x:f>
      </x:c>
      <x:c r="G135" s="13" t="str">
        <x:f>IF(AND(ISNUMBER(D135),ISNUMBER(E135)),E135-D135,"")</x:f>
      </x:c>
      <x:c r="H135" s="13" t="str">
        <x:f>IF(AND(COUNT(C135:E135)=3,COUNT('Status'!$E$5:$G$5)=3,'Status'!$E$5&gt;0,'Status'!$E$5&lt;'Status'!$F$5,'Status'!$F$5&lt;'Status'!$G$5),ABS(E135-(D135+(D135-C135)*((1/'Status'!$G$5)-(1/'Status'!$F$5))/((1/'Status'!$F$5)-(1/'Status'!$E$5)))),"")</x:f>
      </x:c>
      <x:c r="I135" s="13" t="str">
        <x:f>IF(AND(COUNT(C135:E135)=3,COUNT('Status'!$E$5:$G$5)=3,'Status'!$E$5&gt;0,'Status'!$E$5&lt;'Status'!$F$5,'Status'!$F$5&lt;'Status'!$G$5),((1/'Status'!$F$5)*E135-(1/'Status'!$G$5)*D135)/((1/'Status'!$F$5)-(1/'Status'!$G$5)),"")</x:f>
      </x:c>
      <x:c r="J135" s="13" t="str">
        <x:f>IF(OR(COUNTA($A135)=0,NOT(ISNUMBER('Status'!$E$6))),"",IF(COUNTIFS('Estimates'!$A$5:$A$2004,$A135,'Estimates'!$B$5:$B$2004,"PPS",'Estimates'!$D$5:$D$2004,'Status'!$E$6,'Estimates'!$H$5:$H$2004,1,'Estimates'!$E$5:$E$2004,'Status'!$E$7)=0,"",IF(COUNTIFS('Estimates'!$A$5:$A$2004,$A135,'Estimates'!$B$5:$B$2004,"PPS",'Estimates'!$D$5:$D$2004,'Status'!$E$6,'Estimates'!$H$5:$H$2004,1,'Estimates'!$E$5:$E$2004,'Status'!$E$7)&gt;1,"DUP",IF(COUNTIFS('Estimates'!$A$5:$A$2004,$A135,'Estimates'!$B$5:$B$2004,"PPS",'Estimates'!$D$5:$D$2004,'Status'!$E$6,'Estimates'!$H$5:$H$2004,1,'Estimates'!$E$5:$E$2004,'Status'!$E$7,'Estimates'!$F$5:$F$2004,"&lt;&gt;")=0,"",SUMIFS('Estimates'!$F$5:$F$2004,'Estimates'!$A$5:$A$2004,$A135,'Estimates'!$B$5:$B$2004,"PPS",'Estimates'!$D$5:$D$2004,'Status'!$E$6,'Estimates'!$H$5:$H$2004,1,'Estimates'!$E$5:$E$2004,'Status'!$E$7)))))</x:f>
      </x:c>
      <x:c r="K135" s="13" t="str">
        <x:f>IF(OR(COUNTA($A135)=0,NOT(ISNUMBER('Status'!$F$6))),"",IF(COUNTIFS('Estimates'!$A$5:$A$2004,$A135,'Estimates'!$B$5:$B$2004,"PPS",'Estimates'!$D$5:$D$2004,'Status'!$F$6,'Estimates'!$H$5:$H$2004,1,'Estimates'!$E$5:$E$2004,'Status'!$E$7)=0,"",IF(COUNTIFS('Estimates'!$A$5:$A$2004,$A135,'Estimates'!$B$5:$B$2004,"PPS",'Estimates'!$D$5:$D$2004,'Status'!$F$6,'Estimates'!$H$5:$H$2004,1,'Estimates'!$E$5:$E$2004,'Status'!$E$7)&gt;1,"DUP",IF(COUNTIFS('Estimates'!$A$5:$A$2004,$A135,'Estimates'!$B$5:$B$2004,"PPS",'Estimates'!$D$5:$D$2004,'Status'!$F$6,'Estimates'!$H$5:$H$2004,1,'Estimates'!$E$5:$E$2004,'Status'!$E$7,'Estimates'!$F$5:$F$2004,"&lt;&gt;")=0,"",SUMIFS('Estimates'!$F$5:$F$2004,'Estimates'!$A$5:$A$2004,$A135,'Estimates'!$B$5:$B$2004,"PPS",'Estimates'!$D$5:$D$2004,'Status'!$F$6,'Estimates'!$H$5:$H$2004,1,'Estimates'!$E$5:$E$2004,'Status'!$E$7)))))</x:f>
      </x:c>
      <x:c r="L135" s="13" t="str">
        <x:f>IF(OR(COUNTA($A135)=0,NOT(ISNUMBER('Status'!$G$6))),"",IF(COUNTIFS('Estimates'!$A$5:$A$2004,$A135,'Estimates'!$B$5:$B$2004,"PPS",'Estimates'!$D$5:$D$2004,'Status'!$G$6,'Estimates'!$H$5:$H$2004,1,'Estimates'!$E$5:$E$2004,'Status'!$E$7)=0,"",IF(COUNTIFS('Estimates'!$A$5:$A$2004,$A135,'Estimates'!$B$5:$B$2004,"PPS",'Estimates'!$D$5:$D$2004,'Status'!$G$6,'Estimates'!$H$5:$H$2004,1,'Estimates'!$E$5:$E$2004,'Status'!$E$7)&gt;1,"DUP",IF(COUNTIFS('Estimates'!$A$5:$A$2004,$A135,'Estimates'!$B$5:$B$2004,"PPS",'Estimates'!$D$5:$D$2004,'Status'!$G$6,'Estimates'!$H$5:$H$2004,1,'Estimates'!$E$5:$E$2004,'Status'!$E$7,'Estimates'!$F$5:$F$2004,"&lt;&gt;")=0,"",SUMIFS('Estimates'!$F$5:$F$2004,'Estimates'!$A$5:$A$2004,$A135,'Estimates'!$B$5:$B$2004,"PPS",'Estimates'!$D$5:$D$2004,'Status'!$G$6,'Estimates'!$H$5:$H$2004,1,'Estimates'!$E$5:$E$2004,'Status'!$E$7)))))</x:f>
      </x:c>
      <x:c r="M135" s="13" t="str">
        <x:f>IF(AND(ISNUMBER(J135),ISNUMBER(K135)),K135-J135,"")</x:f>
      </x:c>
      <x:c r="N135" s="13" t="str">
        <x:f>IF(AND(ISNUMBER(K135),ISNUMBER(L135)),L135-K135,"")</x:f>
      </x:c>
      <x:c r="O135" s="13" t="str">
        <x:f>IF(AND(COUNT(J135:L135)=3,COUNT('Status'!$E$6:$G$6)=3,'Status'!$E$6&gt;'Status'!$F$6,'Status'!$F$6&gt;'Status'!$G$6,'Status'!$G$6&gt;0),ABS(L135-(K135+(K135-J135)*('Status'!$G$6-'Status'!$F$6)/('Status'!$F$6-'Status'!$E$6))),"")</x:f>
      </x:c>
      <x:c r="P135" s="13" t="str">
        <x:f>IF(AND(COUNT(J135:L135)=3,COUNT('Status'!$E$6:$G$6)=3,'Status'!$E$6&gt;'Status'!$F$6,'Status'!$F$6&gt;'Status'!$G$6,'Status'!$G$6&gt;0),('Status'!$F$6*L135-'Status'!$G$6*K135)/('Status'!$F$6-'Status'!$G$6),"")</x:f>
      </x:c>
      <x:c r="Q135" s="20"/>
      <x:c r="R135" s="13" t="str">
        <x:f>IF(COUNTA($A135)=0,"",IF('Status'!$B$6="MPS 1",IF(ISNUMBER(C135),C135,""),IF('Status'!$B$6="MPS 2",IF(ISNUMBER(D135),D135,""),IF('Status'!$B$6="MPS 3",IF(ISNUMBER(E135),E135,""),IF('Status'!$B$6="MPS extrap",IF(ISNUMBER(I135),I135,""),IF('Status'!$B$6="PPS 1",IF(ISNUMBER(J135),J135,""),IF('Status'!$B$6="PPS 2",IF(ISNUMBER(K135),K135,""),IF('Status'!$B$6="PPS 3",IF(ISNUMBER(L135),L135,""),IF('Status'!$B$6="PPS extrap",IF(ISNUMBER(P135),P135,""),IF('Status'!$B$6="Calibrated",IF(ISNUMBER(Q135),Q135,""),""))))))))))</x:f>
      </x:c>
      <x:c r="S135" s="2" t="str">
        <x:f>IF(COUNTA(A135)=0,"",IF(COUNTIFS('Estimates'!$A$5:$A$2004,A135,'Estimates'!$B$5:$B$2004,"MPS",'Estimates'!$H$5:$H$2004,1)+COUNTIFS('Estimates'!$A$5:$A$2004,A135,'Estimates'!$B$5:$B$2004,"PPS",'Estimates'!$H$5:$H$2004,1)&gt;0,1,0))</x:f>
      </x:c>
      <x:c r="T135" s="2" t="str">
        <x:f>IF(COUNTA(A135)=0,"",IF(COUNTIFS($A$6:$A$165,A135)&gt;1,"Duplicate target",IF(COUNTIFS(C135:E135,"DUP")+COUNTIFS(J135:L135,"DUP")&gt;0,"Duplicate accepted run",IF(COUNTIFS('Estimates'!$A$5:$A$2004,A135,'Estimates'!$H$5:$H$2004,1)-COUNTIFS('Estimates'!$A$5:$A$2004,A135,'Estimates'!$H$5:$H$2004,1,'Estimates'!$F$5:$F$2004,"&lt;&gt;")&gt;0,"Accepted value missing",""))))</x:f>
      </x:c>
    </x:row>
    <x:row r="136">
      <x:c r="A136" s="21"/>
      <x:c r="B136" s="19"/>
      <x:c r="C136" s="13" t="str">
        <x:f>IF(OR(COUNTA($A136)=0,NOT(ISNUMBER('Status'!$E$5))),"",IF(COUNTIFS('Estimates'!$A$5:$A$2004,$A136,'Estimates'!$B$5:$B$2004,"MPS",'Estimates'!$C$5:$C$2004,'Status'!$E$5,'Estimates'!$H$5:$H$2004,1)=0,"",IF(COUNTIFS('Estimates'!$A$5:$A$2004,$A136,'Estimates'!$B$5:$B$2004,"MPS",'Estimates'!$C$5:$C$2004,'Status'!$E$5,'Estimates'!$H$5:$H$2004,1)&gt;1,"DUP",IF(COUNTIFS('Estimates'!$A$5:$A$2004,$A136,'Estimates'!$B$5:$B$2004,"MPS",'Estimates'!$C$5:$C$2004,'Status'!$E$5,'Estimates'!$H$5:$H$2004,1,'Estimates'!$F$5:$F$2004,"&lt;&gt;")=0,"",SUMIFS('Estimates'!$F$5:$F$2004,'Estimates'!$A$5:$A$2004,$A136,'Estimates'!$B$5:$B$2004,"MPS",'Estimates'!$C$5:$C$2004,'Status'!$E$5,'Estimates'!$H$5:$H$2004,1)))))</x:f>
      </x:c>
      <x:c r="D136" s="13" t="str">
        <x:f>IF(OR(COUNTA($A136)=0,NOT(ISNUMBER('Status'!$F$5))),"",IF(COUNTIFS('Estimates'!$A$5:$A$2004,$A136,'Estimates'!$B$5:$B$2004,"MPS",'Estimates'!$C$5:$C$2004,'Status'!$F$5,'Estimates'!$H$5:$H$2004,1)=0,"",IF(COUNTIFS('Estimates'!$A$5:$A$2004,$A136,'Estimates'!$B$5:$B$2004,"MPS",'Estimates'!$C$5:$C$2004,'Status'!$F$5,'Estimates'!$H$5:$H$2004,1)&gt;1,"DUP",IF(COUNTIFS('Estimates'!$A$5:$A$2004,$A136,'Estimates'!$B$5:$B$2004,"MPS",'Estimates'!$C$5:$C$2004,'Status'!$F$5,'Estimates'!$H$5:$H$2004,1,'Estimates'!$F$5:$F$2004,"&lt;&gt;")=0,"",SUMIFS('Estimates'!$F$5:$F$2004,'Estimates'!$A$5:$A$2004,$A136,'Estimates'!$B$5:$B$2004,"MPS",'Estimates'!$C$5:$C$2004,'Status'!$F$5,'Estimates'!$H$5:$H$2004,1)))))</x:f>
      </x:c>
      <x:c r="E136" s="13" t="str">
        <x:f>IF(OR(COUNTA($A136)=0,NOT(ISNUMBER('Status'!$G$5))),"",IF(COUNTIFS('Estimates'!$A$5:$A$2004,$A136,'Estimates'!$B$5:$B$2004,"MPS",'Estimates'!$C$5:$C$2004,'Status'!$G$5,'Estimates'!$H$5:$H$2004,1)=0,"",IF(COUNTIFS('Estimates'!$A$5:$A$2004,$A136,'Estimates'!$B$5:$B$2004,"MPS",'Estimates'!$C$5:$C$2004,'Status'!$G$5,'Estimates'!$H$5:$H$2004,1)&gt;1,"DUP",IF(COUNTIFS('Estimates'!$A$5:$A$2004,$A136,'Estimates'!$B$5:$B$2004,"MPS",'Estimates'!$C$5:$C$2004,'Status'!$G$5,'Estimates'!$H$5:$H$2004,1,'Estimates'!$F$5:$F$2004,"&lt;&gt;")=0,"",SUMIFS('Estimates'!$F$5:$F$2004,'Estimates'!$A$5:$A$2004,$A136,'Estimates'!$B$5:$B$2004,"MPS",'Estimates'!$C$5:$C$2004,'Status'!$G$5,'Estimates'!$H$5:$H$2004,1)))))</x:f>
      </x:c>
      <x:c r="F136" s="13" t="str">
        <x:f>IF(AND(ISNUMBER(C136),ISNUMBER(D136)),D136-C136,"")</x:f>
      </x:c>
      <x:c r="G136" s="13" t="str">
        <x:f>IF(AND(ISNUMBER(D136),ISNUMBER(E136)),E136-D136,"")</x:f>
      </x:c>
      <x:c r="H136" s="13" t="str">
        <x:f>IF(AND(COUNT(C136:E136)=3,COUNT('Status'!$E$5:$G$5)=3,'Status'!$E$5&gt;0,'Status'!$E$5&lt;'Status'!$F$5,'Status'!$F$5&lt;'Status'!$G$5),ABS(E136-(D136+(D136-C136)*((1/'Status'!$G$5)-(1/'Status'!$F$5))/((1/'Status'!$F$5)-(1/'Status'!$E$5)))),"")</x:f>
      </x:c>
      <x:c r="I136" s="13" t="str">
        <x:f>IF(AND(COUNT(C136:E136)=3,COUNT('Status'!$E$5:$G$5)=3,'Status'!$E$5&gt;0,'Status'!$E$5&lt;'Status'!$F$5,'Status'!$F$5&lt;'Status'!$G$5),((1/'Status'!$F$5)*E136-(1/'Status'!$G$5)*D136)/((1/'Status'!$F$5)-(1/'Status'!$G$5)),"")</x:f>
      </x:c>
      <x:c r="J136" s="13" t="str">
        <x:f>IF(OR(COUNTA($A136)=0,NOT(ISNUMBER('Status'!$E$6))),"",IF(COUNTIFS('Estimates'!$A$5:$A$2004,$A136,'Estimates'!$B$5:$B$2004,"PPS",'Estimates'!$D$5:$D$2004,'Status'!$E$6,'Estimates'!$H$5:$H$2004,1,'Estimates'!$E$5:$E$2004,'Status'!$E$7)=0,"",IF(COUNTIFS('Estimates'!$A$5:$A$2004,$A136,'Estimates'!$B$5:$B$2004,"PPS",'Estimates'!$D$5:$D$2004,'Status'!$E$6,'Estimates'!$H$5:$H$2004,1,'Estimates'!$E$5:$E$2004,'Status'!$E$7)&gt;1,"DUP",IF(COUNTIFS('Estimates'!$A$5:$A$2004,$A136,'Estimates'!$B$5:$B$2004,"PPS",'Estimates'!$D$5:$D$2004,'Status'!$E$6,'Estimates'!$H$5:$H$2004,1,'Estimates'!$E$5:$E$2004,'Status'!$E$7,'Estimates'!$F$5:$F$2004,"&lt;&gt;")=0,"",SUMIFS('Estimates'!$F$5:$F$2004,'Estimates'!$A$5:$A$2004,$A136,'Estimates'!$B$5:$B$2004,"PPS",'Estimates'!$D$5:$D$2004,'Status'!$E$6,'Estimates'!$H$5:$H$2004,1,'Estimates'!$E$5:$E$2004,'Status'!$E$7)))))</x:f>
      </x:c>
      <x:c r="K136" s="13" t="str">
        <x:f>IF(OR(COUNTA($A136)=0,NOT(ISNUMBER('Status'!$F$6))),"",IF(COUNTIFS('Estimates'!$A$5:$A$2004,$A136,'Estimates'!$B$5:$B$2004,"PPS",'Estimates'!$D$5:$D$2004,'Status'!$F$6,'Estimates'!$H$5:$H$2004,1,'Estimates'!$E$5:$E$2004,'Status'!$E$7)=0,"",IF(COUNTIFS('Estimates'!$A$5:$A$2004,$A136,'Estimates'!$B$5:$B$2004,"PPS",'Estimates'!$D$5:$D$2004,'Status'!$F$6,'Estimates'!$H$5:$H$2004,1,'Estimates'!$E$5:$E$2004,'Status'!$E$7)&gt;1,"DUP",IF(COUNTIFS('Estimates'!$A$5:$A$2004,$A136,'Estimates'!$B$5:$B$2004,"PPS",'Estimates'!$D$5:$D$2004,'Status'!$F$6,'Estimates'!$H$5:$H$2004,1,'Estimates'!$E$5:$E$2004,'Status'!$E$7,'Estimates'!$F$5:$F$2004,"&lt;&gt;")=0,"",SUMIFS('Estimates'!$F$5:$F$2004,'Estimates'!$A$5:$A$2004,$A136,'Estimates'!$B$5:$B$2004,"PPS",'Estimates'!$D$5:$D$2004,'Status'!$F$6,'Estimates'!$H$5:$H$2004,1,'Estimates'!$E$5:$E$2004,'Status'!$E$7)))))</x:f>
      </x:c>
      <x:c r="L136" s="13" t="str">
        <x:f>IF(OR(COUNTA($A136)=0,NOT(ISNUMBER('Status'!$G$6))),"",IF(COUNTIFS('Estimates'!$A$5:$A$2004,$A136,'Estimates'!$B$5:$B$2004,"PPS",'Estimates'!$D$5:$D$2004,'Status'!$G$6,'Estimates'!$H$5:$H$2004,1,'Estimates'!$E$5:$E$2004,'Status'!$E$7)=0,"",IF(COUNTIFS('Estimates'!$A$5:$A$2004,$A136,'Estimates'!$B$5:$B$2004,"PPS",'Estimates'!$D$5:$D$2004,'Status'!$G$6,'Estimates'!$H$5:$H$2004,1,'Estimates'!$E$5:$E$2004,'Status'!$E$7)&gt;1,"DUP",IF(COUNTIFS('Estimates'!$A$5:$A$2004,$A136,'Estimates'!$B$5:$B$2004,"PPS",'Estimates'!$D$5:$D$2004,'Status'!$G$6,'Estimates'!$H$5:$H$2004,1,'Estimates'!$E$5:$E$2004,'Status'!$E$7,'Estimates'!$F$5:$F$2004,"&lt;&gt;")=0,"",SUMIFS('Estimates'!$F$5:$F$2004,'Estimates'!$A$5:$A$2004,$A136,'Estimates'!$B$5:$B$2004,"PPS",'Estimates'!$D$5:$D$2004,'Status'!$G$6,'Estimates'!$H$5:$H$2004,1,'Estimates'!$E$5:$E$2004,'Status'!$E$7)))))</x:f>
      </x:c>
      <x:c r="M136" s="13" t="str">
        <x:f>IF(AND(ISNUMBER(J136),ISNUMBER(K136)),K136-J136,"")</x:f>
      </x:c>
      <x:c r="N136" s="13" t="str">
        <x:f>IF(AND(ISNUMBER(K136),ISNUMBER(L136)),L136-K136,"")</x:f>
      </x:c>
      <x:c r="O136" s="13" t="str">
        <x:f>IF(AND(COUNT(J136:L136)=3,COUNT('Status'!$E$6:$G$6)=3,'Status'!$E$6&gt;'Status'!$F$6,'Status'!$F$6&gt;'Status'!$G$6,'Status'!$G$6&gt;0),ABS(L136-(K136+(K136-J136)*('Status'!$G$6-'Status'!$F$6)/('Status'!$F$6-'Status'!$E$6))),"")</x:f>
      </x:c>
      <x:c r="P136" s="13" t="str">
        <x:f>IF(AND(COUNT(J136:L136)=3,COUNT('Status'!$E$6:$G$6)=3,'Status'!$E$6&gt;'Status'!$F$6,'Status'!$F$6&gt;'Status'!$G$6,'Status'!$G$6&gt;0),('Status'!$F$6*L136-'Status'!$G$6*K136)/('Status'!$F$6-'Status'!$G$6),"")</x:f>
      </x:c>
      <x:c r="Q136" s="20"/>
      <x:c r="R136" s="13" t="str">
        <x:f>IF(COUNTA($A136)=0,"",IF('Status'!$B$6="MPS 1",IF(ISNUMBER(C136),C136,""),IF('Status'!$B$6="MPS 2",IF(ISNUMBER(D136),D136,""),IF('Status'!$B$6="MPS 3",IF(ISNUMBER(E136),E136,""),IF('Status'!$B$6="MPS extrap",IF(ISNUMBER(I136),I136,""),IF('Status'!$B$6="PPS 1",IF(ISNUMBER(J136),J136,""),IF('Status'!$B$6="PPS 2",IF(ISNUMBER(K136),K136,""),IF('Status'!$B$6="PPS 3",IF(ISNUMBER(L136),L136,""),IF('Status'!$B$6="PPS extrap",IF(ISNUMBER(P136),P136,""),IF('Status'!$B$6="Calibrated",IF(ISNUMBER(Q136),Q136,""),""))))))))))</x:f>
      </x:c>
      <x:c r="S136" s="2" t="str">
        <x:f>IF(COUNTA(A136)=0,"",IF(COUNTIFS('Estimates'!$A$5:$A$2004,A136,'Estimates'!$B$5:$B$2004,"MPS",'Estimates'!$H$5:$H$2004,1)+COUNTIFS('Estimates'!$A$5:$A$2004,A136,'Estimates'!$B$5:$B$2004,"PPS",'Estimates'!$H$5:$H$2004,1)&gt;0,1,0))</x:f>
      </x:c>
      <x:c r="T136" s="2" t="str">
        <x:f>IF(COUNTA(A136)=0,"",IF(COUNTIFS($A$6:$A$165,A136)&gt;1,"Duplicate target",IF(COUNTIFS(C136:E136,"DUP")+COUNTIFS(J136:L136,"DUP")&gt;0,"Duplicate accepted run",IF(COUNTIFS('Estimates'!$A$5:$A$2004,A136,'Estimates'!$H$5:$H$2004,1)-COUNTIFS('Estimates'!$A$5:$A$2004,A136,'Estimates'!$H$5:$H$2004,1,'Estimates'!$F$5:$F$2004,"&lt;&gt;")&gt;0,"Accepted value missing",""))))</x:f>
      </x:c>
    </x:row>
    <x:row r="137">
      <x:c r="A137" s="21"/>
      <x:c r="B137" s="19"/>
      <x:c r="C137" s="13" t="str">
        <x:f>IF(OR(COUNTA($A137)=0,NOT(ISNUMBER('Status'!$E$5))),"",IF(COUNTIFS('Estimates'!$A$5:$A$2004,$A137,'Estimates'!$B$5:$B$2004,"MPS",'Estimates'!$C$5:$C$2004,'Status'!$E$5,'Estimates'!$H$5:$H$2004,1)=0,"",IF(COUNTIFS('Estimates'!$A$5:$A$2004,$A137,'Estimates'!$B$5:$B$2004,"MPS",'Estimates'!$C$5:$C$2004,'Status'!$E$5,'Estimates'!$H$5:$H$2004,1)&gt;1,"DUP",IF(COUNTIFS('Estimates'!$A$5:$A$2004,$A137,'Estimates'!$B$5:$B$2004,"MPS",'Estimates'!$C$5:$C$2004,'Status'!$E$5,'Estimates'!$H$5:$H$2004,1,'Estimates'!$F$5:$F$2004,"&lt;&gt;")=0,"",SUMIFS('Estimates'!$F$5:$F$2004,'Estimates'!$A$5:$A$2004,$A137,'Estimates'!$B$5:$B$2004,"MPS",'Estimates'!$C$5:$C$2004,'Status'!$E$5,'Estimates'!$H$5:$H$2004,1)))))</x:f>
      </x:c>
      <x:c r="D137" s="13" t="str">
        <x:f>IF(OR(COUNTA($A137)=0,NOT(ISNUMBER('Status'!$F$5))),"",IF(COUNTIFS('Estimates'!$A$5:$A$2004,$A137,'Estimates'!$B$5:$B$2004,"MPS",'Estimates'!$C$5:$C$2004,'Status'!$F$5,'Estimates'!$H$5:$H$2004,1)=0,"",IF(COUNTIFS('Estimates'!$A$5:$A$2004,$A137,'Estimates'!$B$5:$B$2004,"MPS",'Estimates'!$C$5:$C$2004,'Status'!$F$5,'Estimates'!$H$5:$H$2004,1)&gt;1,"DUP",IF(COUNTIFS('Estimates'!$A$5:$A$2004,$A137,'Estimates'!$B$5:$B$2004,"MPS",'Estimates'!$C$5:$C$2004,'Status'!$F$5,'Estimates'!$H$5:$H$2004,1,'Estimates'!$F$5:$F$2004,"&lt;&gt;")=0,"",SUMIFS('Estimates'!$F$5:$F$2004,'Estimates'!$A$5:$A$2004,$A137,'Estimates'!$B$5:$B$2004,"MPS",'Estimates'!$C$5:$C$2004,'Status'!$F$5,'Estimates'!$H$5:$H$2004,1)))))</x:f>
      </x:c>
      <x:c r="E137" s="13" t="str">
        <x:f>IF(OR(COUNTA($A137)=0,NOT(ISNUMBER('Status'!$G$5))),"",IF(COUNTIFS('Estimates'!$A$5:$A$2004,$A137,'Estimates'!$B$5:$B$2004,"MPS",'Estimates'!$C$5:$C$2004,'Status'!$G$5,'Estimates'!$H$5:$H$2004,1)=0,"",IF(COUNTIFS('Estimates'!$A$5:$A$2004,$A137,'Estimates'!$B$5:$B$2004,"MPS",'Estimates'!$C$5:$C$2004,'Status'!$G$5,'Estimates'!$H$5:$H$2004,1)&gt;1,"DUP",IF(COUNTIFS('Estimates'!$A$5:$A$2004,$A137,'Estimates'!$B$5:$B$2004,"MPS",'Estimates'!$C$5:$C$2004,'Status'!$G$5,'Estimates'!$H$5:$H$2004,1,'Estimates'!$F$5:$F$2004,"&lt;&gt;")=0,"",SUMIFS('Estimates'!$F$5:$F$2004,'Estimates'!$A$5:$A$2004,$A137,'Estimates'!$B$5:$B$2004,"MPS",'Estimates'!$C$5:$C$2004,'Status'!$G$5,'Estimates'!$H$5:$H$2004,1)))))</x:f>
      </x:c>
      <x:c r="F137" s="13" t="str">
        <x:f>IF(AND(ISNUMBER(C137),ISNUMBER(D137)),D137-C137,"")</x:f>
      </x:c>
      <x:c r="G137" s="13" t="str">
        <x:f>IF(AND(ISNUMBER(D137),ISNUMBER(E137)),E137-D137,"")</x:f>
      </x:c>
      <x:c r="H137" s="13" t="str">
        <x:f>IF(AND(COUNT(C137:E137)=3,COUNT('Status'!$E$5:$G$5)=3,'Status'!$E$5&gt;0,'Status'!$E$5&lt;'Status'!$F$5,'Status'!$F$5&lt;'Status'!$G$5),ABS(E137-(D137+(D137-C137)*((1/'Status'!$G$5)-(1/'Status'!$F$5))/((1/'Status'!$F$5)-(1/'Status'!$E$5)))),"")</x:f>
      </x:c>
      <x:c r="I137" s="13" t="str">
        <x:f>IF(AND(COUNT(C137:E137)=3,COUNT('Status'!$E$5:$G$5)=3,'Status'!$E$5&gt;0,'Status'!$E$5&lt;'Status'!$F$5,'Status'!$F$5&lt;'Status'!$G$5),((1/'Status'!$F$5)*E137-(1/'Status'!$G$5)*D137)/((1/'Status'!$F$5)-(1/'Status'!$G$5)),"")</x:f>
      </x:c>
      <x:c r="J137" s="13" t="str">
        <x:f>IF(OR(COUNTA($A137)=0,NOT(ISNUMBER('Status'!$E$6))),"",IF(COUNTIFS('Estimates'!$A$5:$A$2004,$A137,'Estimates'!$B$5:$B$2004,"PPS",'Estimates'!$D$5:$D$2004,'Status'!$E$6,'Estimates'!$H$5:$H$2004,1,'Estimates'!$E$5:$E$2004,'Status'!$E$7)=0,"",IF(COUNTIFS('Estimates'!$A$5:$A$2004,$A137,'Estimates'!$B$5:$B$2004,"PPS",'Estimates'!$D$5:$D$2004,'Status'!$E$6,'Estimates'!$H$5:$H$2004,1,'Estimates'!$E$5:$E$2004,'Status'!$E$7)&gt;1,"DUP",IF(COUNTIFS('Estimates'!$A$5:$A$2004,$A137,'Estimates'!$B$5:$B$2004,"PPS",'Estimates'!$D$5:$D$2004,'Status'!$E$6,'Estimates'!$H$5:$H$2004,1,'Estimates'!$E$5:$E$2004,'Status'!$E$7,'Estimates'!$F$5:$F$2004,"&lt;&gt;")=0,"",SUMIFS('Estimates'!$F$5:$F$2004,'Estimates'!$A$5:$A$2004,$A137,'Estimates'!$B$5:$B$2004,"PPS",'Estimates'!$D$5:$D$2004,'Status'!$E$6,'Estimates'!$H$5:$H$2004,1,'Estimates'!$E$5:$E$2004,'Status'!$E$7)))))</x:f>
      </x:c>
      <x:c r="K137" s="13" t="str">
        <x:f>IF(OR(COUNTA($A137)=0,NOT(ISNUMBER('Status'!$F$6))),"",IF(COUNTIFS('Estimates'!$A$5:$A$2004,$A137,'Estimates'!$B$5:$B$2004,"PPS",'Estimates'!$D$5:$D$2004,'Status'!$F$6,'Estimates'!$H$5:$H$2004,1,'Estimates'!$E$5:$E$2004,'Status'!$E$7)=0,"",IF(COUNTIFS('Estimates'!$A$5:$A$2004,$A137,'Estimates'!$B$5:$B$2004,"PPS",'Estimates'!$D$5:$D$2004,'Status'!$F$6,'Estimates'!$H$5:$H$2004,1,'Estimates'!$E$5:$E$2004,'Status'!$E$7)&gt;1,"DUP",IF(COUNTIFS('Estimates'!$A$5:$A$2004,$A137,'Estimates'!$B$5:$B$2004,"PPS",'Estimates'!$D$5:$D$2004,'Status'!$F$6,'Estimates'!$H$5:$H$2004,1,'Estimates'!$E$5:$E$2004,'Status'!$E$7,'Estimates'!$F$5:$F$2004,"&lt;&gt;")=0,"",SUMIFS('Estimates'!$F$5:$F$2004,'Estimates'!$A$5:$A$2004,$A137,'Estimates'!$B$5:$B$2004,"PPS",'Estimates'!$D$5:$D$2004,'Status'!$F$6,'Estimates'!$H$5:$H$2004,1,'Estimates'!$E$5:$E$2004,'Status'!$E$7)))))</x:f>
      </x:c>
      <x:c r="L137" s="13" t="str">
        <x:f>IF(OR(COUNTA($A137)=0,NOT(ISNUMBER('Status'!$G$6))),"",IF(COUNTIFS('Estimates'!$A$5:$A$2004,$A137,'Estimates'!$B$5:$B$2004,"PPS",'Estimates'!$D$5:$D$2004,'Status'!$G$6,'Estimates'!$H$5:$H$2004,1,'Estimates'!$E$5:$E$2004,'Status'!$E$7)=0,"",IF(COUNTIFS('Estimates'!$A$5:$A$2004,$A137,'Estimates'!$B$5:$B$2004,"PPS",'Estimates'!$D$5:$D$2004,'Status'!$G$6,'Estimates'!$H$5:$H$2004,1,'Estimates'!$E$5:$E$2004,'Status'!$E$7)&gt;1,"DUP",IF(COUNTIFS('Estimates'!$A$5:$A$2004,$A137,'Estimates'!$B$5:$B$2004,"PPS",'Estimates'!$D$5:$D$2004,'Status'!$G$6,'Estimates'!$H$5:$H$2004,1,'Estimates'!$E$5:$E$2004,'Status'!$E$7,'Estimates'!$F$5:$F$2004,"&lt;&gt;")=0,"",SUMIFS('Estimates'!$F$5:$F$2004,'Estimates'!$A$5:$A$2004,$A137,'Estimates'!$B$5:$B$2004,"PPS",'Estimates'!$D$5:$D$2004,'Status'!$G$6,'Estimates'!$H$5:$H$2004,1,'Estimates'!$E$5:$E$2004,'Status'!$E$7)))))</x:f>
      </x:c>
      <x:c r="M137" s="13" t="str">
        <x:f>IF(AND(ISNUMBER(J137),ISNUMBER(K137)),K137-J137,"")</x:f>
      </x:c>
      <x:c r="N137" s="13" t="str">
        <x:f>IF(AND(ISNUMBER(K137),ISNUMBER(L137)),L137-K137,"")</x:f>
      </x:c>
      <x:c r="O137" s="13" t="str">
        <x:f>IF(AND(COUNT(J137:L137)=3,COUNT('Status'!$E$6:$G$6)=3,'Status'!$E$6&gt;'Status'!$F$6,'Status'!$F$6&gt;'Status'!$G$6,'Status'!$G$6&gt;0),ABS(L137-(K137+(K137-J137)*('Status'!$G$6-'Status'!$F$6)/('Status'!$F$6-'Status'!$E$6))),"")</x:f>
      </x:c>
      <x:c r="P137" s="13" t="str">
        <x:f>IF(AND(COUNT(J137:L137)=3,COUNT('Status'!$E$6:$G$6)=3,'Status'!$E$6&gt;'Status'!$F$6,'Status'!$F$6&gt;'Status'!$G$6,'Status'!$G$6&gt;0),('Status'!$F$6*L137-'Status'!$G$6*K137)/('Status'!$F$6-'Status'!$G$6),"")</x:f>
      </x:c>
      <x:c r="Q137" s="20"/>
      <x:c r="R137" s="13" t="str">
        <x:f>IF(COUNTA($A137)=0,"",IF('Status'!$B$6="MPS 1",IF(ISNUMBER(C137),C137,""),IF('Status'!$B$6="MPS 2",IF(ISNUMBER(D137),D137,""),IF('Status'!$B$6="MPS 3",IF(ISNUMBER(E137),E137,""),IF('Status'!$B$6="MPS extrap",IF(ISNUMBER(I137),I137,""),IF('Status'!$B$6="PPS 1",IF(ISNUMBER(J137),J137,""),IF('Status'!$B$6="PPS 2",IF(ISNUMBER(K137),K137,""),IF('Status'!$B$6="PPS 3",IF(ISNUMBER(L137),L137,""),IF('Status'!$B$6="PPS extrap",IF(ISNUMBER(P137),P137,""),IF('Status'!$B$6="Calibrated",IF(ISNUMBER(Q137),Q137,""),""))))))))))</x:f>
      </x:c>
      <x:c r="S137" s="2" t="str">
        <x:f>IF(COUNTA(A137)=0,"",IF(COUNTIFS('Estimates'!$A$5:$A$2004,A137,'Estimates'!$B$5:$B$2004,"MPS",'Estimates'!$H$5:$H$2004,1)+COUNTIFS('Estimates'!$A$5:$A$2004,A137,'Estimates'!$B$5:$B$2004,"PPS",'Estimates'!$H$5:$H$2004,1)&gt;0,1,0))</x:f>
      </x:c>
      <x:c r="T137" s="2" t="str">
        <x:f>IF(COUNTA(A137)=0,"",IF(COUNTIFS($A$6:$A$165,A137)&gt;1,"Duplicate target",IF(COUNTIFS(C137:E137,"DUP")+COUNTIFS(J137:L137,"DUP")&gt;0,"Duplicate accepted run",IF(COUNTIFS('Estimates'!$A$5:$A$2004,A137,'Estimates'!$H$5:$H$2004,1)-COUNTIFS('Estimates'!$A$5:$A$2004,A137,'Estimates'!$H$5:$H$2004,1,'Estimates'!$F$5:$F$2004,"&lt;&gt;")&gt;0,"Accepted value missing",""))))</x:f>
      </x:c>
    </x:row>
    <x:row r="138">
      <x:c r="A138" s="21"/>
      <x:c r="B138" s="19"/>
      <x:c r="C138" s="13" t="str">
        <x:f>IF(OR(COUNTA($A138)=0,NOT(ISNUMBER('Status'!$E$5))),"",IF(COUNTIFS('Estimates'!$A$5:$A$2004,$A138,'Estimates'!$B$5:$B$2004,"MPS",'Estimates'!$C$5:$C$2004,'Status'!$E$5,'Estimates'!$H$5:$H$2004,1)=0,"",IF(COUNTIFS('Estimates'!$A$5:$A$2004,$A138,'Estimates'!$B$5:$B$2004,"MPS",'Estimates'!$C$5:$C$2004,'Status'!$E$5,'Estimates'!$H$5:$H$2004,1)&gt;1,"DUP",IF(COUNTIFS('Estimates'!$A$5:$A$2004,$A138,'Estimates'!$B$5:$B$2004,"MPS",'Estimates'!$C$5:$C$2004,'Status'!$E$5,'Estimates'!$H$5:$H$2004,1,'Estimates'!$F$5:$F$2004,"&lt;&gt;")=0,"",SUMIFS('Estimates'!$F$5:$F$2004,'Estimates'!$A$5:$A$2004,$A138,'Estimates'!$B$5:$B$2004,"MPS",'Estimates'!$C$5:$C$2004,'Status'!$E$5,'Estimates'!$H$5:$H$2004,1)))))</x:f>
      </x:c>
      <x:c r="D138" s="13" t="str">
        <x:f>IF(OR(COUNTA($A138)=0,NOT(ISNUMBER('Status'!$F$5))),"",IF(COUNTIFS('Estimates'!$A$5:$A$2004,$A138,'Estimates'!$B$5:$B$2004,"MPS",'Estimates'!$C$5:$C$2004,'Status'!$F$5,'Estimates'!$H$5:$H$2004,1)=0,"",IF(COUNTIFS('Estimates'!$A$5:$A$2004,$A138,'Estimates'!$B$5:$B$2004,"MPS",'Estimates'!$C$5:$C$2004,'Status'!$F$5,'Estimates'!$H$5:$H$2004,1)&gt;1,"DUP",IF(COUNTIFS('Estimates'!$A$5:$A$2004,$A138,'Estimates'!$B$5:$B$2004,"MPS",'Estimates'!$C$5:$C$2004,'Status'!$F$5,'Estimates'!$H$5:$H$2004,1,'Estimates'!$F$5:$F$2004,"&lt;&gt;")=0,"",SUMIFS('Estimates'!$F$5:$F$2004,'Estimates'!$A$5:$A$2004,$A138,'Estimates'!$B$5:$B$2004,"MPS",'Estimates'!$C$5:$C$2004,'Status'!$F$5,'Estimates'!$H$5:$H$2004,1)))))</x:f>
      </x:c>
      <x:c r="E138" s="13" t="str">
        <x:f>IF(OR(COUNTA($A138)=0,NOT(ISNUMBER('Status'!$G$5))),"",IF(COUNTIFS('Estimates'!$A$5:$A$2004,$A138,'Estimates'!$B$5:$B$2004,"MPS",'Estimates'!$C$5:$C$2004,'Status'!$G$5,'Estimates'!$H$5:$H$2004,1)=0,"",IF(COUNTIFS('Estimates'!$A$5:$A$2004,$A138,'Estimates'!$B$5:$B$2004,"MPS",'Estimates'!$C$5:$C$2004,'Status'!$G$5,'Estimates'!$H$5:$H$2004,1)&gt;1,"DUP",IF(COUNTIFS('Estimates'!$A$5:$A$2004,$A138,'Estimates'!$B$5:$B$2004,"MPS",'Estimates'!$C$5:$C$2004,'Status'!$G$5,'Estimates'!$H$5:$H$2004,1,'Estimates'!$F$5:$F$2004,"&lt;&gt;")=0,"",SUMIFS('Estimates'!$F$5:$F$2004,'Estimates'!$A$5:$A$2004,$A138,'Estimates'!$B$5:$B$2004,"MPS",'Estimates'!$C$5:$C$2004,'Status'!$G$5,'Estimates'!$H$5:$H$2004,1)))))</x:f>
      </x:c>
      <x:c r="F138" s="13" t="str">
        <x:f>IF(AND(ISNUMBER(C138),ISNUMBER(D138)),D138-C138,"")</x:f>
      </x:c>
      <x:c r="G138" s="13" t="str">
        <x:f>IF(AND(ISNUMBER(D138),ISNUMBER(E138)),E138-D138,"")</x:f>
      </x:c>
      <x:c r="H138" s="13" t="str">
        <x:f>IF(AND(COUNT(C138:E138)=3,COUNT('Status'!$E$5:$G$5)=3,'Status'!$E$5&gt;0,'Status'!$E$5&lt;'Status'!$F$5,'Status'!$F$5&lt;'Status'!$G$5),ABS(E138-(D138+(D138-C138)*((1/'Status'!$G$5)-(1/'Status'!$F$5))/((1/'Status'!$F$5)-(1/'Status'!$E$5)))),"")</x:f>
      </x:c>
      <x:c r="I138" s="13" t="str">
        <x:f>IF(AND(COUNT(C138:E138)=3,COUNT('Status'!$E$5:$G$5)=3,'Status'!$E$5&gt;0,'Status'!$E$5&lt;'Status'!$F$5,'Status'!$F$5&lt;'Status'!$G$5),((1/'Status'!$F$5)*E138-(1/'Status'!$G$5)*D138)/((1/'Status'!$F$5)-(1/'Status'!$G$5)),"")</x:f>
      </x:c>
      <x:c r="J138" s="13" t="str">
        <x:f>IF(OR(COUNTA($A138)=0,NOT(ISNUMBER('Status'!$E$6))),"",IF(COUNTIFS('Estimates'!$A$5:$A$2004,$A138,'Estimates'!$B$5:$B$2004,"PPS",'Estimates'!$D$5:$D$2004,'Status'!$E$6,'Estimates'!$H$5:$H$2004,1,'Estimates'!$E$5:$E$2004,'Status'!$E$7)=0,"",IF(COUNTIFS('Estimates'!$A$5:$A$2004,$A138,'Estimates'!$B$5:$B$2004,"PPS",'Estimates'!$D$5:$D$2004,'Status'!$E$6,'Estimates'!$H$5:$H$2004,1,'Estimates'!$E$5:$E$2004,'Status'!$E$7)&gt;1,"DUP",IF(COUNTIFS('Estimates'!$A$5:$A$2004,$A138,'Estimates'!$B$5:$B$2004,"PPS",'Estimates'!$D$5:$D$2004,'Status'!$E$6,'Estimates'!$H$5:$H$2004,1,'Estimates'!$E$5:$E$2004,'Status'!$E$7,'Estimates'!$F$5:$F$2004,"&lt;&gt;")=0,"",SUMIFS('Estimates'!$F$5:$F$2004,'Estimates'!$A$5:$A$2004,$A138,'Estimates'!$B$5:$B$2004,"PPS",'Estimates'!$D$5:$D$2004,'Status'!$E$6,'Estimates'!$H$5:$H$2004,1,'Estimates'!$E$5:$E$2004,'Status'!$E$7)))))</x:f>
      </x:c>
      <x:c r="K138" s="13" t="str">
        <x:f>IF(OR(COUNTA($A138)=0,NOT(ISNUMBER('Status'!$F$6))),"",IF(COUNTIFS('Estimates'!$A$5:$A$2004,$A138,'Estimates'!$B$5:$B$2004,"PPS",'Estimates'!$D$5:$D$2004,'Status'!$F$6,'Estimates'!$H$5:$H$2004,1,'Estimates'!$E$5:$E$2004,'Status'!$E$7)=0,"",IF(COUNTIFS('Estimates'!$A$5:$A$2004,$A138,'Estimates'!$B$5:$B$2004,"PPS",'Estimates'!$D$5:$D$2004,'Status'!$F$6,'Estimates'!$H$5:$H$2004,1,'Estimates'!$E$5:$E$2004,'Status'!$E$7)&gt;1,"DUP",IF(COUNTIFS('Estimates'!$A$5:$A$2004,$A138,'Estimates'!$B$5:$B$2004,"PPS",'Estimates'!$D$5:$D$2004,'Status'!$F$6,'Estimates'!$H$5:$H$2004,1,'Estimates'!$E$5:$E$2004,'Status'!$E$7,'Estimates'!$F$5:$F$2004,"&lt;&gt;")=0,"",SUMIFS('Estimates'!$F$5:$F$2004,'Estimates'!$A$5:$A$2004,$A138,'Estimates'!$B$5:$B$2004,"PPS",'Estimates'!$D$5:$D$2004,'Status'!$F$6,'Estimates'!$H$5:$H$2004,1,'Estimates'!$E$5:$E$2004,'Status'!$E$7)))))</x:f>
      </x:c>
      <x:c r="L138" s="13" t="str">
        <x:f>IF(OR(COUNTA($A138)=0,NOT(ISNUMBER('Status'!$G$6))),"",IF(COUNTIFS('Estimates'!$A$5:$A$2004,$A138,'Estimates'!$B$5:$B$2004,"PPS",'Estimates'!$D$5:$D$2004,'Status'!$G$6,'Estimates'!$H$5:$H$2004,1,'Estimates'!$E$5:$E$2004,'Status'!$E$7)=0,"",IF(COUNTIFS('Estimates'!$A$5:$A$2004,$A138,'Estimates'!$B$5:$B$2004,"PPS",'Estimates'!$D$5:$D$2004,'Status'!$G$6,'Estimates'!$H$5:$H$2004,1,'Estimates'!$E$5:$E$2004,'Status'!$E$7)&gt;1,"DUP",IF(COUNTIFS('Estimates'!$A$5:$A$2004,$A138,'Estimates'!$B$5:$B$2004,"PPS",'Estimates'!$D$5:$D$2004,'Status'!$G$6,'Estimates'!$H$5:$H$2004,1,'Estimates'!$E$5:$E$2004,'Status'!$E$7,'Estimates'!$F$5:$F$2004,"&lt;&gt;")=0,"",SUMIFS('Estimates'!$F$5:$F$2004,'Estimates'!$A$5:$A$2004,$A138,'Estimates'!$B$5:$B$2004,"PPS",'Estimates'!$D$5:$D$2004,'Status'!$G$6,'Estimates'!$H$5:$H$2004,1,'Estimates'!$E$5:$E$2004,'Status'!$E$7)))))</x:f>
      </x:c>
      <x:c r="M138" s="13" t="str">
        <x:f>IF(AND(ISNUMBER(J138),ISNUMBER(K138)),K138-J138,"")</x:f>
      </x:c>
      <x:c r="N138" s="13" t="str">
        <x:f>IF(AND(ISNUMBER(K138),ISNUMBER(L138)),L138-K138,"")</x:f>
      </x:c>
      <x:c r="O138" s="13" t="str">
        <x:f>IF(AND(COUNT(J138:L138)=3,COUNT('Status'!$E$6:$G$6)=3,'Status'!$E$6&gt;'Status'!$F$6,'Status'!$F$6&gt;'Status'!$G$6,'Status'!$G$6&gt;0),ABS(L138-(K138+(K138-J138)*('Status'!$G$6-'Status'!$F$6)/('Status'!$F$6-'Status'!$E$6))),"")</x:f>
      </x:c>
      <x:c r="P138" s="13" t="str">
        <x:f>IF(AND(COUNT(J138:L138)=3,COUNT('Status'!$E$6:$G$6)=3,'Status'!$E$6&gt;'Status'!$F$6,'Status'!$F$6&gt;'Status'!$G$6,'Status'!$G$6&gt;0),('Status'!$F$6*L138-'Status'!$G$6*K138)/('Status'!$F$6-'Status'!$G$6),"")</x:f>
      </x:c>
      <x:c r="Q138" s="20"/>
      <x:c r="R138" s="13" t="str">
        <x:f>IF(COUNTA($A138)=0,"",IF('Status'!$B$6="MPS 1",IF(ISNUMBER(C138),C138,""),IF('Status'!$B$6="MPS 2",IF(ISNUMBER(D138),D138,""),IF('Status'!$B$6="MPS 3",IF(ISNUMBER(E138),E138,""),IF('Status'!$B$6="MPS extrap",IF(ISNUMBER(I138),I138,""),IF('Status'!$B$6="PPS 1",IF(ISNUMBER(J138),J138,""),IF('Status'!$B$6="PPS 2",IF(ISNUMBER(K138),K138,""),IF('Status'!$B$6="PPS 3",IF(ISNUMBER(L138),L138,""),IF('Status'!$B$6="PPS extrap",IF(ISNUMBER(P138),P138,""),IF('Status'!$B$6="Calibrated",IF(ISNUMBER(Q138),Q138,""),""))))))))))</x:f>
      </x:c>
      <x:c r="S138" s="2" t="str">
        <x:f>IF(COUNTA(A138)=0,"",IF(COUNTIFS('Estimates'!$A$5:$A$2004,A138,'Estimates'!$B$5:$B$2004,"MPS",'Estimates'!$H$5:$H$2004,1)+COUNTIFS('Estimates'!$A$5:$A$2004,A138,'Estimates'!$B$5:$B$2004,"PPS",'Estimates'!$H$5:$H$2004,1)&gt;0,1,0))</x:f>
      </x:c>
      <x:c r="T138" s="2" t="str">
        <x:f>IF(COUNTA(A138)=0,"",IF(COUNTIFS($A$6:$A$165,A138)&gt;1,"Duplicate target",IF(COUNTIFS(C138:E138,"DUP")+COUNTIFS(J138:L138,"DUP")&gt;0,"Duplicate accepted run",IF(COUNTIFS('Estimates'!$A$5:$A$2004,A138,'Estimates'!$H$5:$H$2004,1)-COUNTIFS('Estimates'!$A$5:$A$2004,A138,'Estimates'!$H$5:$H$2004,1,'Estimates'!$F$5:$F$2004,"&lt;&gt;")&gt;0,"Accepted value missing",""))))</x:f>
      </x:c>
    </x:row>
    <x:row r="139">
      <x:c r="A139" s="21"/>
      <x:c r="B139" s="19"/>
      <x:c r="C139" s="13" t="str">
        <x:f>IF(OR(COUNTA($A139)=0,NOT(ISNUMBER('Status'!$E$5))),"",IF(COUNTIFS('Estimates'!$A$5:$A$2004,$A139,'Estimates'!$B$5:$B$2004,"MPS",'Estimates'!$C$5:$C$2004,'Status'!$E$5,'Estimates'!$H$5:$H$2004,1)=0,"",IF(COUNTIFS('Estimates'!$A$5:$A$2004,$A139,'Estimates'!$B$5:$B$2004,"MPS",'Estimates'!$C$5:$C$2004,'Status'!$E$5,'Estimates'!$H$5:$H$2004,1)&gt;1,"DUP",IF(COUNTIFS('Estimates'!$A$5:$A$2004,$A139,'Estimates'!$B$5:$B$2004,"MPS",'Estimates'!$C$5:$C$2004,'Status'!$E$5,'Estimates'!$H$5:$H$2004,1,'Estimates'!$F$5:$F$2004,"&lt;&gt;")=0,"",SUMIFS('Estimates'!$F$5:$F$2004,'Estimates'!$A$5:$A$2004,$A139,'Estimates'!$B$5:$B$2004,"MPS",'Estimates'!$C$5:$C$2004,'Status'!$E$5,'Estimates'!$H$5:$H$2004,1)))))</x:f>
      </x:c>
      <x:c r="D139" s="13" t="str">
        <x:f>IF(OR(COUNTA($A139)=0,NOT(ISNUMBER('Status'!$F$5))),"",IF(COUNTIFS('Estimates'!$A$5:$A$2004,$A139,'Estimates'!$B$5:$B$2004,"MPS",'Estimates'!$C$5:$C$2004,'Status'!$F$5,'Estimates'!$H$5:$H$2004,1)=0,"",IF(COUNTIFS('Estimates'!$A$5:$A$2004,$A139,'Estimates'!$B$5:$B$2004,"MPS",'Estimates'!$C$5:$C$2004,'Status'!$F$5,'Estimates'!$H$5:$H$2004,1)&gt;1,"DUP",IF(COUNTIFS('Estimates'!$A$5:$A$2004,$A139,'Estimates'!$B$5:$B$2004,"MPS",'Estimates'!$C$5:$C$2004,'Status'!$F$5,'Estimates'!$H$5:$H$2004,1,'Estimates'!$F$5:$F$2004,"&lt;&gt;")=0,"",SUMIFS('Estimates'!$F$5:$F$2004,'Estimates'!$A$5:$A$2004,$A139,'Estimates'!$B$5:$B$2004,"MPS",'Estimates'!$C$5:$C$2004,'Status'!$F$5,'Estimates'!$H$5:$H$2004,1)))))</x:f>
      </x:c>
      <x:c r="E139" s="13" t="str">
        <x:f>IF(OR(COUNTA($A139)=0,NOT(ISNUMBER('Status'!$G$5))),"",IF(COUNTIFS('Estimates'!$A$5:$A$2004,$A139,'Estimates'!$B$5:$B$2004,"MPS",'Estimates'!$C$5:$C$2004,'Status'!$G$5,'Estimates'!$H$5:$H$2004,1)=0,"",IF(COUNTIFS('Estimates'!$A$5:$A$2004,$A139,'Estimates'!$B$5:$B$2004,"MPS",'Estimates'!$C$5:$C$2004,'Status'!$G$5,'Estimates'!$H$5:$H$2004,1)&gt;1,"DUP",IF(COUNTIFS('Estimates'!$A$5:$A$2004,$A139,'Estimates'!$B$5:$B$2004,"MPS",'Estimates'!$C$5:$C$2004,'Status'!$G$5,'Estimates'!$H$5:$H$2004,1,'Estimates'!$F$5:$F$2004,"&lt;&gt;")=0,"",SUMIFS('Estimates'!$F$5:$F$2004,'Estimates'!$A$5:$A$2004,$A139,'Estimates'!$B$5:$B$2004,"MPS",'Estimates'!$C$5:$C$2004,'Status'!$G$5,'Estimates'!$H$5:$H$2004,1)))))</x:f>
      </x:c>
      <x:c r="F139" s="13" t="str">
        <x:f>IF(AND(ISNUMBER(C139),ISNUMBER(D139)),D139-C139,"")</x:f>
      </x:c>
      <x:c r="G139" s="13" t="str">
        <x:f>IF(AND(ISNUMBER(D139),ISNUMBER(E139)),E139-D139,"")</x:f>
      </x:c>
      <x:c r="H139" s="13" t="str">
        <x:f>IF(AND(COUNT(C139:E139)=3,COUNT('Status'!$E$5:$G$5)=3,'Status'!$E$5&gt;0,'Status'!$E$5&lt;'Status'!$F$5,'Status'!$F$5&lt;'Status'!$G$5),ABS(E139-(D139+(D139-C139)*((1/'Status'!$G$5)-(1/'Status'!$F$5))/((1/'Status'!$F$5)-(1/'Status'!$E$5)))),"")</x:f>
      </x:c>
      <x:c r="I139" s="13" t="str">
        <x:f>IF(AND(COUNT(C139:E139)=3,COUNT('Status'!$E$5:$G$5)=3,'Status'!$E$5&gt;0,'Status'!$E$5&lt;'Status'!$F$5,'Status'!$F$5&lt;'Status'!$G$5),((1/'Status'!$F$5)*E139-(1/'Status'!$G$5)*D139)/((1/'Status'!$F$5)-(1/'Status'!$G$5)),"")</x:f>
      </x:c>
      <x:c r="J139" s="13" t="str">
        <x:f>IF(OR(COUNTA($A139)=0,NOT(ISNUMBER('Status'!$E$6))),"",IF(COUNTIFS('Estimates'!$A$5:$A$2004,$A139,'Estimates'!$B$5:$B$2004,"PPS",'Estimates'!$D$5:$D$2004,'Status'!$E$6,'Estimates'!$H$5:$H$2004,1,'Estimates'!$E$5:$E$2004,'Status'!$E$7)=0,"",IF(COUNTIFS('Estimates'!$A$5:$A$2004,$A139,'Estimates'!$B$5:$B$2004,"PPS",'Estimates'!$D$5:$D$2004,'Status'!$E$6,'Estimates'!$H$5:$H$2004,1,'Estimates'!$E$5:$E$2004,'Status'!$E$7)&gt;1,"DUP",IF(COUNTIFS('Estimates'!$A$5:$A$2004,$A139,'Estimates'!$B$5:$B$2004,"PPS",'Estimates'!$D$5:$D$2004,'Status'!$E$6,'Estimates'!$H$5:$H$2004,1,'Estimates'!$E$5:$E$2004,'Status'!$E$7,'Estimates'!$F$5:$F$2004,"&lt;&gt;")=0,"",SUMIFS('Estimates'!$F$5:$F$2004,'Estimates'!$A$5:$A$2004,$A139,'Estimates'!$B$5:$B$2004,"PPS",'Estimates'!$D$5:$D$2004,'Status'!$E$6,'Estimates'!$H$5:$H$2004,1,'Estimates'!$E$5:$E$2004,'Status'!$E$7)))))</x:f>
      </x:c>
      <x:c r="K139" s="13" t="str">
        <x:f>IF(OR(COUNTA($A139)=0,NOT(ISNUMBER('Status'!$F$6))),"",IF(COUNTIFS('Estimates'!$A$5:$A$2004,$A139,'Estimates'!$B$5:$B$2004,"PPS",'Estimates'!$D$5:$D$2004,'Status'!$F$6,'Estimates'!$H$5:$H$2004,1,'Estimates'!$E$5:$E$2004,'Status'!$E$7)=0,"",IF(COUNTIFS('Estimates'!$A$5:$A$2004,$A139,'Estimates'!$B$5:$B$2004,"PPS",'Estimates'!$D$5:$D$2004,'Status'!$F$6,'Estimates'!$H$5:$H$2004,1,'Estimates'!$E$5:$E$2004,'Status'!$E$7)&gt;1,"DUP",IF(COUNTIFS('Estimates'!$A$5:$A$2004,$A139,'Estimates'!$B$5:$B$2004,"PPS",'Estimates'!$D$5:$D$2004,'Status'!$F$6,'Estimates'!$H$5:$H$2004,1,'Estimates'!$E$5:$E$2004,'Status'!$E$7,'Estimates'!$F$5:$F$2004,"&lt;&gt;")=0,"",SUMIFS('Estimates'!$F$5:$F$2004,'Estimates'!$A$5:$A$2004,$A139,'Estimates'!$B$5:$B$2004,"PPS",'Estimates'!$D$5:$D$2004,'Status'!$F$6,'Estimates'!$H$5:$H$2004,1,'Estimates'!$E$5:$E$2004,'Status'!$E$7)))))</x:f>
      </x:c>
      <x:c r="L139" s="13" t="str">
        <x:f>IF(OR(COUNTA($A139)=0,NOT(ISNUMBER('Status'!$G$6))),"",IF(COUNTIFS('Estimates'!$A$5:$A$2004,$A139,'Estimates'!$B$5:$B$2004,"PPS",'Estimates'!$D$5:$D$2004,'Status'!$G$6,'Estimates'!$H$5:$H$2004,1,'Estimates'!$E$5:$E$2004,'Status'!$E$7)=0,"",IF(COUNTIFS('Estimates'!$A$5:$A$2004,$A139,'Estimates'!$B$5:$B$2004,"PPS",'Estimates'!$D$5:$D$2004,'Status'!$G$6,'Estimates'!$H$5:$H$2004,1,'Estimates'!$E$5:$E$2004,'Status'!$E$7)&gt;1,"DUP",IF(COUNTIFS('Estimates'!$A$5:$A$2004,$A139,'Estimates'!$B$5:$B$2004,"PPS",'Estimates'!$D$5:$D$2004,'Status'!$G$6,'Estimates'!$H$5:$H$2004,1,'Estimates'!$E$5:$E$2004,'Status'!$E$7,'Estimates'!$F$5:$F$2004,"&lt;&gt;")=0,"",SUMIFS('Estimates'!$F$5:$F$2004,'Estimates'!$A$5:$A$2004,$A139,'Estimates'!$B$5:$B$2004,"PPS",'Estimates'!$D$5:$D$2004,'Status'!$G$6,'Estimates'!$H$5:$H$2004,1,'Estimates'!$E$5:$E$2004,'Status'!$E$7)))))</x:f>
      </x:c>
      <x:c r="M139" s="13" t="str">
        <x:f>IF(AND(ISNUMBER(J139),ISNUMBER(K139)),K139-J139,"")</x:f>
      </x:c>
      <x:c r="N139" s="13" t="str">
        <x:f>IF(AND(ISNUMBER(K139),ISNUMBER(L139)),L139-K139,"")</x:f>
      </x:c>
      <x:c r="O139" s="13" t="str">
        <x:f>IF(AND(COUNT(J139:L139)=3,COUNT('Status'!$E$6:$G$6)=3,'Status'!$E$6&gt;'Status'!$F$6,'Status'!$F$6&gt;'Status'!$G$6,'Status'!$G$6&gt;0),ABS(L139-(K139+(K139-J139)*('Status'!$G$6-'Status'!$F$6)/('Status'!$F$6-'Status'!$E$6))),"")</x:f>
      </x:c>
      <x:c r="P139" s="13" t="str">
        <x:f>IF(AND(COUNT(J139:L139)=3,COUNT('Status'!$E$6:$G$6)=3,'Status'!$E$6&gt;'Status'!$F$6,'Status'!$F$6&gt;'Status'!$G$6,'Status'!$G$6&gt;0),('Status'!$F$6*L139-'Status'!$G$6*K139)/('Status'!$F$6-'Status'!$G$6),"")</x:f>
      </x:c>
      <x:c r="Q139" s="20"/>
      <x:c r="R139" s="13" t="str">
        <x:f>IF(COUNTA($A139)=0,"",IF('Status'!$B$6="MPS 1",IF(ISNUMBER(C139),C139,""),IF('Status'!$B$6="MPS 2",IF(ISNUMBER(D139),D139,""),IF('Status'!$B$6="MPS 3",IF(ISNUMBER(E139),E139,""),IF('Status'!$B$6="MPS extrap",IF(ISNUMBER(I139),I139,""),IF('Status'!$B$6="PPS 1",IF(ISNUMBER(J139),J139,""),IF('Status'!$B$6="PPS 2",IF(ISNUMBER(K139),K139,""),IF('Status'!$B$6="PPS 3",IF(ISNUMBER(L139),L139,""),IF('Status'!$B$6="PPS extrap",IF(ISNUMBER(P139),P139,""),IF('Status'!$B$6="Calibrated",IF(ISNUMBER(Q139),Q139,""),""))))))))))</x:f>
      </x:c>
      <x:c r="S139" s="2" t="str">
        <x:f>IF(COUNTA(A139)=0,"",IF(COUNTIFS('Estimates'!$A$5:$A$2004,A139,'Estimates'!$B$5:$B$2004,"MPS",'Estimates'!$H$5:$H$2004,1)+COUNTIFS('Estimates'!$A$5:$A$2004,A139,'Estimates'!$B$5:$B$2004,"PPS",'Estimates'!$H$5:$H$2004,1)&gt;0,1,0))</x:f>
      </x:c>
      <x:c r="T139" s="2" t="str">
        <x:f>IF(COUNTA(A139)=0,"",IF(COUNTIFS($A$6:$A$165,A139)&gt;1,"Duplicate target",IF(COUNTIFS(C139:E139,"DUP")+COUNTIFS(J139:L139,"DUP")&gt;0,"Duplicate accepted run",IF(COUNTIFS('Estimates'!$A$5:$A$2004,A139,'Estimates'!$H$5:$H$2004,1)-COUNTIFS('Estimates'!$A$5:$A$2004,A139,'Estimates'!$H$5:$H$2004,1,'Estimates'!$F$5:$F$2004,"&lt;&gt;")&gt;0,"Accepted value missing",""))))</x:f>
      </x:c>
    </x:row>
    <x:row r="140">
      <x:c r="A140" s="21"/>
      <x:c r="B140" s="19"/>
      <x:c r="C140" s="13" t="str">
        <x:f>IF(OR(COUNTA($A140)=0,NOT(ISNUMBER('Status'!$E$5))),"",IF(COUNTIFS('Estimates'!$A$5:$A$2004,$A140,'Estimates'!$B$5:$B$2004,"MPS",'Estimates'!$C$5:$C$2004,'Status'!$E$5,'Estimates'!$H$5:$H$2004,1)=0,"",IF(COUNTIFS('Estimates'!$A$5:$A$2004,$A140,'Estimates'!$B$5:$B$2004,"MPS",'Estimates'!$C$5:$C$2004,'Status'!$E$5,'Estimates'!$H$5:$H$2004,1)&gt;1,"DUP",IF(COUNTIFS('Estimates'!$A$5:$A$2004,$A140,'Estimates'!$B$5:$B$2004,"MPS",'Estimates'!$C$5:$C$2004,'Status'!$E$5,'Estimates'!$H$5:$H$2004,1,'Estimates'!$F$5:$F$2004,"&lt;&gt;")=0,"",SUMIFS('Estimates'!$F$5:$F$2004,'Estimates'!$A$5:$A$2004,$A140,'Estimates'!$B$5:$B$2004,"MPS",'Estimates'!$C$5:$C$2004,'Status'!$E$5,'Estimates'!$H$5:$H$2004,1)))))</x:f>
      </x:c>
      <x:c r="D140" s="13" t="str">
        <x:f>IF(OR(COUNTA($A140)=0,NOT(ISNUMBER('Status'!$F$5))),"",IF(COUNTIFS('Estimates'!$A$5:$A$2004,$A140,'Estimates'!$B$5:$B$2004,"MPS",'Estimates'!$C$5:$C$2004,'Status'!$F$5,'Estimates'!$H$5:$H$2004,1)=0,"",IF(COUNTIFS('Estimates'!$A$5:$A$2004,$A140,'Estimates'!$B$5:$B$2004,"MPS",'Estimates'!$C$5:$C$2004,'Status'!$F$5,'Estimates'!$H$5:$H$2004,1)&gt;1,"DUP",IF(COUNTIFS('Estimates'!$A$5:$A$2004,$A140,'Estimates'!$B$5:$B$2004,"MPS",'Estimates'!$C$5:$C$2004,'Status'!$F$5,'Estimates'!$H$5:$H$2004,1,'Estimates'!$F$5:$F$2004,"&lt;&gt;")=0,"",SUMIFS('Estimates'!$F$5:$F$2004,'Estimates'!$A$5:$A$2004,$A140,'Estimates'!$B$5:$B$2004,"MPS",'Estimates'!$C$5:$C$2004,'Status'!$F$5,'Estimates'!$H$5:$H$2004,1)))))</x:f>
      </x:c>
      <x:c r="E140" s="13" t="str">
        <x:f>IF(OR(COUNTA($A140)=0,NOT(ISNUMBER('Status'!$G$5))),"",IF(COUNTIFS('Estimates'!$A$5:$A$2004,$A140,'Estimates'!$B$5:$B$2004,"MPS",'Estimates'!$C$5:$C$2004,'Status'!$G$5,'Estimates'!$H$5:$H$2004,1)=0,"",IF(COUNTIFS('Estimates'!$A$5:$A$2004,$A140,'Estimates'!$B$5:$B$2004,"MPS",'Estimates'!$C$5:$C$2004,'Status'!$G$5,'Estimates'!$H$5:$H$2004,1)&gt;1,"DUP",IF(COUNTIFS('Estimates'!$A$5:$A$2004,$A140,'Estimates'!$B$5:$B$2004,"MPS",'Estimates'!$C$5:$C$2004,'Status'!$G$5,'Estimates'!$H$5:$H$2004,1,'Estimates'!$F$5:$F$2004,"&lt;&gt;")=0,"",SUMIFS('Estimates'!$F$5:$F$2004,'Estimates'!$A$5:$A$2004,$A140,'Estimates'!$B$5:$B$2004,"MPS",'Estimates'!$C$5:$C$2004,'Status'!$G$5,'Estimates'!$H$5:$H$2004,1)))))</x:f>
      </x:c>
      <x:c r="F140" s="13" t="str">
        <x:f>IF(AND(ISNUMBER(C140),ISNUMBER(D140)),D140-C140,"")</x:f>
      </x:c>
      <x:c r="G140" s="13" t="str">
        <x:f>IF(AND(ISNUMBER(D140),ISNUMBER(E140)),E140-D140,"")</x:f>
      </x:c>
      <x:c r="H140" s="13" t="str">
        <x:f>IF(AND(COUNT(C140:E140)=3,COUNT('Status'!$E$5:$G$5)=3,'Status'!$E$5&gt;0,'Status'!$E$5&lt;'Status'!$F$5,'Status'!$F$5&lt;'Status'!$G$5),ABS(E140-(D140+(D140-C140)*((1/'Status'!$G$5)-(1/'Status'!$F$5))/((1/'Status'!$F$5)-(1/'Status'!$E$5)))),"")</x:f>
      </x:c>
      <x:c r="I140" s="13" t="str">
        <x:f>IF(AND(COUNT(C140:E140)=3,COUNT('Status'!$E$5:$G$5)=3,'Status'!$E$5&gt;0,'Status'!$E$5&lt;'Status'!$F$5,'Status'!$F$5&lt;'Status'!$G$5),((1/'Status'!$F$5)*E140-(1/'Status'!$G$5)*D140)/((1/'Status'!$F$5)-(1/'Status'!$G$5)),"")</x:f>
      </x:c>
      <x:c r="J140" s="13" t="str">
        <x:f>IF(OR(COUNTA($A140)=0,NOT(ISNUMBER('Status'!$E$6))),"",IF(COUNTIFS('Estimates'!$A$5:$A$2004,$A140,'Estimates'!$B$5:$B$2004,"PPS",'Estimates'!$D$5:$D$2004,'Status'!$E$6,'Estimates'!$H$5:$H$2004,1,'Estimates'!$E$5:$E$2004,'Status'!$E$7)=0,"",IF(COUNTIFS('Estimates'!$A$5:$A$2004,$A140,'Estimates'!$B$5:$B$2004,"PPS",'Estimates'!$D$5:$D$2004,'Status'!$E$6,'Estimates'!$H$5:$H$2004,1,'Estimates'!$E$5:$E$2004,'Status'!$E$7)&gt;1,"DUP",IF(COUNTIFS('Estimates'!$A$5:$A$2004,$A140,'Estimates'!$B$5:$B$2004,"PPS",'Estimates'!$D$5:$D$2004,'Status'!$E$6,'Estimates'!$H$5:$H$2004,1,'Estimates'!$E$5:$E$2004,'Status'!$E$7,'Estimates'!$F$5:$F$2004,"&lt;&gt;")=0,"",SUMIFS('Estimates'!$F$5:$F$2004,'Estimates'!$A$5:$A$2004,$A140,'Estimates'!$B$5:$B$2004,"PPS",'Estimates'!$D$5:$D$2004,'Status'!$E$6,'Estimates'!$H$5:$H$2004,1,'Estimates'!$E$5:$E$2004,'Status'!$E$7)))))</x:f>
      </x:c>
      <x:c r="K140" s="13" t="str">
        <x:f>IF(OR(COUNTA($A140)=0,NOT(ISNUMBER('Status'!$F$6))),"",IF(COUNTIFS('Estimates'!$A$5:$A$2004,$A140,'Estimates'!$B$5:$B$2004,"PPS",'Estimates'!$D$5:$D$2004,'Status'!$F$6,'Estimates'!$H$5:$H$2004,1,'Estimates'!$E$5:$E$2004,'Status'!$E$7)=0,"",IF(COUNTIFS('Estimates'!$A$5:$A$2004,$A140,'Estimates'!$B$5:$B$2004,"PPS",'Estimates'!$D$5:$D$2004,'Status'!$F$6,'Estimates'!$H$5:$H$2004,1,'Estimates'!$E$5:$E$2004,'Status'!$E$7)&gt;1,"DUP",IF(COUNTIFS('Estimates'!$A$5:$A$2004,$A140,'Estimates'!$B$5:$B$2004,"PPS",'Estimates'!$D$5:$D$2004,'Status'!$F$6,'Estimates'!$H$5:$H$2004,1,'Estimates'!$E$5:$E$2004,'Status'!$E$7,'Estimates'!$F$5:$F$2004,"&lt;&gt;")=0,"",SUMIFS('Estimates'!$F$5:$F$2004,'Estimates'!$A$5:$A$2004,$A140,'Estimates'!$B$5:$B$2004,"PPS",'Estimates'!$D$5:$D$2004,'Status'!$F$6,'Estimates'!$H$5:$H$2004,1,'Estimates'!$E$5:$E$2004,'Status'!$E$7)))))</x:f>
      </x:c>
      <x:c r="L140" s="13" t="str">
        <x:f>IF(OR(COUNTA($A140)=0,NOT(ISNUMBER('Status'!$G$6))),"",IF(COUNTIFS('Estimates'!$A$5:$A$2004,$A140,'Estimates'!$B$5:$B$2004,"PPS",'Estimates'!$D$5:$D$2004,'Status'!$G$6,'Estimates'!$H$5:$H$2004,1,'Estimates'!$E$5:$E$2004,'Status'!$E$7)=0,"",IF(COUNTIFS('Estimates'!$A$5:$A$2004,$A140,'Estimates'!$B$5:$B$2004,"PPS",'Estimates'!$D$5:$D$2004,'Status'!$G$6,'Estimates'!$H$5:$H$2004,1,'Estimates'!$E$5:$E$2004,'Status'!$E$7)&gt;1,"DUP",IF(COUNTIFS('Estimates'!$A$5:$A$2004,$A140,'Estimates'!$B$5:$B$2004,"PPS",'Estimates'!$D$5:$D$2004,'Status'!$G$6,'Estimates'!$H$5:$H$2004,1,'Estimates'!$E$5:$E$2004,'Status'!$E$7,'Estimates'!$F$5:$F$2004,"&lt;&gt;")=0,"",SUMIFS('Estimates'!$F$5:$F$2004,'Estimates'!$A$5:$A$2004,$A140,'Estimates'!$B$5:$B$2004,"PPS",'Estimates'!$D$5:$D$2004,'Status'!$G$6,'Estimates'!$H$5:$H$2004,1,'Estimates'!$E$5:$E$2004,'Status'!$E$7)))))</x:f>
      </x:c>
      <x:c r="M140" s="13" t="str">
        <x:f>IF(AND(ISNUMBER(J140),ISNUMBER(K140)),K140-J140,"")</x:f>
      </x:c>
      <x:c r="N140" s="13" t="str">
        <x:f>IF(AND(ISNUMBER(K140),ISNUMBER(L140)),L140-K140,"")</x:f>
      </x:c>
      <x:c r="O140" s="13" t="str">
        <x:f>IF(AND(COUNT(J140:L140)=3,COUNT('Status'!$E$6:$G$6)=3,'Status'!$E$6&gt;'Status'!$F$6,'Status'!$F$6&gt;'Status'!$G$6,'Status'!$G$6&gt;0),ABS(L140-(K140+(K140-J140)*('Status'!$G$6-'Status'!$F$6)/('Status'!$F$6-'Status'!$E$6))),"")</x:f>
      </x:c>
      <x:c r="P140" s="13" t="str">
        <x:f>IF(AND(COUNT(J140:L140)=3,COUNT('Status'!$E$6:$G$6)=3,'Status'!$E$6&gt;'Status'!$F$6,'Status'!$F$6&gt;'Status'!$G$6,'Status'!$G$6&gt;0),('Status'!$F$6*L140-'Status'!$G$6*K140)/('Status'!$F$6-'Status'!$G$6),"")</x:f>
      </x:c>
      <x:c r="Q140" s="20"/>
      <x:c r="R140" s="13" t="str">
        <x:f>IF(COUNTA($A140)=0,"",IF('Status'!$B$6="MPS 1",IF(ISNUMBER(C140),C140,""),IF('Status'!$B$6="MPS 2",IF(ISNUMBER(D140),D140,""),IF('Status'!$B$6="MPS 3",IF(ISNUMBER(E140),E140,""),IF('Status'!$B$6="MPS extrap",IF(ISNUMBER(I140),I140,""),IF('Status'!$B$6="PPS 1",IF(ISNUMBER(J140),J140,""),IF('Status'!$B$6="PPS 2",IF(ISNUMBER(K140),K140,""),IF('Status'!$B$6="PPS 3",IF(ISNUMBER(L140),L140,""),IF('Status'!$B$6="PPS extrap",IF(ISNUMBER(P140),P140,""),IF('Status'!$B$6="Calibrated",IF(ISNUMBER(Q140),Q140,""),""))))))))))</x:f>
      </x:c>
      <x:c r="S140" s="2" t="str">
        <x:f>IF(COUNTA(A140)=0,"",IF(COUNTIFS('Estimates'!$A$5:$A$2004,A140,'Estimates'!$B$5:$B$2004,"MPS",'Estimates'!$H$5:$H$2004,1)+COUNTIFS('Estimates'!$A$5:$A$2004,A140,'Estimates'!$B$5:$B$2004,"PPS",'Estimates'!$H$5:$H$2004,1)&gt;0,1,0))</x:f>
      </x:c>
      <x:c r="T140" s="2" t="str">
        <x:f>IF(COUNTA(A140)=0,"",IF(COUNTIFS($A$6:$A$165,A140)&gt;1,"Duplicate target",IF(COUNTIFS(C140:E140,"DUP")+COUNTIFS(J140:L140,"DUP")&gt;0,"Duplicate accepted run",IF(COUNTIFS('Estimates'!$A$5:$A$2004,A140,'Estimates'!$H$5:$H$2004,1)-COUNTIFS('Estimates'!$A$5:$A$2004,A140,'Estimates'!$H$5:$H$2004,1,'Estimates'!$F$5:$F$2004,"&lt;&gt;")&gt;0,"Accepted value missing",""))))</x:f>
      </x:c>
    </x:row>
    <x:row r="141">
      <x:c r="A141" s="21"/>
      <x:c r="B141" s="19"/>
      <x:c r="C141" s="13" t="str">
        <x:f>IF(OR(COUNTA($A141)=0,NOT(ISNUMBER('Status'!$E$5))),"",IF(COUNTIFS('Estimates'!$A$5:$A$2004,$A141,'Estimates'!$B$5:$B$2004,"MPS",'Estimates'!$C$5:$C$2004,'Status'!$E$5,'Estimates'!$H$5:$H$2004,1)=0,"",IF(COUNTIFS('Estimates'!$A$5:$A$2004,$A141,'Estimates'!$B$5:$B$2004,"MPS",'Estimates'!$C$5:$C$2004,'Status'!$E$5,'Estimates'!$H$5:$H$2004,1)&gt;1,"DUP",IF(COUNTIFS('Estimates'!$A$5:$A$2004,$A141,'Estimates'!$B$5:$B$2004,"MPS",'Estimates'!$C$5:$C$2004,'Status'!$E$5,'Estimates'!$H$5:$H$2004,1,'Estimates'!$F$5:$F$2004,"&lt;&gt;")=0,"",SUMIFS('Estimates'!$F$5:$F$2004,'Estimates'!$A$5:$A$2004,$A141,'Estimates'!$B$5:$B$2004,"MPS",'Estimates'!$C$5:$C$2004,'Status'!$E$5,'Estimates'!$H$5:$H$2004,1)))))</x:f>
      </x:c>
      <x:c r="D141" s="13" t="str">
        <x:f>IF(OR(COUNTA($A141)=0,NOT(ISNUMBER('Status'!$F$5))),"",IF(COUNTIFS('Estimates'!$A$5:$A$2004,$A141,'Estimates'!$B$5:$B$2004,"MPS",'Estimates'!$C$5:$C$2004,'Status'!$F$5,'Estimates'!$H$5:$H$2004,1)=0,"",IF(COUNTIFS('Estimates'!$A$5:$A$2004,$A141,'Estimates'!$B$5:$B$2004,"MPS",'Estimates'!$C$5:$C$2004,'Status'!$F$5,'Estimates'!$H$5:$H$2004,1)&gt;1,"DUP",IF(COUNTIFS('Estimates'!$A$5:$A$2004,$A141,'Estimates'!$B$5:$B$2004,"MPS",'Estimates'!$C$5:$C$2004,'Status'!$F$5,'Estimates'!$H$5:$H$2004,1,'Estimates'!$F$5:$F$2004,"&lt;&gt;")=0,"",SUMIFS('Estimates'!$F$5:$F$2004,'Estimates'!$A$5:$A$2004,$A141,'Estimates'!$B$5:$B$2004,"MPS",'Estimates'!$C$5:$C$2004,'Status'!$F$5,'Estimates'!$H$5:$H$2004,1)))))</x:f>
      </x:c>
      <x:c r="E141" s="13" t="str">
        <x:f>IF(OR(COUNTA($A141)=0,NOT(ISNUMBER('Status'!$G$5))),"",IF(COUNTIFS('Estimates'!$A$5:$A$2004,$A141,'Estimates'!$B$5:$B$2004,"MPS",'Estimates'!$C$5:$C$2004,'Status'!$G$5,'Estimates'!$H$5:$H$2004,1)=0,"",IF(COUNTIFS('Estimates'!$A$5:$A$2004,$A141,'Estimates'!$B$5:$B$2004,"MPS",'Estimates'!$C$5:$C$2004,'Status'!$G$5,'Estimates'!$H$5:$H$2004,1)&gt;1,"DUP",IF(COUNTIFS('Estimates'!$A$5:$A$2004,$A141,'Estimates'!$B$5:$B$2004,"MPS",'Estimates'!$C$5:$C$2004,'Status'!$G$5,'Estimates'!$H$5:$H$2004,1,'Estimates'!$F$5:$F$2004,"&lt;&gt;")=0,"",SUMIFS('Estimates'!$F$5:$F$2004,'Estimates'!$A$5:$A$2004,$A141,'Estimates'!$B$5:$B$2004,"MPS",'Estimates'!$C$5:$C$2004,'Status'!$G$5,'Estimates'!$H$5:$H$2004,1)))))</x:f>
      </x:c>
      <x:c r="F141" s="13" t="str">
        <x:f>IF(AND(ISNUMBER(C141),ISNUMBER(D141)),D141-C141,"")</x:f>
      </x:c>
      <x:c r="G141" s="13" t="str">
        <x:f>IF(AND(ISNUMBER(D141),ISNUMBER(E141)),E141-D141,"")</x:f>
      </x:c>
      <x:c r="H141" s="13" t="str">
        <x:f>IF(AND(COUNT(C141:E141)=3,COUNT('Status'!$E$5:$G$5)=3,'Status'!$E$5&gt;0,'Status'!$E$5&lt;'Status'!$F$5,'Status'!$F$5&lt;'Status'!$G$5),ABS(E141-(D141+(D141-C141)*((1/'Status'!$G$5)-(1/'Status'!$F$5))/((1/'Status'!$F$5)-(1/'Status'!$E$5)))),"")</x:f>
      </x:c>
      <x:c r="I141" s="13" t="str">
        <x:f>IF(AND(COUNT(C141:E141)=3,COUNT('Status'!$E$5:$G$5)=3,'Status'!$E$5&gt;0,'Status'!$E$5&lt;'Status'!$F$5,'Status'!$F$5&lt;'Status'!$G$5),((1/'Status'!$F$5)*E141-(1/'Status'!$G$5)*D141)/((1/'Status'!$F$5)-(1/'Status'!$G$5)),"")</x:f>
      </x:c>
      <x:c r="J141" s="13" t="str">
        <x:f>IF(OR(COUNTA($A141)=0,NOT(ISNUMBER('Status'!$E$6))),"",IF(COUNTIFS('Estimates'!$A$5:$A$2004,$A141,'Estimates'!$B$5:$B$2004,"PPS",'Estimates'!$D$5:$D$2004,'Status'!$E$6,'Estimates'!$H$5:$H$2004,1,'Estimates'!$E$5:$E$2004,'Status'!$E$7)=0,"",IF(COUNTIFS('Estimates'!$A$5:$A$2004,$A141,'Estimates'!$B$5:$B$2004,"PPS",'Estimates'!$D$5:$D$2004,'Status'!$E$6,'Estimates'!$H$5:$H$2004,1,'Estimates'!$E$5:$E$2004,'Status'!$E$7)&gt;1,"DUP",IF(COUNTIFS('Estimates'!$A$5:$A$2004,$A141,'Estimates'!$B$5:$B$2004,"PPS",'Estimates'!$D$5:$D$2004,'Status'!$E$6,'Estimates'!$H$5:$H$2004,1,'Estimates'!$E$5:$E$2004,'Status'!$E$7,'Estimates'!$F$5:$F$2004,"&lt;&gt;")=0,"",SUMIFS('Estimates'!$F$5:$F$2004,'Estimates'!$A$5:$A$2004,$A141,'Estimates'!$B$5:$B$2004,"PPS",'Estimates'!$D$5:$D$2004,'Status'!$E$6,'Estimates'!$H$5:$H$2004,1,'Estimates'!$E$5:$E$2004,'Status'!$E$7)))))</x:f>
      </x:c>
      <x:c r="K141" s="13" t="str">
        <x:f>IF(OR(COUNTA($A141)=0,NOT(ISNUMBER('Status'!$F$6))),"",IF(COUNTIFS('Estimates'!$A$5:$A$2004,$A141,'Estimates'!$B$5:$B$2004,"PPS",'Estimates'!$D$5:$D$2004,'Status'!$F$6,'Estimates'!$H$5:$H$2004,1,'Estimates'!$E$5:$E$2004,'Status'!$E$7)=0,"",IF(COUNTIFS('Estimates'!$A$5:$A$2004,$A141,'Estimates'!$B$5:$B$2004,"PPS",'Estimates'!$D$5:$D$2004,'Status'!$F$6,'Estimates'!$H$5:$H$2004,1,'Estimates'!$E$5:$E$2004,'Status'!$E$7)&gt;1,"DUP",IF(COUNTIFS('Estimates'!$A$5:$A$2004,$A141,'Estimates'!$B$5:$B$2004,"PPS",'Estimates'!$D$5:$D$2004,'Status'!$F$6,'Estimates'!$H$5:$H$2004,1,'Estimates'!$E$5:$E$2004,'Status'!$E$7,'Estimates'!$F$5:$F$2004,"&lt;&gt;")=0,"",SUMIFS('Estimates'!$F$5:$F$2004,'Estimates'!$A$5:$A$2004,$A141,'Estimates'!$B$5:$B$2004,"PPS",'Estimates'!$D$5:$D$2004,'Status'!$F$6,'Estimates'!$H$5:$H$2004,1,'Estimates'!$E$5:$E$2004,'Status'!$E$7)))))</x:f>
      </x:c>
      <x:c r="L141" s="13" t="str">
        <x:f>IF(OR(COUNTA($A141)=0,NOT(ISNUMBER('Status'!$G$6))),"",IF(COUNTIFS('Estimates'!$A$5:$A$2004,$A141,'Estimates'!$B$5:$B$2004,"PPS",'Estimates'!$D$5:$D$2004,'Status'!$G$6,'Estimates'!$H$5:$H$2004,1,'Estimates'!$E$5:$E$2004,'Status'!$E$7)=0,"",IF(COUNTIFS('Estimates'!$A$5:$A$2004,$A141,'Estimates'!$B$5:$B$2004,"PPS",'Estimates'!$D$5:$D$2004,'Status'!$G$6,'Estimates'!$H$5:$H$2004,1,'Estimates'!$E$5:$E$2004,'Status'!$E$7)&gt;1,"DUP",IF(COUNTIFS('Estimates'!$A$5:$A$2004,$A141,'Estimates'!$B$5:$B$2004,"PPS",'Estimates'!$D$5:$D$2004,'Status'!$G$6,'Estimates'!$H$5:$H$2004,1,'Estimates'!$E$5:$E$2004,'Status'!$E$7,'Estimates'!$F$5:$F$2004,"&lt;&gt;")=0,"",SUMIFS('Estimates'!$F$5:$F$2004,'Estimates'!$A$5:$A$2004,$A141,'Estimates'!$B$5:$B$2004,"PPS",'Estimates'!$D$5:$D$2004,'Status'!$G$6,'Estimates'!$H$5:$H$2004,1,'Estimates'!$E$5:$E$2004,'Status'!$E$7)))))</x:f>
      </x:c>
      <x:c r="M141" s="13" t="str">
        <x:f>IF(AND(ISNUMBER(J141),ISNUMBER(K141)),K141-J141,"")</x:f>
      </x:c>
      <x:c r="N141" s="13" t="str">
        <x:f>IF(AND(ISNUMBER(K141),ISNUMBER(L141)),L141-K141,"")</x:f>
      </x:c>
      <x:c r="O141" s="13" t="str">
        <x:f>IF(AND(COUNT(J141:L141)=3,COUNT('Status'!$E$6:$G$6)=3,'Status'!$E$6&gt;'Status'!$F$6,'Status'!$F$6&gt;'Status'!$G$6,'Status'!$G$6&gt;0),ABS(L141-(K141+(K141-J141)*('Status'!$G$6-'Status'!$F$6)/('Status'!$F$6-'Status'!$E$6))),"")</x:f>
      </x:c>
      <x:c r="P141" s="13" t="str">
        <x:f>IF(AND(COUNT(J141:L141)=3,COUNT('Status'!$E$6:$G$6)=3,'Status'!$E$6&gt;'Status'!$F$6,'Status'!$F$6&gt;'Status'!$G$6,'Status'!$G$6&gt;0),('Status'!$F$6*L141-'Status'!$G$6*K141)/('Status'!$F$6-'Status'!$G$6),"")</x:f>
      </x:c>
      <x:c r="Q141" s="20"/>
      <x:c r="R141" s="13" t="str">
        <x:f>IF(COUNTA($A141)=0,"",IF('Status'!$B$6="MPS 1",IF(ISNUMBER(C141),C141,""),IF('Status'!$B$6="MPS 2",IF(ISNUMBER(D141),D141,""),IF('Status'!$B$6="MPS 3",IF(ISNUMBER(E141),E141,""),IF('Status'!$B$6="MPS extrap",IF(ISNUMBER(I141),I141,""),IF('Status'!$B$6="PPS 1",IF(ISNUMBER(J141),J141,""),IF('Status'!$B$6="PPS 2",IF(ISNUMBER(K141),K141,""),IF('Status'!$B$6="PPS 3",IF(ISNUMBER(L141),L141,""),IF('Status'!$B$6="PPS extrap",IF(ISNUMBER(P141),P141,""),IF('Status'!$B$6="Calibrated",IF(ISNUMBER(Q141),Q141,""),""))))))))))</x:f>
      </x:c>
      <x:c r="S141" s="2" t="str">
        <x:f>IF(COUNTA(A141)=0,"",IF(COUNTIFS('Estimates'!$A$5:$A$2004,A141,'Estimates'!$B$5:$B$2004,"MPS",'Estimates'!$H$5:$H$2004,1)+COUNTIFS('Estimates'!$A$5:$A$2004,A141,'Estimates'!$B$5:$B$2004,"PPS",'Estimates'!$H$5:$H$2004,1)&gt;0,1,0))</x:f>
      </x:c>
      <x:c r="T141" s="2" t="str">
        <x:f>IF(COUNTA(A141)=0,"",IF(COUNTIFS($A$6:$A$165,A141)&gt;1,"Duplicate target",IF(COUNTIFS(C141:E141,"DUP")+COUNTIFS(J141:L141,"DUP")&gt;0,"Duplicate accepted run",IF(COUNTIFS('Estimates'!$A$5:$A$2004,A141,'Estimates'!$H$5:$H$2004,1)-COUNTIFS('Estimates'!$A$5:$A$2004,A141,'Estimates'!$H$5:$H$2004,1,'Estimates'!$F$5:$F$2004,"&lt;&gt;")&gt;0,"Accepted value missing",""))))</x:f>
      </x:c>
    </x:row>
    <x:row r="142">
      <x:c r="A142" s="21"/>
      <x:c r="B142" s="19"/>
      <x:c r="C142" s="13" t="str">
        <x:f>IF(OR(COUNTA($A142)=0,NOT(ISNUMBER('Status'!$E$5))),"",IF(COUNTIFS('Estimates'!$A$5:$A$2004,$A142,'Estimates'!$B$5:$B$2004,"MPS",'Estimates'!$C$5:$C$2004,'Status'!$E$5,'Estimates'!$H$5:$H$2004,1)=0,"",IF(COUNTIFS('Estimates'!$A$5:$A$2004,$A142,'Estimates'!$B$5:$B$2004,"MPS",'Estimates'!$C$5:$C$2004,'Status'!$E$5,'Estimates'!$H$5:$H$2004,1)&gt;1,"DUP",IF(COUNTIFS('Estimates'!$A$5:$A$2004,$A142,'Estimates'!$B$5:$B$2004,"MPS",'Estimates'!$C$5:$C$2004,'Status'!$E$5,'Estimates'!$H$5:$H$2004,1,'Estimates'!$F$5:$F$2004,"&lt;&gt;")=0,"",SUMIFS('Estimates'!$F$5:$F$2004,'Estimates'!$A$5:$A$2004,$A142,'Estimates'!$B$5:$B$2004,"MPS",'Estimates'!$C$5:$C$2004,'Status'!$E$5,'Estimates'!$H$5:$H$2004,1)))))</x:f>
      </x:c>
      <x:c r="D142" s="13" t="str">
        <x:f>IF(OR(COUNTA($A142)=0,NOT(ISNUMBER('Status'!$F$5))),"",IF(COUNTIFS('Estimates'!$A$5:$A$2004,$A142,'Estimates'!$B$5:$B$2004,"MPS",'Estimates'!$C$5:$C$2004,'Status'!$F$5,'Estimates'!$H$5:$H$2004,1)=0,"",IF(COUNTIFS('Estimates'!$A$5:$A$2004,$A142,'Estimates'!$B$5:$B$2004,"MPS",'Estimates'!$C$5:$C$2004,'Status'!$F$5,'Estimates'!$H$5:$H$2004,1)&gt;1,"DUP",IF(COUNTIFS('Estimates'!$A$5:$A$2004,$A142,'Estimates'!$B$5:$B$2004,"MPS",'Estimates'!$C$5:$C$2004,'Status'!$F$5,'Estimates'!$H$5:$H$2004,1,'Estimates'!$F$5:$F$2004,"&lt;&gt;")=0,"",SUMIFS('Estimates'!$F$5:$F$2004,'Estimates'!$A$5:$A$2004,$A142,'Estimates'!$B$5:$B$2004,"MPS",'Estimates'!$C$5:$C$2004,'Status'!$F$5,'Estimates'!$H$5:$H$2004,1)))))</x:f>
      </x:c>
      <x:c r="E142" s="13" t="str">
        <x:f>IF(OR(COUNTA($A142)=0,NOT(ISNUMBER('Status'!$G$5))),"",IF(COUNTIFS('Estimates'!$A$5:$A$2004,$A142,'Estimates'!$B$5:$B$2004,"MPS",'Estimates'!$C$5:$C$2004,'Status'!$G$5,'Estimates'!$H$5:$H$2004,1)=0,"",IF(COUNTIFS('Estimates'!$A$5:$A$2004,$A142,'Estimates'!$B$5:$B$2004,"MPS",'Estimates'!$C$5:$C$2004,'Status'!$G$5,'Estimates'!$H$5:$H$2004,1)&gt;1,"DUP",IF(COUNTIFS('Estimates'!$A$5:$A$2004,$A142,'Estimates'!$B$5:$B$2004,"MPS",'Estimates'!$C$5:$C$2004,'Status'!$G$5,'Estimates'!$H$5:$H$2004,1,'Estimates'!$F$5:$F$2004,"&lt;&gt;")=0,"",SUMIFS('Estimates'!$F$5:$F$2004,'Estimates'!$A$5:$A$2004,$A142,'Estimates'!$B$5:$B$2004,"MPS",'Estimates'!$C$5:$C$2004,'Status'!$G$5,'Estimates'!$H$5:$H$2004,1)))))</x:f>
      </x:c>
      <x:c r="F142" s="13" t="str">
        <x:f>IF(AND(ISNUMBER(C142),ISNUMBER(D142)),D142-C142,"")</x:f>
      </x:c>
      <x:c r="G142" s="13" t="str">
        <x:f>IF(AND(ISNUMBER(D142),ISNUMBER(E142)),E142-D142,"")</x:f>
      </x:c>
      <x:c r="H142" s="13" t="str">
        <x:f>IF(AND(COUNT(C142:E142)=3,COUNT('Status'!$E$5:$G$5)=3,'Status'!$E$5&gt;0,'Status'!$E$5&lt;'Status'!$F$5,'Status'!$F$5&lt;'Status'!$G$5),ABS(E142-(D142+(D142-C142)*((1/'Status'!$G$5)-(1/'Status'!$F$5))/((1/'Status'!$F$5)-(1/'Status'!$E$5)))),"")</x:f>
      </x:c>
      <x:c r="I142" s="13" t="str">
        <x:f>IF(AND(COUNT(C142:E142)=3,COUNT('Status'!$E$5:$G$5)=3,'Status'!$E$5&gt;0,'Status'!$E$5&lt;'Status'!$F$5,'Status'!$F$5&lt;'Status'!$G$5),((1/'Status'!$F$5)*E142-(1/'Status'!$G$5)*D142)/((1/'Status'!$F$5)-(1/'Status'!$G$5)),"")</x:f>
      </x:c>
      <x:c r="J142" s="13" t="str">
        <x:f>IF(OR(COUNTA($A142)=0,NOT(ISNUMBER('Status'!$E$6))),"",IF(COUNTIFS('Estimates'!$A$5:$A$2004,$A142,'Estimates'!$B$5:$B$2004,"PPS",'Estimates'!$D$5:$D$2004,'Status'!$E$6,'Estimates'!$H$5:$H$2004,1,'Estimates'!$E$5:$E$2004,'Status'!$E$7)=0,"",IF(COUNTIFS('Estimates'!$A$5:$A$2004,$A142,'Estimates'!$B$5:$B$2004,"PPS",'Estimates'!$D$5:$D$2004,'Status'!$E$6,'Estimates'!$H$5:$H$2004,1,'Estimates'!$E$5:$E$2004,'Status'!$E$7)&gt;1,"DUP",IF(COUNTIFS('Estimates'!$A$5:$A$2004,$A142,'Estimates'!$B$5:$B$2004,"PPS",'Estimates'!$D$5:$D$2004,'Status'!$E$6,'Estimates'!$H$5:$H$2004,1,'Estimates'!$E$5:$E$2004,'Status'!$E$7,'Estimates'!$F$5:$F$2004,"&lt;&gt;")=0,"",SUMIFS('Estimates'!$F$5:$F$2004,'Estimates'!$A$5:$A$2004,$A142,'Estimates'!$B$5:$B$2004,"PPS",'Estimates'!$D$5:$D$2004,'Status'!$E$6,'Estimates'!$H$5:$H$2004,1,'Estimates'!$E$5:$E$2004,'Status'!$E$7)))))</x:f>
      </x:c>
      <x:c r="K142" s="13" t="str">
        <x:f>IF(OR(COUNTA($A142)=0,NOT(ISNUMBER('Status'!$F$6))),"",IF(COUNTIFS('Estimates'!$A$5:$A$2004,$A142,'Estimates'!$B$5:$B$2004,"PPS",'Estimates'!$D$5:$D$2004,'Status'!$F$6,'Estimates'!$H$5:$H$2004,1,'Estimates'!$E$5:$E$2004,'Status'!$E$7)=0,"",IF(COUNTIFS('Estimates'!$A$5:$A$2004,$A142,'Estimates'!$B$5:$B$2004,"PPS",'Estimates'!$D$5:$D$2004,'Status'!$F$6,'Estimates'!$H$5:$H$2004,1,'Estimates'!$E$5:$E$2004,'Status'!$E$7)&gt;1,"DUP",IF(COUNTIFS('Estimates'!$A$5:$A$2004,$A142,'Estimates'!$B$5:$B$2004,"PPS",'Estimates'!$D$5:$D$2004,'Status'!$F$6,'Estimates'!$H$5:$H$2004,1,'Estimates'!$E$5:$E$2004,'Status'!$E$7,'Estimates'!$F$5:$F$2004,"&lt;&gt;")=0,"",SUMIFS('Estimates'!$F$5:$F$2004,'Estimates'!$A$5:$A$2004,$A142,'Estimates'!$B$5:$B$2004,"PPS",'Estimates'!$D$5:$D$2004,'Status'!$F$6,'Estimates'!$H$5:$H$2004,1,'Estimates'!$E$5:$E$2004,'Status'!$E$7)))))</x:f>
      </x:c>
      <x:c r="L142" s="13" t="str">
        <x:f>IF(OR(COUNTA($A142)=0,NOT(ISNUMBER('Status'!$G$6))),"",IF(COUNTIFS('Estimates'!$A$5:$A$2004,$A142,'Estimates'!$B$5:$B$2004,"PPS",'Estimates'!$D$5:$D$2004,'Status'!$G$6,'Estimates'!$H$5:$H$2004,1,'Estimates'!$E$5:$E$2004,'Status'!$E$7)=0,"",IF(COUNTIFS('Estimates'!$A$5:$A$2004,$A142,'Estimates'!$B$5:$B$2004,"PPS",'Estimates'!$D$5:$D$2004,'Status'!$G$6,'Estimates'!$H$5:$H$2004,1,'Estimates'!$E$5:$E$2004,'Status'!$E$7)&gt;1,"DUP",IF(COUNTIFS('Estimates'!$A$5:$A$2004,$A142,'Estimates'!$B$5:$B$2004,"PPS",'Estimates'!$D$5:$D$2004,'Status'!$G$6,'Estimates'!$H$5:$H$2004,1,'Estimates'!$E$5:$E$2004,'Status'!$E$7,'Estimates'!$F$5:$F$2004,"&lt;&gt;")=0,"",SUMIFS('Estimates'!$F$5:$F$2004,'Estimates'!$A$5:$A$2004,$A142,'Estimates'!$B$5:$B$2004,"PPS",'Estimates'!$D$5:$D$2004,'Status'!$G$6,'Estimates'!$H$5:$H$2004,1,'Estimates'!$E$5:$E$2004,'Status'!$E$7)))))</x:f>
      </x:c>
      <x:c r="M142" s="13" t="str">
        <x:f>IF(AND(ISNUMBER(J142),ISNUMBER(K142)),K142-J142,"")</x:f>
      </x:c>
      <x:c r="N142" s="13" t="str">
        <x:f>IF(AND(ISNUMBER(K142),ISNUMBER(L142)),L142-K142,"")</x:f>
      </x:c>
      <x:c r="O142" s="13" t="str">
        <x:f>IF(AND(COUNT(J142:L142)=3,COUNT('Status'!$E$6:$G$6)=3,'Status'!$E$6&gt;'Status'!$F$6,'Status'!$F$6&gt;'Status'!$G$6,'Status'!$G$6&gt;0),ABS(L142-(K142+(K142-J142)*('Status'!$G$6-'Status'!$F$6)/('Status'!$F$6-'Status'!$E$6))),"")</x:f>
      </x:c>
      <x:c r="P142" s="13" t="str">
        <x:f>IF(AND(COUNT(J142:L142)=3,COUNT('Status'!$E$6:$G$6)=3,'Status'!$E$6&gt;'Status'!$F$6,'Status'!$F$6&gt;'Status'!$G$6,'Status'!$G$6&gt;0),('Status'!$F$6*L142-'Status'!$G$6*K142)/('Status'!$F$6-'Status'!$G$6),"")</x:f>
      </x:c>
      <x:c r="Q142" s="20"/>
      <x:c r="R142" s="13" t="str">
        <x:f>IF(COUNTA($A142)=0,"",IF('Status'!$B$6="MPS 1",IF(ISNUMBER(C142),C142,""),IF('Status'!$B$6="MPS 2",IF(ISNUMBER(D142),D142,""),IF('Status'!$B$6="MPS 3",IF(ISNUMBER(E142),E142,""),IF('Status'!$B$6="MPS extrap",IF(ISNUMBER(I142),I142,""),IF('Status'!$B$6="PPS 1",IF(ISNUMBER(J142),J142,""),IF('Status'!$B$6="PPS 2",IF(ISNUMBER(K142),K142,""),IF('Status'!$B$6="PPS 3",IF(ISNUMBER(L142),L142,""),IF('Status'!$B$6="PPS extrap",IF(ISNUMBER(P142),P142,""),IF('Status'!$B$6="Calibrated",IF(ISNUMBER(Q142),Q142,""),""))))))))))</x:f>
      </x:c>
      <x:c r="S142" s="2" t="str">
        <x:f>IF(COUNTA(A142)=0,"",IF(COUNTIFS('Estimates'!$A$5:$A$2004,A142,'Estimates'!$B$5:$B$2004,"MPS",'Estimates'!$H$5:$H$2004,1)+COUNTIFS('Estimates'!$A$5:$A$2004,A142,'Estimates'!$B$5:$B$2004,"PPS",'Estimates'!$H$5:$H$2004,1)&gt;0,1,0))</x:f>
      </x:c>
      <x:c r="T142" s="2" t="str">
        <x:f>IF(COUNTA(A142)=0,"",IF(COUNTIFS($A$6:$A$165,A142)&gt;1,"Duplicate target",IF(COUNTIFS(C142:E142,"DUP")+COUNTIFS(J142:L142,"DUP")&gt;0,"Duplicate accepted run",IF(COUNTIFS('Estimates'!$A$5:$A$2004,A142,'Estimates'!$H$5:$H$2004,1)-COUNTIFS('Estimates'!$A$5:$A$2004,A142,'Estimates'!$H$5:$H$2004,1,'Estimates'!$F$5:$F$2004,"&lt;&gt;")&gt;0,"Accepted value missing",""))))</x:f>
      </x:c>
    </x:row>
    <x:row r="143">
      <x:c r="A143" s="21"/>
      <x:c r="B143" s="19"/>
      <x:c r="C143" s="13" t="str">
        <x:f>IF(OR(COUNTA($A143)=0,NOT(ISNUMBER('Status'!$E$5))),"",IF(COUNTIFS('Estimates'!$A$5:$A$2004,$A143,'Estimates'!$B$5:$B$2004,"MPS",'Estimates'!$C$5:$C$2004,'Status'!$E$5,'Estimates'!$H$5:$H$2004,1)=0,"",IF(COUNTIFS('Estimates'!$A$5:$A$2004,$A143,'Estimates'!$B$5:$B$2004,"MPS",'Estimates'!$C$5:$C$2004,'Status'!$E$5,'Estimates'!$H$5:$H$2004,1)&gt;1,"DUP",IF(COUNTIFS('Estimates'!$A$5:$A$2004,$A143,'Estimates'!$B$5:$B$2004,"MPS",'Estimates'!$C$5:$C$2004,'Status'!$E$5,'Estimates'!$H$5:$H$2004,1,'Estimates'!$F$5:$F$2004,"&lt;&gt;")=0,"",SUMIFS('Estimates'!$F$5:$F$2004,'Estimates'!$A$5:$A$2004,$A143,'Estimates'!$B$5:$B$2004,"MPS",'Estimates'!$C$5:$C$2004,'Status'!$E$5,'Estimates'!$H$5:$H$2004,1)))))</x:f>
      </x:c>
      <x:c r="D143" s="13" t="str">
        <x:f>IF(OR(COUNTA($A143)=0,NOT(ISNUMBER('Status'!$F$5))),"",IF(COUNTIFS('Estimates'!$A$5:$A$2004,$A143,'Estimates'!$B$5:$B$2004,"MPS",'Estimates'!$C$5:$C$2004,'Status'!$F$5,'Estimates'!$H$5:$H$2004,1)=0,"",IF(COUNTIFS('Estimates'!$A$5:$A$2004,$A143,'Estimates'!$B$5:$B$2004,"MPS",'Estimates'!$C$5:$C$2004,'Status'!$F$5,'Estimates'!$H$5:$H$2004,1)&gt;1,"DUP",IF(COUNTIFS('Estimates'!$A$5:$A$2004,$A143,'Estimates'!$B$5:$B$2004,"MPS",'Estimates'!$C$5:$C$2004,'Status'!$F$5,'Estimates'!$H$5:$H$2004,1,'Estimates'!$F$5:$F$2004,"&lt;&gt;")=0,"",SUMIFS('Estimates'!$F$5:$F$2004,'Estimates'!$A$5:$A$2004,$A143,'Estimates'!$B$5:$B$2004,"MPS",'Estimates'!$C$5:$C$2004,'Status'!$F$5,'Estimates'!$H$5:$H$2004,1)))))</x:f>
      </x:c>
      <x:c r="E143" s="13" t="str">
        <x:f>IF(OR(COUNTA($A143)=0,NOT(ISNUMBER('Status'!$G$5))),"",IF(COUNTIFS('Estimates'!$A$5:$A$2004,$A143,'Estimates'!$B$5:$B$2004,"MPS",'Estimates'!$C$5:$C$2004,'Status'!$G$5,'Estimates'!$H$5:$H$2004,1)=0,"",IF(COUNTIFS('Estimates'!$A$5:$A$2004,$A143,'Estimates'!$B$5:$B$2004,"MPS",'Estimates'!$C$5:$C$2004,'Status'!$G$5,'Estimates'!$H$5:$H$2004,1)&gt;1,"DUP",IF(COUNTIFS('Estimates'!$A$5:$A$2004,$A143,'Estimates'!$B$5:$B$2004,"MPS",'Estimates'!$C$5:$C$2004,'Status'!$G$5,'Estimates'!$H$5:$H$2004,1,'Estimates'!$F$5:$F$2004,"&lt;&gt;")=0,"",SUMIFS('Estimates'!$F$5:$F$2004,'Estimates'!$A$5:$A$2004,$A143,'Estimates'!$B$5:$B$2004,"MPS",'Estimates'!$C$5:$C$2004,'Status'!$G$5,'Estimates'!$H$5:$H$2004,1)))))</x:f>
      </x:c>
      <x:c r="F143" s="13" t="str">
        <x:f>IF(AND(ISNUMBER(C143),ISNUMBER(D143)),D143-C143,"")</x:f>
      </x:c>
      <x:c r="G143" s="13" t="str">
        <x:f>IF(AND(ISNUMBER(D143),ISNUMBER(E143)),E143-D143,"")</x:f>
      </x:c>
      <x:c r="H143" s="13" t="str">
        <x:f>IF(AND(COUNT(C143:E143)=3,COUNT('Status'!$E$5:$G$5)=3,'Status'!$E$5&gt;0,'Status'!$E$5&lt;'Status'!$F$5,'Status'!$F$5&lt;'Status'!$G$5),ABS(E143-(D143+(D143-C143)*((1/'Status'!$G$5)-(1/'Status'!$F$5))/((1/'Status'!$F$5)-(1/'Status'!$E$5)))),"")</x:f>
      </x:c>
      <x:c r="I143" s="13" t="str">
        <x:f>IF(AND(COUNT(C143:E143)=3,COUNT('Status'!$E$5:$G$5)=3,'Status'!$E$5&gt;0,'Status'!$E$5&lt;'Status'!$F$5,'Status'!$F$5&lt;'Status'!$G$5),((1/'Status'!$F$5)*E143-(1/'Status'!$G$5)*D143)/((1/'Status'!$F$5)-(1/'Status'!$G$5)),"")</x:f>
      </x:c>
      <x:c r="J143" s="13" t="str">
        <x:f>IF(OR(COUNTA($A143)=0,NOT(ISNUMBER('Status'!$E$6))),"",IF(COUNTIFS('Estimates'!$A$5:$A$2004,$A143,'Estimates'!$B$5:$B$2004,"PPS",'Estimates'!$D$5:$D$2004,'Status'!$E$6,'Estimates'!$H$5:$H$2004,1,'Estimates'!$E$5:$E$2004,'Status'!$E$7)=0,"",IF(COUNTIFS('Estimates'!$A$5:$A$2004,$A143,'Estimates'!$B$5:$B$2004,"PPS",'Estimates'!$D$5:$D$2004,'Status'!$E$6,'Estimates'!$H$5:$H$2004,1,'Estimates'!$E$5:$E$2004,'Status'!$E$7)&gt;1,"DUP",IF(COUNTIFS('Estimates'!$A$5:$A$2004,$A143,'Estimates'!$B$5:$B$2004,"PPS",'Estimates'!$D$5:$D$2004,'Status'!$E$6,'Estimates'!$H$5:$H$2004,1,'Estimates'!$E$5:$E$2004,'Status'!$E$7,'Estimates'!$F$5:$F$2004,"&lt;&gt;")=0,"",SUMIFS('Estimates'!$F$5:$F$2004,'Estimates'!$A$5:$A$2004,$A143,'Estimates'!$B$5:$B$2004,"PPS",'Estimates'!$D$5:$D$2004,'Status'!$E$6,'Estimates'!$H$5:$H$2004,1,'Estimates'!$E$5:$E$2004,'Status'!$E$7)))))</x:f>
      </x:c>
      <x:c r="K143" s="13" t="str">
        <x:f>IF(OR(COUNTA($A143)=0,NOT(ISNUMBER('Status'!$F$6))),"",IF(COUNTIFS('Estimates'!$A$5:$A$2004,$A143,'Estimates'!$B$5:$B$2004,"PPS",'Estimates'!$D$5:$D$2004,'Status'!$F$6,'Estimates'!$H$5:$H$2004,1,'Estimates'!$E$5:$E$2004,'Status'!$E$7)=0,"",IF(COUNTIFS('Estimates'!$A$5:$A$2004,$A143,'Estimates'!$B$5:$B$2004,"PPS",'Estimates'!$D$5:$D$2004,'Status'!$F$6,'Estimates'!$H$5:$H$2004,1,'Estimates'!$E$5:$E$2004,'Status'!$E$7)&gt;1,"DUP",IF(COUNTIFS('Estimates'!$A$5:$A$2004,$A143,'Estimates'!$B$5:$B$2004,"PPS",'Estimates'!$D$5:$D$2004,'Status'!$F$6,'Estimates'!$H$5:$H$2004,1,'Estimates'!$E$5:$E$2004,'Status'!$E$7,'Estimates'!$F$5:$F$2004,"&lt;&gt;")=0,"",SUMIFS('Estimates'!$F$5:$F$2004,'Estimates'!$A$5:$A$2004,$A143,'Estimates'!$B$5:$B$2004,"PPS",'Estimates'!$D$5:$D$2004,'Status'!$F$6,'Estimates'!$H$5:$H$2004,1,'Estimates'!$E$5:$E$2004,'Status'!$E$7)))))</x:f>
      </x:c>
      <x:c r="L143" s="13" t="str">
        <x:f>IF(OR(COUNTA($A143)=0,NOT(ISNUMBER('Status'!$G$6))),"",IF(COUNTIFS('Estimates'!$A$5:$A$2004,$A143,'Estimates'!$B$5:$B$2004,"PPS",'Estimates'!$D$5:$D$2004,'Status'!$G$6,'Estimates'!$H$5:$H$2004,1,'Estimates'!$E$5:$E$2004,'Status'!$E$7)=0,"",IF(COUNTIFS('Estimates'!$A$5:$A$2004,$A143,'Estimates'!$B$5:$B$2004,"PPS",'Estimates'!$D$5:$D$2004,'Status'!$G$6,'Estimates'!$H$5:$H$2004,1,'Estimates'!$E$5:$E$2004,'Status'!$E$7)&gt;1,"DUP",IF(COUNTIFS('Estimates'!$A$5:$A$2004,$A143,'Estimates'!$B$5:$B$2004,"PPS",'Estimates'!$D$5:$D$2004,'Status'!$G$6,'Estimates'!$H$5:$H$2004,1,'Estimates'!$E$5:$E$2004,'Status'!$E$7,'Estimates'!$F$5:$F$2004,"&lt;&gt;")=0,"",SUMIFS('Estimates'!$F$5:$F$2004,'Estimates'!$A$5:$A$2004,$A143,'Estimates'!$B$5:$B$2004,"PPS",'Estimates'!$D$5:$D$2004,'Status'!$G$6,'Estimates'!$H$5:$H$2004,1,'Estimates'!$E$5:$E$2004,'Status'!$E$7)))))</x:f>
      </x:c>
      <x:c r="M143" s="13" t="str">
        <x:f>IF(AND(ISNUMBER(J143),ISNUMBER(K143)),K143-J143,"")</x:f>
      </x:c>
      <x:c r="N143" s="13" t="str">
        <x:f>IF(AND(ISNUMBER(K143),ISNUMBER(L143)),L143-K143,"")</x:f>
      </x:c>
      <x:c r="O143" s="13" t="str">
        <x:f>IF(AND(COUNT(J143:L143)=3,COUNT('Status'!$E$6:$G$6)=3,'Status'!$E$6&gt;'Status'!$F$6,'Status'!$F$6&gt;'Status'!$G$6,'Status'!$G$6&gt;0),ABS(L143-(K143+(K143-J143)*('Status'!$G$6-'Status'!$F$6)/('Status'!$F$6-'Status'!$E$6))),"")</x:f>
      </x:c>
      <x:c r="P143" s="13" t="str">
        <x:f>IF(AND(COUNT(J143:L143)=3,COUNT('Status'!$E$6:$G$6)=3,'Status'!$E$6&gt;'Status'!$F$6,'Status'!$F$6&gt;'Status'!$G$6,'Status'!$G$6&gt;0),('Status'!$F$6*L143-'Status'!$G$6*K143)/('Status'!$F$6-'Status'!$G$6),"")</x:f>
      </x:c>
      <x:c r="Q143" s="20"/>
      <x:c r="R143" s="13" t="str">
        <x:f>IF(COUNTA($A143)=0,"",IF('Status'!$B$6="MPS 1",IF(ISNUMBER(C143),C143,""),IF('Status'!$B$6="MPS 2",IF(ISNUMBER(D143),D143,""),IF('Status'!$B$6="MPS 3",IF(ISNUMBER(E143),E143,""),IF('Status'!$B$6="MPS extrap",IF(ISNUMBER(I143),I143,""),IF('Status'!$B$6="PPS 1",IF(ISNUMBER(J143),J143,""),IF('Status'!$B$6="PPS 2",IF(ISNUMBER(K143),K143,""),IF('Status'!$B$6="PPS 3",IF(ISNUMBER(L143),L143,""),IF('Status'!$B$6="PPS extrap",IF(ISNUMBER(P143),P143,""),IF('Status'!$B$6="Calibrated",IF(ISNUMBER(Q143),Q143,""),""))))))))))</x:f>
      </x:c>
      <x:c r="S143" s="2" t="str">
        <x:f>IF(COUNTA(A143)=0,"",IF(COUNTIFS('Estimates'!$A$5:$A$2004,A143,'Estimates'!$B$5:$B$2004,"MPS",'Estimates'!$H$5:$H$2004,1)+COUNTIFS('Estimates'!$A$5:$A$2004,A143,'Estimates'!$B$5:$B$2004,"PPS",'Estimates'!$H$5:$H$2004,1)&gt;0,1,0))</x:f>
      </x:c>
      <x:c r="T143" s="2" t="str">
        <x:f>IF(COUNTA(A143)=0,"",IF(COUNTIFS($A$6:$A$165,A143)&gt;1,"Duplicate target",IF(COUNTIFS(C143:E143,"DUP")+COUNTIFS(J143:L143,"DUP")&gt;0,"Duplicate accepted run",IF(COUNTIFS('Estimates'!$A$5:$A$2004,A143,'Estimates'!$H$5:$H$2004,1)-COUNTIFS('Estimates'!$A$5:$A$2004,A143,'Estimates'!$H$5:$H$2004,1,'Estimates'!$F$5:$F$2004,"&lt;&gt;")&gt;0,"Accepted value missing",""))))</x:f>
      </x:c>
    </x:row>
    <x:row r="144">
      <x:c r="A144" s="21"/>
      <x:c r="B144" s="19"/>
      <x:c r="C144" s="13" t="str">
        <x:f>IF(OR(COUNTA($A144)=0,NOT(ISNUMBER('Status'!$E$5))),"",IF(COUNTIFS('Estimates'!$A$5:$A$2004,$A144,'Estimates'!$B$5:$B$2004,"MPS",'Estimates'!$C$5:$C$2004,'Status'!$E$5,'Estimates'!$H$5:$H$2004,1)=0,"",IF(COUNTIFS('Estimates'!$A$5:$A$2004,$A144,'Estimates'!$B$5:$B$2004,"MPS",'Estimates'!$C$5:$C$2004,'Status'!$E$5,'Estimates'!$H$5:$H$2004,1)&gt;1,"DUP",IF(COUNTIFS('Estimates'!$A$5:$A$2004,$A144,'Estimates'!$B$5:$B$2004,"MPS",'Estimates'!$C$5:$C$2004,'Status'!$E$5,'Estimates'!$H$5:$H$2004,1,'Estimates'!$F$5:$F$2004,"&lt;&gt;")=0,"",SUMIFS('Estimates'!$F$5:$F$2004,'Estimates'!$A$5:$A$2004,$A144,'Estimates'!$B$5:$B$2004,"MPS",'Estimates'!$C$5:$C$2004,'Status'!$E$5,'Estimates'!$H$5:$H$2004,1)))))</x:f>
      </x:c>
      <x:c r="D144" s="13" t="str">
        <x:f>IF(OR(COUNTA($A144)=0,NOT(ISNUMBER('Status'!$F$5))),"",IF(COUNTIFS('Estimates'!$A$5:$A$2004,$A144,'Estimates'!$B$5:$B$2004,"MPS",'Estimates'!$C$5:$C$2004,'Status'!$F$5,'Estimates'!$H$5:$H$2004,1)=0,"",IF(COUNTIFS('Estimates'!$A$5:$A$2004,$A144,'Estimates'!$B$5:$B$2004,"MPS",'Estimates'!$C$5:$C$2004,'Status'!$F$5,'Estimates'!$H$5:$H$2004,1)&gt;1,"DUP",IF(COUNTIFS('Estimates'!$A$5:$A$2004,$A144,'Estimates'!$B$5:$B$2004,"MPS",'Estimates'!$C$5:$C$2004,'Status'!$F$5,'Estimates'!$H$5:$H$2004,1,'Estimates'!$F$5:$F$2004,"&lt;&gt;")=0,"",SUMIFS('Estimates'!$F$5:$F$2004,'Estimates'!$A$5:$A$2004,$A144,'Estimates'!$B$5:$B$2004,"MPS",'Estimates'!$C$5:$C$2004,'Status'!$F$5,'Estimates'!$H$5:$H$2004,1)))))</x:f>
      </x:c>
      <x:c r="E144" s="13" t="str">
        <x:f>IF(OR(COUNTA($A144)=0,NOT(ISNUMBER('Status'!$G$5))),"",IF(COUNTIFS('Estimates'!$A$5:$A$2004,$A144,'Estimates'!$B$5:$B$2004,"MPS",'Estimates'!$C$5:$C$2004,'Status'!$G$5,'Estimates'!$H$5:$H$2004,1)=0,"",IF(COUNTIFS('Estimates'!$A$5:$A$2004,$A144,'Estimates'!$B$5:$B$2004,"MPS",'Estimates'!$C$5:$C$2004,'Status'!$G$5,'Estimates'!$H$5:$H$2004,1)&gt;1,"DUP",IF(COUNTIFS('Estimates'!$A$5:$A$2004,$A144,'Estimates'!$B$5:$B$2004,"MPS",'Estimates'!$C$5:$C$2004,'Status'!$G$5,'Estimates'!$H$5:$H$2004,1,'Estimates'!$F$5:$F$2004,"&lt;&gt;")=0,"",SUMIFS('Estimates'!$F$5:$F$2004,'Estimates'!$A$5:$A$2004,$A144,'Estimates'!$B$5:$B$2004,"MPS",'Estimates'!$C$5:$C$2004,'Status'!$G$5,'Estimates'!$H$5:$H$2004,1)))))</x:f>
      </x:c>
      <x:c r="F144" s="13" t="str">
        <x:f>IF(AND(ISNUMBER(C144),ISNUMBER(D144)),D144-C144,"")</x:f>
      </x:c>
      <x:c r="G144" s="13" t="str">
        <x:f>IF(AND(ISNUMBER(D144),ISNUMBER(E144)),E144-D144,"")</x:f>
      </x:c>
      <x:c r="H144" s="13" t="str">
        <x:f>IF(AND(COUNT(C144:E144)=3,COUNT('Status'!$E$5:$G$5)=3,'Status'!$E$5&gt;0,'Status'!$E$5&lt;'Status'!$F$5,'Status'!$F$5&lt;'Status'!$G$5),ABS(E144-(D144+(D144-C144)*((1/'Status'!$G$5)-(1/'Status'!$F$5))/((1/'Status'!$F$5)-(1/'Status'!$E$5)))),"")</x:f>
      </x:c>
      <x:c r="I144" s="13" t="str">
        <x:f>IF(AND(COUNT(C144:E144)=3,COUNT('Status'!$E$5:$G$5)=3,'Status'!$E$5&gt;0,'Status'!$E$5&lt;'Status'!$F$5,'Status'!$F$5&lt;'Status'!$G$5),((1/'Status'!$F$5)*E144-(1/'Status'!$G$5)*D144)/((1/'Status'!$F$5)-(1/'Status'!$G$5)),"")</x:f>
      </x:c>
      <x:c r="J144" s="13" t="str">
        <x:f>IF(OR(COUNTA($A144)=0,NOT(ISNUMBER('Status'!$E$6))),"",IF(COUNTIFS('Estimates'!$A$5:$A$2004,$A144,'Estimates'!$B$5:$B$2004,"PPS",'Estimates'!$D$5:$D$2004,'Status'!$E$6,'Estimates'!$H$5:$H$2004,1,'Estimates'!$E$5:$E$2004,'Status'!$E$7)=0,"",IF(COUNTIFS('Estimates'!$A$5:$A$2004,$A144,'Estimates'!$B$5:$B$2004,"PPS",'Estimates'!$D$5:$D$2004,'Status'!$E$6,'Estimates'!$H$5:$H$2004,1,'Estimates'!$E$5:$E$2004,'Status'!$E$7)&gt;1,"DUP",IF(COUNTIFS('Estimates'!$A$5:$A$2004,$A144,'Estimates'!$B$5:$B$2004,"PPS",'Estimates'!$D$5:$D$2004,'Status'!$E$6,'Estimates'!$H$5:$H$2004,1,'Estimates'!$E$5:$E$2004,'Status'!$E$7,'Estimates'!$F$5:$F$2004,"&lt;&gt;")=0,"",SUMIFS('Estimates'!$F$5:$F$2004,'Estimates'!$A$5:$A$2004,$A144,'Estimates'!$B$5:$B$2004,"PPS",'Estimates'!$D$5:$D$2004,'Status'!$E$6,'Estimates'!$H$5:$H$2004,1,'Estimates'!$E$5:$E$2004,'Status'!$E$7)))))</x:f>
      </x:c>
      <x:c r="K144" s="13" t="str">
        <x:f>IF(OR(COUNTA($A144)=0,NOT(ISNUMBER('Status'!$F$6))),"",IF(COUNTIFS('Estimates'!$A$5:$A$2004,$A144,'Estimates'!$B$5:$B$2004,"PPS",'Estimates'!$D$5:$D$2004,'Status'!$F$6,'Estimates'!$H$5:$H$2004,1,'Estimates'!$E$5:$E$2004,'Status'!$E$7)=0,"",IF(COUNTIFS('Estimates'!$A$5:$A$2004,$A144,'Estimates'!$B$5:$B$2004,"PPS",'Estimates'!$D$5:$D$2004,'Status'!$F$6,'Estimates'!$H$5:$H$2004,1,'Estimates'!$E$5:$E$2004,'Status'!$E$7)&gt;1,"DUP",IF(COUNTIFS('Estimates'!$A$5:$A$2004,$A144,'Estimates'!$B$5:$B$2004,"PPS",'Estimates'!$D$5:$D$2004,'Status'!$F$6,'Estimates'!$H$5:$H$2004,1,'Estimates'!$E$5:$E$2004,'Status'!$E$7,'Estimates'!$F$5:$F$2004,"&lt;&gt;")=0,"",SUMIFS('Estimates'!$F$5:$F$2004,'Estimates'!$A$5:$A$2004,$A144,'Estimates'!$B$5:$B$2004,"PPS",'Estimates'!$D$5:$D$2004,'Status'!$F$6,'Estimates'!$H$5:$H$2004,1,'Estimates'!$E$5:$E$2004,'Status'!$E$7)))))</x:f>
      </x:c>
      <x:c r="L144" s="13" t="str">
        <x:f>IF(OR(COUNTA($A144)=0,NOT(ISNUMBER('Status'!$G$6))),"",IF(COUNTIFS('Estimates'!$A$5:$A$2004,$A144,'Estimates'!$B$5:$B$2004,"PPS",'Estimates'!$D$5:$D$2004,'Status'!$G$6,'Estimates'!$H$5:$H$2004,1,'Estimates'!$E$5:$E$2004,'Status'!$E$7)=0,"",IF(COUNTIFS('Estimates'!$A$5:$A$2004,$A144,'Estimates'!$B$5:$B$2004,"PPS",'Estimates'!$D$5:$D$2004,'Status'!$G$6,'Estimates'!$H$5:$H$2004,1,'Estimates'!$E$5:$E$2004,'Status'!$E$7)&gt;1,"DUP",IF(COUNTIFS('Estimates'!$A$5:$A$2004,$A144,'Estimates'!$B$5:$B$2004,"PPS",'Estimates'!$D$5:$D$2004,'Status'!$G$6,'Estimates'!$H$5:$H$2004,1,'Estimates'!$E$5:$E$2004,'Status'!$E$7,'Estimates'!$F$5:$F$2004,"&lt;&gt;")=0,"",SUMIFS('Estimates'!$F$5:$F$2004,'Estimates'!$A$5:$A$2004,$A144,'Estimates'!$B$5:$B$2004,"PPS",'Estimates'!$D$5:$D$2004,'Status'!$G$6,'Estimates'!$H$5:$H$2004,1,'Estimates'!$E$5:$E$2004,'Status'!$E$7)))))</x:f>
      </x:c>
      <x:c r="M144" s="13" t="str">
        <x:f>IF(AND(ISNUMBER(J144),ISNUMBER(K144)),K144-J144,"")</x:f>
      </x:c>
      <x:c r="N144" s="13" t="str">
        <x:f>IF(AND(ISNUMBER(K144),ISNUMBER(L144)),L144-K144,"")</x:f>
      </x:c>
      <x:c r="O144" s="13" t="str">
        <x:f>IF(AND(COUNT(J144:L144)=3,COUNT('Status'!$E$6:$G$6)=3,'Status'!$E$6&gt;'Status'!$F$6,'Status'!$F$6&gt;'Status'!$G$6,'Status'!$G$6&gt;0),ABS(L144-(K144+(K144-J144)*('Status'!$G$6-'Status'!$F$6)/('Status'!$F$6-'Status'!$E$6))),"")</x:f>
      </x:c>
      <x:c r="P144" s="13" t="str">
        <x:f>IF(AND(COUNT(J144:L144)=3,COUNT('Status'!$E$6:$G$6)=3,'Status'!$E$6&gt;'Status'!$F$6,'Status'!$F$6&gt;'Status'!$G$6,'Status'!$G$6&gt;0),('Status'!$F$6*L144-'Status'!$G$6*K144)/('Status'!$F$6-'Status'!$G$6),"")</x:f>
      </x:c>
      <x:c r="Q144" s="20"/>
      <x:c r="R144" s="13" t="str">
        <x:f>IF(COUNTA($A144)=0,"",IF('Status'!$B$6="MPS 1",IF(ISNUMBER(C144),C144,""),IF('Status'!$B$6="MPS 2",IF(ISNUMBER(D144),D144,""),IF('Status'!$B$6="MPS 3",IF(ISNUMBER(E144),E144,""),IF('Status'!$B$6="MPS extrap",IF(ISNUMBER(I144),I144,""),IF('Status'!$B$6="PPS 1",IF(ISNUMBER(J144),J144,""),IF('Status'!$B$6="PPS 2",IF(ISNUMBER(K144),K144,""),IF('Status'!$B$6="PPS 3",IF(ISNUMBER(L144),L144,""),IF('Status'!$B$6="PPS extrap",IF(ISNUMBER(P144),P144,""),IF('Status'!$B$6="Calibrated",IF(ISNUMBER(Q144),Q144,""),""))))))))))</x:f>
      </x:c>
      <x:c r="S144" s="2" t="str">
        <x:f>IF(COUNTA(A144)=0,"",IF(COUNTIFS('Estimates'!$A$5:$A$2004,A144,'Estimates'!$B$5:$B$2004,"MPS",'Estimates'!$H$5:$H$2004,1)+COUNTIFS('Estimates'!$A$5:$A$2004,A144,'Estimates'!$B$5:$B$2004,"PPS",'Estimates'!$H$5:$H$2004,1)&gt;0,1,0))</x:f>
      </x:c>
      <x:c r="T144" s="2" t="str">
        <x:f>IF(COUNTA(A144)=0,"",IF(COUNTIFS($A$6:$A$165,A144)&gt;1,"Duplicate target",IF(COUNTIFS(C144:E144,"DUP")+COUNTIFS(J144:L144,"DUP")&gt;0,"Duplicate accepted run",IF(COUNTIFS('Estimates'!$A$5:$A$2004,A144,'Estimates'!$H$5:$H$2004,1)-COUNTIFS('Estimates'!$A$5:$A$2004,A144,'Estimates'!$H$5:$H$2004,1,'Estimates'!$F$5:$F$2004,"&lt;&gt;")&gt;0,"Accepted value missing",""))))</x:f>
      </x:c>
    </x:row>
    <x:row r="145">
      <x:c r="A145" s="21"/>
      <x:c r="B145" s="19"/>
      <x:c r="C145" s="13" t="str">
        <x:f>IF(OR(COUNTA($A145)=0,NOT(ISNUMBER('Status'!$E$5))),"",IF(COUNTIFS('Estimates'!$A$5:$A$2004,$A145,'Estimates'!$B$5:$B$2004,"MPS",'Estimates'!$C$5:$C$2004,'Status'!$E$5,'Estimates'!$H$5:$H$2004,1)=0,"",IF(COUNTIFS('Estimates'!$A$5:$A$2004,$A145,'Estimates'!$B$5:$B$2004,"MPS",'Estimates'!$C$5:$C$2004,'Status'!$E$5,'Estimates'!$H$5:$H$2004,1)&gt;1,"DUP",IF(COUNTIFS('Estimates'!$A$5:$A$2004,$A145,'Estimates'!$B$5:$B$2004,"MPS",'Estimates'!$C$5:$C$2004,'Status'!$E$5,'Estimates'!$H$5:$H$2004,1,'Estimates'!$F$5:$F$2004,"&lt;&gt;")=0,"",SUMIFS('Estimates'!$F$5:$F$2004,'Estimates'!$A$5:$A$2004,$A145,'Estimates'!$B$5:$B$2004,"MPS",'Estimates'!$C$5:$C$2004,'Status'!$E$5,'Estimates'!$H$5:$H$2004,1)))))</x:f>
      </x:c>
      <x:c r="D145" s="13" t="str">
        <x:f>IF(OR(COUNTA($A145)=0,NOT(ISNUMBER('Status'!$F$5))),"",IF(COUNTIFS('Estimates'!$A$5:$A$2004,$A145,'Estimates'!$B$5:$B$2004,"MPS",'Estimates'!$C$5:$C$2004,'Status'!$F$5,'Estimates'!$H$5:$H$2004,1)=0,"",IF(COUNTIFS('Estimates'!$A$5:$A$2004,$A145,'Estimates'!$B$5:$B$2004,"MPS",'Estimates'!$C$5:$C$2004,'Status'!$F$5,'Estimates'!$H$5:$H$2004,1)&gt;1,"DUP",IF(COUNTIFS('Estimates'!$A$5:$A$2004,$A145,'Estimates'!$B$5:$B$2004,"MPS",'Estimates'!$C$5:$C$2004,'Status'!$F$5,'Estimates'!$H$5:$H$2004,1,'Estimates'!$F$5:$F$2004,"&lt;&gt;")=0,"",SUMIFS('Estimates'!$F$5:$F$2004,'Estimates'!$A$5:$A$2004,$A145,'Estimates'!$B$5:$B$2004,"MPS",'Estimates'!$C$5:$C$2004,'Status'!$F$5,'Estimates'!$H$5:$H$2004,1)))))</x:f>
      </x:c>
      <x:c r="E145" s="13" t="str">
        <x:f>IF(OR(COUNTA($A145)=0,NOT(ISNUMBER('Status'!$G$5))),"",IF(COUNTIFS('Estimates'!$A$5:$A$2004,$A145,'Estimates'!$B$5:$B$2004,"MPS",'Estimates'!$C$5:$C$2004,'Status'!$G$5,'Estimates'!$H$5:$H$2004,1)=0,"",IF(COUNTIFS('Estimates'!$A$5:$A$2004,$A145,'Estimates'!$B$5:$B$2004,"MPS",'Estimates'!$C$5:$C$2004,'Status'!$G$5,'Estimates'!$H$5:$H$2004,1)&gt;1,"DUP",IF(COUNTIFS('Estimates'!$A$5:$A$2004,$A145,'Estimates'!$B$5:$B$2004,"MPS",'Estimates'!$C$5:$C$2004,'Status'!$G$5,'Estimates'!$H$5:$H$2004,1,'Estimates'!$F$5:$F$2004,"&lt;&gt;")=0,"",SUMIFS('Estimates'!$F$5:$F$2004,'Estimates'!$A$5:$A$2004,$A145,'Estimates'!$B$5:$B$2004,"MPS",'Estimates'!$C$5:$C$2004,'Status'!$G$5,'Estimates'!$H$5:$H$2004,1)))))</x:f>
      </x:c>
      <x:c r="F145" s="13" t="str">
        <x:f>IF(AND(ISNUMBER(C145),ISNUMBER(D145)),D145-C145,"")</x:f>
      </x:c>
      <x:c r="G145" s="13" t="str">
        <x:f>IF(AND(ISNUMBER(D145),ISNUMBER(E145)),E145-D145,"")</x:f>
      </x:c>
      <x:c r="H145" s="13" t="str">
        <x:f>IF(AND(COUNT(C145:E145)=3,COUNT('Status'!$E$5:$G$5)=3,'Status'!$E$5&gt;0,'Status'!$E$5&lt;'Status'!$F$5,'Status'!$F$5&lt;'Status'!$G$5),ABS(E145-(D145+(D145-C145)*((1/'Status'!$G$5)-(1/'Status'!$F$5))/((1/'Status'!$F$5)-(1/'Status'!$E$5)))),"")</x:f>
      </x:c>
      <x:c r="I145" s="13" t="str">
        <x:f>IF(AND(COUNT(C145:E145)=3,COUNT('Status'!$E$5:$G$5)=3,'Status'!$E$5&gt;0,'Status'!$E$5&lt;'Status'!$F$5,'Status'!$F$5&lt;'Status'!$G$5),((1/'Status'!$F$5)*E145-(1/'Status'!$G$5)*D145)/((1/'Status'!$F$5)-(1/'Status'!$G$5)),"")</x:f>
      </x:c>
      <x:c r="J145" s="13" t="str">
        <x:f>IF(OR(COUNTA($A145)=0,NOT(ISNUMBER('Status'!$E$6))),"",IF(COUNTIFS('Estimates'!$A$5:$A$2004,$A145,'Estimates'!$B$5:$B$2004,"PPS",'Estimates'!$D$5:$D$2004,'Status'!$E$6,'Estimates'!$H$5:$H$2004,1,'Estimates'!$E$5:$E$2004,'Status'!$E$7)=0,"",IF(COUNTIFS('Estimates'!$A$5:$A$2004,$A145,'Estimates'!$B$5:$B$2004,"PPS",'Estimates'!$D$5:$D$2004,'Status'!$E$6,'Estimates'!$H$5:$H$2004,1,'Estimates'!$E$5:$E$2004,'Status'!$E$7)&gt;1,"DUP",IF(COUNTIFS('Estimates'!$A$5:$A$2004,$A145,'Estimates'!$B$5:$B$2004,"PPS",'Estimates'!$D$5:$D$2004,'Status'!$E$6,'Estimates'!$H$5:$H$2004,1,'Estimates'!$E$5:$E$2004,'Status'!$E$7,'Estimates'!$F$5:$F$2004,"&lt;&gt;")=0,"",SUMIFS('Estimates'!$F$5:$F$2004,'Estimates'!$A$5:$A$2004,$A145,'Estimates'!$B$5:$B$2004,"PPS",'Estimates'!$D$5:$D$2004,'Status'!$E$6,'Estimates'!$H$5:$H$2004,1,'Estimates'!$E$5:$E$2004,'Status'!$E$7)))))</x:f>
      </x:c>
      <x:c r="K145" s="13" t="str">
        <x:f>IF(OR(COUNTA($A145)=0,NOT(ISNUMBER('Status'!$F$6))),"",IF(COUNTIFS('Estimates'!$A$5:$A$2004,$A145,'Estimates'!$B$5:$B$2004,"PPS",'Estimates'!$D$5:$D$2004,'Status'!$F$6,'Estimates'!$H$5:$H$2004,1,'Estimates'!$E$5:$E$2004,'Status'!$E$7)=0,"",IF(COUNTIFS('Estimates'!$A$5:$A$2004,$A145,'Estimates'!$B$5:$B$2004,"PPS",'Estimates'!$D$5:$D$2004,'Status'!$F$6,'Estimates'!$H$5:$H$2004,1,'Estimates'!$E$5:$E$2004,'Status'!$E$7)&gt;1,"DUP",IF(COUNTIFS('Estimates'!$A$5:$A$2004,$A145,'Estimates'!$B$5:$B$2004,"PPS",'Estimates'!$D$5:$D$2004,'Status'!$F$6,'Estimates'!$H$5:$H$2004,1,'Estimates'!$E$5:$E$2004,'Status'!$E$7,'Estimates'!$F$5:$F$2004,"&lt;&gt;")=0,"",SUMIFS('Estimates'!$F$5:$F$2004,'Estimates'!$A$5:$A$2004,$A145,'Estimates'!$B$5:$B$2004,"PPS",'Estimates'!$D$5:$D$2004,'Status'!$F$6,'Estimates'!$H$5:$H$2004,1,'Estimates'!$E$5:$E$2004,'Status'!$E$7)))))</x:f>
      </x:c>
      <x:c r="L145" s="13" t="str">
        <x:f>IF(OR(COUNTA($A145)=0,NOT(ISNUMBER('Status'!$G$6))),"",IF(COUNTIFS('Estimates'!$A$5:$A$2004,$A145,'Estimates'!$B$5:$B$2004,"PPS",'Estimates'!$D$5:$D$2004,'Status'!$G$6,'Estimates'!$H$5:$H$2004,1,'Estimates'!$E$5:$E$2004,'Status'!$E$7)=0,"",IF(COUNTIFS('Estimates'!$A$5:$A$2004,$A145,'Estimates'!$B$5:$B$2004,"PPS",'Estimates'!$D$5:$D$2004,'Status'!$G$6,'Estimates'!$H$5:$H$2004,1,'Estimates'!$E$5:$E$2004,'Status'!$E$7)&gt;1,"DUP",IF(COUNTIFS('Estimates'!$A$5:$A$2004,$A145,'Estimates'!$B$5:$B$2004,"PPS",'Estimates'!$D$5:$D$2004,'Status'!$G$6,'Estimates'!$H$5:$H$2004,1,'Estimates'!$E$5:$E$2004,'Status'!$E$7,'Estimates'!$F$5:$F$2004,"&lt;&gt;")=0,"",SUMIFS('Estimates'!$F$5:$F$2004,'Estimates'!$A$5:$A$2004,$A145,'Estimates'!$B$5:$B$2004,"PPS",'Estimates'!$D$5:$D$2004,'Status'!$G$6,'Estimates'!$H$5:$H$2004,1,'Estimates'!$E$5:$E$2004,'Status'!$E$7)))))</x:f>
      </x:c>
      <x:c r="M145" s="13" t="str">
        <x:f>IF(AND(ISNUMBER(J145),ISNUMBER(K145)),K145-J145,"")</x:f>
      </x:c>
      <x:c r="N145" s="13" t="str">
        <x:f>IF(AND(ISNUMBER(K145),ISNUMBER(L145)),L145-K145,"")</x:f>
      </x:c>
      <x:c r="O145" s="13" t="str">
        <x:f>IF(AND(COUNT(J145:L145)=3,COUNT('Status'!$E$6:$G$6)=3,'Status'!$E$6&gt;'Status'!$F$6,'Status'!$F$6&gt;'Status'!$G$6,'Status'!$G$6&gt;0),ABS(L145-(K145+(K145-J145)*('Status'!$G$6-'Status'!$F$6)/('Status'!$F$6-'Status'!$E$6))),"")</x:f>
      </x:c>
      <x:c r="P145" s="13" t="str">
        <x:f>IF(AND(COUNT(J145:L145)=3,COUNT('Status'!$E$6:$G$6)=3,'Status'!$E$6&gt;'Status'!$F$6,'Status'!$F$6&gt;'Status'!$G$6,'Status'!$G$6&gt;0),('Status'!$F$6*L145-'Status'!$G$6*K145)/('Status'!$F$6-'Status'!$G$6),"")</x:f>
      </x:c>
      <x:c r="Q145" s="20"/>
      <x:c r="R145" s="13" t="str">
        <x:f>IF(COUNTA($A145)=0,"",IF('Status'!$B$6="MPS 1",IF(ISNUMBER(C145),C145,""),IF('Status'!$B$6="MPS 2",IF(ISNUMBER(D145),D145,""),IF('Status'!$B$6="MPS 3",IF(ISNUMBER(E145),E145,""),IF('Status'!$B$6="MPS extrap",IF(ISNUMBER(I145),I145,""),IF('Status'!$B$6="PPS 1",IF(ISNUMBER(J145),J145,""),IF('Status'!$B$6="PPS 2",IF(ISNUMBER(K145),K145,""),IF('Status'!$B$6="PPS 3",IF(ISNUMBER(L145),L145,""),IF('Status'!$B$6="PPS extrap",IF(ISNUMBER(P145),P145,""),IF('Status'!$B$6="Calibrated",IF(ISNUMBER(Q145),Q145,""),""))))))))))</x:f>
      </x:c>
      <x:c r="S145" s="2" t="str">
        <x:f>IF(COUNTA(A145)=0,"",IF(COUNTIFS('Estimates'!$A$5:$A$2004,A145,'Estimates'!$B$5:$B$2004,"MPS",'Estimates'!$H$5:$H$2004,1)+COUNTIFS('Estimates'!$A$5:$A$2004,A145,'Estimates'!$B$5:$B$2004,"PPS",'Estimates'!$H$5:$H$2004,1)&gt;0,1,0))</x:f>
      </x:c>
      <x:c r="T145" s="2" t="str">
        <x:f>IF(COUNTA(A145)=0,"",IF(COUNTIFS($A$6:$A$165,A145)&gt;1,"Duplicate target",IF(COUNTIFS(C145:E145,"DUP")+COUNTIFS(J145:L145,"DUP")&gt;0,"Duplicate accepted run",IF(COUNTIFS('Estimates'!$A$5:$A$2004,A145,'Estimates'!$H$5:$H$2004,1)-COUNTIFS('Estimates'!$A$5:$A$2004,A145,'Estimates'!$H$5:$H$2004,1,'Estimates'!$F$5:$F$2004,"&lt;&gt;")&gt;0,"Accepted value missing",""))))</x:f>
      </x:c>
    </x:row>
    <x:row r="146">
      <x:c r="A146" s="21"/>
      <x:c r="B146" s="19"/>
      <x:c r="C146" s="13" t="str">
        <x:f>IF(OR(COUNTA($A146)=0,NOT(ISNUMBER('Status'!$E$5))),"",IF(COUNTIFS('Estimates'!$A$5:$A$2004,$A146,'Estimates'!$B$5:$B$2004,"MPS",'Estimates'!$C$5:$C$2004,'Status'!$E$5,'Estimates'!$H$5:$H$2004,1)=0,"",IF(COUNTIFS('Estimates'!$A$5:$A$2004,$A146,'Estimates'!$B$5:$B$2004,"MPS",'Estimates'!$C$5:$C$2004,'Status'!$E$5,'Estimates'!$H$5:$H$2004,1)&gt;1,"DUP",IF(COUNTIFS('Estimates'!$A$5:$A$2004,$A146,'Estimates'!$B$5:$B$2004,"MPS",'Estimates'!$C$5:$C$2004,'Status'!$E$5,'Estimates'!$H$5:$H$2004,1,'Estimates'!$F$5:$F$2004,"&lt;&gt;")=0,"",SUMIFS('Estimates'!$F$5:$F$2004,'Estimates'!$A$5:$A$2004,$A146,'Estimates'!$B$5:$B$2004,"MPS",'Estimates'!$C$5:$C$2004,'Status'!$E$5,'Estimates'!$H$5:$H$2004,1)))))</x:f>
      </x:c>
      <x:c r="D146" s="13" t="str">
        <x:f>IF(OR(COUNTA($A146)=0,NOT(ISNUMBER('Status'!$F$5))),"",IF(COUNTIFS('Estimates'!$A$5:$A$2004,$A146,'Estimates'!$B$5:$B$2004,"MPS",'Estimates'!$C$5:$C$2004,'Status'!$F$5,'Estimates'!$H$5:$H$2004,1)=0,"",IF(COUNTIFS('Estimates'!$A$5:$A$2004,$A146,'Estimates'!$B$5:$B$2004,"MPS",'Estimates'!$C$5:$C$2004,'Status'!$F$5,'Estimates'!$H$5:$H$2004,1)&gt;1,"DUP",IF(COUNTIFS('Estimates'!$A$5:$A$2004,$A146,'Estimates'!$B$5:$B$2004,"MPS",'Estimates'!$C$5:$C$2004,'Status'!$F$5,'Estimates'!$H$5:$H$2004,1,'Estimates'!$F$5:$F$2004,"&lt;&gt;")=0,"",SUMIFS('Estimates'!$F$5:$F$2004,'Estimates'!$A$5:$A$2004,$A146,'Estimates'!$B$5:$B$2004,"MPS",'Estimates'!$C$5:$C$2004,'Status'!$F$5,'Estimates'!$H$5:$H$2004,1)))))</x:f>
      </x:c>
      <x:c r="E146" s="13" t="str">
        <x:f>IF(OR(COUNTA($A146)=0,NOT(ISNUMBER('Status'!$G$5))),"",IF(COUNTIFS('Estimates'!$A$5:$A$2004,$A146,'Estimates'!$B$5:$B$2004,"MPS",'Estimates'!$C$5:$C$2004,'Status'!$G$5,'Estimates'!$H$5:$H$2004,1)=0,"",IF(COUNTIFS('Estimates'!$A$5:$A$2004,$A146,'Estimates'!$B$5:$B$2004,"MPS",'Estimates'!$C$5:$C$2004,'Status'!$G$5,'Estimates'!$H$5:$H$2004,1)&gt;1,"DUP",IF(COUNTIFS('Estimates'!$A$5:$A$2004,$A146,'Estimates'!$B$5:$B$2004,"MPS",'Estimates'!$C$5:$C$2004,'Status'!$G$5,'Estimates'!$H$5:$H$2004,1,'Estimates'!$F$5:$F$2004,"&lt;&gt;")=0,"",SUMIFS('Estimates'!$F$5:$F$2004,'Estimates'!$A$5:$A$2004,$A146,'Estimates'!$B$5:$B$2004,"MPS",'Estimates'!$C$5:$C$2004,'Status'!$G$5,'Estimates'!$H$5:$H$2004,1)))))</x:f>
      </x:c>
      <x:c r="F146" s="13" t="str">
        <x:f>IF(AND(ISNUMBER(C146),ISNUMBER(D146)),D146-C146,"")</x:f>
      </x:c>
      <x:c r="G146" s="13" t="str">
        <x:f>IF(AND(ISNUMBER(D146),ISNUMBER(E146)),E146-D146,"")</x:f>
      </x:c>
      <x:c r="H146" s="13" t="str">
        <x:f>IF(AND(COUNT(C146:E146)=3,COUNT('Status'!$E$5:$G$5)=3,'Status'!$E$5&gt;0,'Status'!$E$5&lt;'Status'!$F$5,'Status'!$F$5&lt;'Status'!$G$5),ABS(E146-(D146+(D146-C146)*((1/'Status'!$G$5)-(1/'Status'!$F$5))/((1/'Status'!$F$5)-(1/'Status'!$E$5)))),"")</x:f>
      </x:c>
      <x:c r="I146" s="13" t="str">
        <x:f>IF(AND(COUNT(C146:E146)=3,COUNT('Status'!$E$5:$G$5)=3,'Status'!$E$5&gt;0,'Status'!$E$5&lt;'Status'!$F$5,'Status'!$F$5&lt;'Status'!$G$5),((1/'Status'!$F$5)*E146-(1/'Status'!$G$5)*D146)/((1/'Status'!$F$5)-(1/'Status'!$G$5)),"")</x:f>
      </x:c>
      <x:c r="J146" s="13" t="str">
        <x:f>IF(OR(COUNTA($A146)=0,NOT(ISNUMBER('Status'!$E$6))),"",IF(COUNTIFS('Estimates'!$A$5:$A$2004,$A146,'Estimates'!$B$5:$B$2004,"PPS",'Estimates'!$D$5:$D$2004,'Status'!$E$6,'Estimates'!$H$5:$H$2004,1,'Estimates'!$E$5:$E$2004,'Status'!$E$7)=0,"",IF(COUNTIFS('Estimates'!$A$5:$A$2004,$A146,'Estimates'!$B$5:$B$2004,"PPS",'Estimates'!$D$5:$D$2004,'Status'!$E$6,'Estimates'!$H$5:$H$2004,1,'Estimates'!$E$5:$E$2004,'Status'!$E$7)&gt;1,"DUP",IF(COUNTIFS('Estimates'!$A$5:$A$2004,$A146,'Estimates'!$B$5:$B$2004,"PPS",'Estimates'!$D$5:$D$2004,'Status'!$E$6,'Estimates'!$H$5:$H$2004,1,'Estimates'!$E$5:$E$2004,'Status'!$E$7,'Estimates'!$F$5:$F$2004,"&lt;&gt;")=0,"",SUMIFS('Estimates'!$F$5:$F$2004,'Estimates'!$A$5:$A$2004,$A146,'Estimates'!$B$5:$B$2004,"PPS",'Estimates'!$D$5:$D$2004,'Status'!$E$6,'Estimates'!$H$5:$H$2004,1,'Estimates'!$E$5:$E$2004,'Status'!$E$7)))))</x:f>
      </x:c>
      <x:c r="K146" s="13" t="str">
        <x:f>IF(OR(COUNTA($A146)=0,NOT(ISNUMBER('Status'!$F$6))),"",IF(COUNTIFS('Estimates'!$A$5:$A$2004,$A146,'Estimates'!$B$5:$B$2004,"PPS",'Estimates'!$D$5:$D$2004,'Status'!$F$6,'Estimates'!$H$5:$H$2004,1,'Estimates'!$E$5:$E$2004,'Status'!$E$7)=0,"",IF(COUNTIFS('Estimates'!$A$5:$A$2004,$A146,'Estimates'!$B$5:$B$2004,"PPS",'Estimates'!$D$5:$D$2004,'Status'!$F$6,'Estimates'!$H$5:$H$2004,1,'Estimates'!$E$5:$E$2004,'Status'!$E$7)&gt;1,"DUP",IF(COUNTIFS('Estimates'!$A$5:$A$2004,$A146,'Estimates'!$B$5:$B$2004,"PPS",'Estimates'!$D$5:$D$2004,'Status'!$F$6,'Estimates'!$H$5:$H$2004,1,'Estimates'!$E$5:$E$2004,'Status'!$E$7,'Estimates'!$F$5:$F$2004,"&lt;&gt;")=0,"",SUMIFS('Estimates'!$F$5:$F$2004,'Estimates'!$A$5:$A$2004,$A146,'Estimates'!$B$5:$B$2004,"PPS",'Estimates'!$D$5:$D$2004,'Status'!$F$6,'Estimates'!$H$5:$H$2004,1,'Estimates'!$E$5:$E$2004,'Status'!$E$7)))))</x:f>
      </x:c>
      <x:c r="L146" s="13" t="str">
        <x:f>IF(OR(COUNTA($A146)=0,NOT(ISNUMBER('Status'!$G$6))),"",IF(COUNTIFS('Estimates'!$A$5:$A$2004,$A146,'Estimates'!$B$5:$B$2004,"PPS",'Estimates'!$D$5:$D$2004,'Status'!$G$6,'Estimates'!$H$5:$H$2004,1,'Estimates'!$E$5:$E$2004,'Status'!$E$7)=0,"",IF(COUNTIFS('Estimates'!$A$5:$A$2004,$A146,'Estimates'!$B$5:$B$2004,"PPS",'Estimates'!$D$5:$D$2004,'Status'!$G$6,'Estimates'!$H$5:$H$2004,1,'Estimates'!$E$5:$E$2004,'Status'!$E$7)&gt;1,"DUP",IF(COUNTIFS('Estimates'!$A$5:$A$2004,$A146,'Estimates'!$B$5:$B$2004,"PPS",'Estimates'!$D$5:$D$2004,'Status'!$G$6,'Estimates'!$H$5:$H$2004,1,'Estimates'!$E$5:$E$2004,'Status'!$E$7,'Estimates'!$F$5:$F$2004,"&lt;&gt;")=0,"",SUMIFS('Estimates'!$F$5:$F$2004,'Estimates'!$A$5:$A$2004,$A146,'Estimates'!$B$5:$B$2004,"PPS",'Estimates'!$D$5:$D$2004,'Status'!$G$6,'Estimates'!$H$5:$H$2004,1,'Estimates'!$E$5:$E$2004,'Status'!$E$7)))))</x:f>
      </x:c>
      <x:c r="M146" s="13" t="str">
        <x:f>IF(AND(ISNUMBER(J146),ISNUMBER(K146)),K146-J146,"")</x:f>
      </x:c>
      <x:c r="N146" s="13" t="str">
        <x:f>IF(AND(ISNUMBER(K146),ISNUMBER(L146)),L146-K146,"")</x:f>
      </x:c>
      <x:c r="O146" s="13" t="str">
        <x:f>IF(AND(COUNT(J146:L146)=3,COUNT('Status'!$E$6:$G$6)=3,'Status'!$E$6&gt;'Status'!$F$6,'Status'!$F$6&gt;'Status'!$G$6,'Status'!$G$6&gt;0),ABS(L146-(K146+(K146-J146)*('Status'!$G$6-'Status'!$F$6)/('Status'!$F$6-'Status'!$E$6))),"")</x:f>
      </x:c>
      <x:c r="P146" s="13" t="str">
        <x:f>IF(AND(COUNT(J146:L146)=3,COUNT('Status'!$E$6:$G$6)=3,'Status'!$E$6&gt;'Status'!$F$6,'Status'!$F$6&gt;'Status'!$G$6,'Status'!$G$6&gt;0),('Status'!$F$6*L146-'Status'!$G$6*K146)/('Status'!$F$6-'Status'!$G$6),"")</x:f>
      </x:c>
      <x:c r="Q146" s="20"/>
      <x:c r="R146" s="13" t="str">
        <x:f>IF(COUNTA($A146)=0,"",IF('Status'!$B$6="MPS 1",IF(ISNUMBER(C146),C146,""),IF('Status'!$B$6="MPS 2",IF(ISNUMBER(D146),D146,""),IF('Status'!$B$6="MPS 3",IF(ISNUMBER(E146),E146,""),IF('Status'!$B$6="MPS extrap",IF(ISNUMBER(I146),I146,""),IF('Status'!$B$6="PPS 1",IF(ISNUMBER(J146),J146,""),IF('Status'!$B$6="PPS 2",IF(ISNUMBER(K146),K146,""),IF('Status'!$B$6="PPS 3",IF(ISNUMBER(L146),L146,""),IF('Status'!$B$6="PPS extrap",IF(ISNUMBER(P146),P146,""),IF('Status'!$B$6="Calibrated",IF(ISNUMBER(Q146),Q146,""),""))))))))))</x:f>
      </x:c>
      <x:c r="S146" s="2" t="str">
        <x:f>IF(COUNTA(A146)=0,"",IF(COUNTIFS('Estimates'!$A$5:$A$2004,A146,'Estimates'!$B$5:$B$2004,"MPS",'Estimates'!$H$5:$H$2004,1)+COUNTIFS('Estimates'!$A$5:$A$2004,A146,'Estimates'!$B$5:$B$2004,"PPS",'Estimates'!$H$5:$H$2004,1)&gt;0,1,0))</x:f>
      </x:c>
      <x:c r="T146" s="2" t="str">
        <x:f>IF(COUNTA(A146)=0,"",IF(COUNTIFS($A$6:$A$165,A146)&gt;1,"Duplicate target",IF(COUNTIFS(C146:E146,"DUP")+COUNTIFS(J146:L146,"DUP")&gt;0,"Duplicate accepted run",IF(COUNTIFS('Estimates'!$A$5:$A$2004,A146,'Estimates'!$H$5:$H$2004,1)-COUNTIFS('Estimates'!$A$5:$A$2004,A146,'Estimates'!$H$5:$H$2004,1,'Estimates'!$F$5:$F$2004,"&lt;&gt;")&gt;0,"Accepted value missing",""))))</x:f>
      </x:c>
    </x:row>
    <x:row r="147">
      <x:c r="A147" s="21"/>
      <x:c r="B147" s="19"/>
      <x:c r="C147" s="13" t="str">
        <x:f>IF(OR(COUNTA($A147)=0,NOT(ISNUMBER('Status'!$E$5))),"",IF(COUNTIFS('Estimates'!$A$5:$A$2004,$A147,'Estimates'!$B$5:$B$2004,"MPS",'Estimates'!$C$5:$C$2004,'Status'!$E$5,'Estimates'!$H$5:$H$2004,1)=0,"",IF(COUNTIFS('Estimates'!$A$5:$A$2004,$A147,'Estimates'!$B$5:$B$2004,"MPS",'Estimates'!$C$5:$C$2004,'Status'!$E$5,'Estimates'!$H$5:$H$2004,1)&gt;1,"DUP",IF(COUNTIFS('Estimates'!$A$5:$A$2004,$A147,'Estimates'!$B$5:$B$2004,"MPS",'Estimates'!$C$5:$C$2004,'Status'!$E$5,'Estimates'!$H$5:$H$2004,1,'Estimates'!$F$5:$F$2004,"&lt;&gt;")=0,"",SUMIFS('Estimates'!$F$5:$F$2004,'Estimates'!$A$5:$A$2004,$A147,'Estimates'!$B$5:$B$2004,"MPS",'Estimates'!$C$5:$C$2004,'Status'!$E$5,'Estimates'!$H$5:$H$2004,1)))))</x:f>
      </x:c>
      <x:c r="D147" s="13" t="str">
        <x:f>IF(OR(COUNTA($A147)=0,NOT(ISNUMBER('Status'!$F$5))),"",IF(COUNTIFS('Estimates'!$A$5:$A$2004,$A147,'Estimates'!$B$5:$B$2004,"MPS",'Estimates'!$C$5:$C$2004,'Status'!$F$5,'Estimates'!$H$5:$H$2004,1)=0,"",IF(COUNTIFS('Estimates'!$A$5:$A$2004,$A147,'Estimates'!$B$5:$B$2004,"MPS",'Estimates'!$C$5:$C$2004,'Status'!$F$5,'Estimates'!$H$5:$H$2004,1)&gt;1,"DUP",IF(COUNTIFS('Estimates'!$A$5:$A$2004,$A147,'Estimates'!$B$5:$B$2004,"MPS",'Estimates'!$C$5:$C$2004,'Status'!$F$5,'Estimates'!$H$5:$H$2004,1,'Estimates'!$F$5:$F$2004,"&lt;&gt;")=0,"",SUMIFS('Estimates'!$F$5:$F$2004,'Estimates'!$A$5:$A$2004,$A147,'Estimates'!$B$5:$B$2004,"MPS",'Estimates'!$C$5:$C$2004,'Status'!$F$5,'Estimates'!$H$5:$H$2004,1)))))</x:f>
      </x:c>
      <x:c r="E147" s="13" t="str">
        <x:f>IF(OR(COUNTA($A147)=0,NOT(ISNUMBER('Status'!$G$5))),"",IF(COUNTIFS('Estimates'!$A$5:$A$2004,$A147,'Estimates'!$B$5:$B$2004,"MPS",'Estimates'!$C$5:$C$2004,'Status'!$G$5,'Estimates'!$H$5:$H$2004,1)=0,"",IF(COUNTIFS('Estimates'!$A$5:$A$2004,$A147,'Estimates'!$B$5:$B$2004,"MPS",'Estimates'!$C$5:$C$2004,'Status'!$G$5,'Estimates'!$H$5:$H$2004,1)&gt;1,"DUP",IF(COUNTIFS('Estimates'!$A$5:$A$2004,$A147,'Estimates'!$B$5:$B$2004,"MPS",'Estimates'!$C$5:$C$2004,'Status'!$G$5,'Estimates'!$H$5:$H$2004,1,'Estimates'!$F$5:$F$2004,"&lt;&gt;")=0,"",SUMIFS('Estimates'!$F$5:$F$2004,'Estimates'!$A$5:$A$2004,$A147,'Estimates'!$B$5:$B$2004,"MPS",'Estimates'!$C$5:$C$2004,'Status'!$G$5,'Estimates'!$H$5:$H$2004,1)))))</x:f>
      </x:c>
      <x:c r="F147" s="13" t="str">
        <x:f>IF(AND(ISNUMBER(C147),ISNUMBER(D147)),D147-C147,"")</x:f>
      </x:c>
      <x:c r="G147" s="13" t="str">
        <x:f>IF(AND(ISNUMBER(D147),ISNUMBER(E147)),E147-D147,"")</x:f>
      </x:c>
      <x:c r="H147" s="13" t="str">
        <x:f>IF(AND(COUNT(C147:E147)=3,COUNT('Status'!$E$5:$G$5)=3,'Status'!$E$5&gt;0,'Status'!$E$5&lt;'Status'!$F$5,'Status'!$F$5&lt;'Status'!$G$5),ABS(E147-(D147+(D147-C147)*((1/'Status'!$G$5)-(1/'Status'!$F$5))/((1/'Status'!$F$5)-(1/'Status'!$E$5)))),"")</x:f>
      </x:c>
      <x:c r="I147" s="13" t="str">
        <x:f>IF(AND(COUNT(C147:E147)=3,COUNT('Status'!$E$5:$G$5)=3,'Status'!$E$5&gt;0,'Status'!$E$5&lt;'Status'!$F$5,'Status'!$F$5&lt;'Status'!$G$5),((1/'Status'!$F$5)*E147-(1/'Status'!$G$5)*D147)/((1/'Status'!$F$5)-(1/'Status'!$G$5)),"")</x:f>
      </x:c>
      <x:c r="J147" s="13" t="str">
        <x:f>IF(OR(COUNTA($A147)=0,NOT(ISNUMBER('Status'!$E$6))),"",IF(COUNTIFS('Estimates'!$A$5:$A$2004,$A147,'Estimates'!$B$5:$B$2004,"PPS",'Estimates'!$D$5:$D$2004,'Status'!$E$6,'Estimates'!$H$5:$H$2004,1,'Estimates'!$E$5:$E$2004,'Status'!$E$7)=0,"",IF(COUNTIFS('Estimates'!$A$5:$A$2004,$A147,'Estimates'!$B$5:$B$2004,"PPS",'Estimates'!$D$5:$D$2004,'Status'!$E$6,'Estimates'!$H$5:$H$2004,1,'Estimates'!$E$5:$E$2004,'Status'!$E$7)&gt;1,"DUP",IF(COUNTIFS('Estimates'!$A$5:$A$2004,$A147,'Estimates'!$B$5:$B$2004,"PPS",'Estimates'!$D$5:$D$2004,'Status'!$E$6,'Estimates'!$H$5:$H$2004,1,'Estimates'!$E$5:$E$2004,'Status'!$E$7,'Estimates'!$F$5:$F$2004,"&lt;&gt;")=0,"",SUMIFS('Estimates'!$F$5:$F$2004,'Estimates'!$A$5:$A$2004,$A147,'Estimates'!$B$5:$B$2004,"PPS",'Estimates'!$D$5:$D$2004,'Status'!$E$6,'Estimates'!$H$5:$H$2004,1,'Estimates'!$E$5:$E$2004,'Status'!$E$7)))))</x:f>
      </x:c>
      <x:c r="K147" s="13" t="str">
        <x:f>IF(OR(COUNTA($A147)=0,NOT(ISNUMBER('Status'!$F$6))),"",IF(COUNTIFS('Estimates'!$A$5:$A$2004,$A147,'Estimates'!$B$5:$B$2004,"PPS",'Estimates'!$D$5:$D$2004,'Status'!$F$6,'Estimates'!$H$5:$H$2004,1,'Estimates'!$E$5:$E$2004,'Status'!$E$7)=0,"",IF(COUNTIFS('Estimates'!$A$5:$A$2004,$A147,'Estimates'!$B$5:$B$2004,"PPS",'Estimates'!$D$5:$D$2004,'Status'!$F$6,'Estimates'!$H$5:$H$2004,1,'Estimates'!$E$5:$E$2004,'Status'!$E$7)&gt;1,"DUP",IF(COUNTIFS('Estimates'!$A$5:$A$2004,$A147,'Estimates'!$B$5:$B$2004,"PPS",'Estimates'!$D$5:$D$2004,'Status'!$F$6,'Estimates'!$H$5:$H$2004,1,'Estimates'!$E$5:$E$2004,'Status'!$E$7,'Estimates'!$F$5:$F$2004,"&lt;&gt;")=0,"",SUMIFS('Estimates'!$F$5:$F$2004,'Estimates'!$A$5:$A$2004,$A147,'Estimates'!$B$5:$B$2004,"PPS",'Estimates'!$D$5:$D$2004,'Status'!$F$6,'Estimates'!$H$5:$H$2004,1,'Estimates'!$E$5:$E$2004,'Status'!$E$7)))))</x:f>
      </x:c>
      <x:c r="L147" s="13" t="str">
        <x:f>IF(OR(COUNTA($A147)=0,NOT(ISNUMBER('Status'!$G$6))),"",IF(COUNTIFS('Estimates'!$A$5:$A$2004,$A147,'Estimates'!$B$5:$B$2004,"PPS",'Estimates'!$D$5:$D$2004,'Status'!$G$6,'Estimates'!$H$5:$H$2004,1,'Estimates'!$E$5:$E$2004,'Status'!$E$7)=0,"",IF(COUNTIFS('Estimates'!$A$5:$A$2004,$A147,'Estimates'!$B$5:$B$2004,"PPS",'Estimates'!$D$5:$D$2004,'Status'!$G$6,'Estimates'!$H$5:$H$2004,1,'Estimates'!$E$5:$E$2004,'Status'!$E$7)&gt;1,"DUP",IF(COUNTIFS('Estimates'!$A$5:$A$2004,$A147,'Estimates'!$B$5:$B$2004,"PPS",'Estimates'!$D$5:$D$2004,'Status'!$G$6,'Estimates'!$H$5:$H$2004,1,'Estimates'!$E$5:$E$2004,'Status'!$E$7,'Estimates'!$F$5:$F$2004,"&lt;&gt;")=0,"",SUMIFS('Estimates'!$F$5:$F$2004,'Estimates'!$A$5:$A$2004,$A147,'Estimates'!$B$5:$B$2004,"PPS",'Estimates'!$D$5:$D$2004,'Status'!$G$6,'Estimates'!$H$5:$H$2004,1,'Estimates'!$E$5:$E$2004,'Status'!$E$7)))))</x:f>
      </x:c>
      <x:c r="M147" s="13" t="str">
        <x:f>IF(AND(ISNUMBER(J147),ISNUMBER(K147)),K147-J147,"")</x:f>
      </x:c>
      <x:c r="N147" s="13" t="str">
        <x:f>IF(AND(ISNUMBER(K147),ISNUMBER(L147)),L147-K147,"")</x:f>
      </x:c>
      <x:c r="O147" s="13" t="str">
        <x:f>IF(AND(COUNT(J147:L147)=3,COUNT('Status'!$E$6:$G$6)=3,'Status'!$E$6&gt;'Status'!$F$6,'Status'!$F$6&gt;'Status'!$G$6,'Status'!$G$6&gt;0),ABS(L147-(K147+(K147-J147)*('Status'!$G$6-'Status'!$F$6)/('Status'!$F$6-'Status'!$E$6))),"")</x:f>
      </x:c>
      <x:c r="P147" s="13" t="str">
        <x:f>IF(AND(COUNT(J147:L147)=3,COUNT('Status'!$E$6:$G$6)=3,'Status'!$E$6&gt;'Status'!$F$6,'Status'!$F$6&gt;'Status'!$G$6,'Status'!$G$6&gt;0),('Status'!$F$6*L147-'Status'!$G$6*K147)/('Status'!$F$6-'Status'!$G$6),"")</x:f>
      </x:c>
      <x:c r="Q147" s="20"/>
      <x:c r="R147" s="13" t="str">
        <x:f>IF(COUNTA($A147)=0,"",IF('Status'!$B$6="MPS 1",IF(ISNUMBER(C147),C147,""),IF('Status'!$B$6="MPS 2",IF(ISNUMBER(D147),D147,""),IF('Status'!$B$6="MPS 3",IF(ISNUMBER(E147),E147,""),IF('Status'!$B$6="MPS extrap",IF(ISNUMBER(I147),I147,""),IF('Status'!$B$6="PPS 1",IF(ISNUMBER(J147),J147,""),IF('Status'!$B$6="PPS 2",IF(ISNUMBER(K147),K147,""),IF('Status'!$B$6="PPS 3",IF(ISNUMBER(L147),L147,""),IF('Status'!$B$6="PPS extrap",IF(ISNUMBER(P147),P147,""),IF('Status'!$B$6="Calibrated",IF(ISNUMBER(Q147),Q147,""),""))))))))))</x:f>
      </x:c>
      <x:c r="S147" s="2" t="str">
        <x:f>IF(COUNTA(A147)=0,"",IF(COUNTIFS('Estimates'!$A$5:$A$2004,A147,'Estimates'!$B$5:$B$2004,"MPS",'Estimates'!$H$5:$H$2004,1)+COUNTIFS('Estimates'!$A$5:$A$2004,A147,'Estimates'!$B$5:$B$2004,"PPS",'Estimates'!$H$5:$H$2004,1)&gt;0,1,0))</x:f>
      </x:c>
      <x:c r="T147" s="2" t="str">
        <x:f>IF(COUNTA(A147)=0,"",IF(COUNTIFS($A$6:$A$165,A147)&gt;1,"Duplicate target",IF(COUNTIFS(C147:E147,"DUP")+COUNTIFS(J147:L147,"DUP")&gt;0,"Duplicate accepted run",IF(COUNTIFS('Estimates'!$A$5:$A$2004,A147,'Estimates'!$H$5:$H$2004,1)-COUNTIFS('Estimates'!$A$5:$A$2004,A147,'Estimates'!$H$5:$H$2004,1,'Estimates'!$F$5:$F$2004,"&lt;&gt;")&gt;0,"Accepted value missing",""))))</x:f>
      </x:c>
    </x:row>
    <x:row r="148">
      <x:c r="A148" s="21"/>
      <x:c r="B148" s="19"/>
      <x:c r="C148" s="13" t="str">
        <x:f>IF(OR(COUNTA($A148)=0,NOT(ISNUMBER('Status'!$E$5))),"",IF(COUNTIFS('Estimates'!$A$5:$A$2004,$A148,'Estimates'!$B$5:$B$2004,"MPS",'Estimates'!$C$5:$C$2004,'Status'!$E$5,'Estimates'!$H$5:$H$2004,1)=0,"",IF(COUNTIFS('Estimates'!$A$5:$A$2004,$A148,'Estimates'!$B$5:$B$2004,"MPS",'Estimates'!$C$5:$C$2004,'Status'!$E$5,'Estimates'!$H$5:$H$2004,1)&gt;1,"DUP",IF(COUNTIFS('Estimates'!$A$5:$A$2004,$A148,'Estimates'!$B$5:$B$2004,"MPS",'Estimates'!$C$5:$C$2004,'Status'!$E$5,'Estimates'!$H$5:$H$2004,1,'Estimates'!$F$5:$F$2004,"&lt;&gt;")=0,"",SUMIFS('Estimates'!$F$5:$F$2004,'Estimates'!$A$5:$A$2004,$A148,'Estimates'!$B$5:$B$2004,"MPS",'Estimates'!$C$5:$C$2004,'Status'!$E$5,'Estimates'!$H$5:$H$2004,1)))))</x:f>
      </x:c>
      <x:c r="D148" s="13" t="str">
        <x:f>IF(OR(COUNTA($A148)=0,NOT(ISNUMBER('Status'!$F$5))),"",IF(COUNTIFS('Estimates'!$A$5:$A$2004,$A148,'Estimates'!$B$5:$B$2004,"MPS",'Estimates'!$C$5:$C$2004,'Status'!$F$5,'Estimates'!$H$5:$H$2004,1)=0,"",IF(COUNTIFS('Estimates'!$A$5:$A$2004,$A148,'Estimates'!$B$5:$B$2004,"MPS",'Estimates'!$C$5:$C$2004,'Status'!$F$5,'Estimates'!$H$5:$H$2004,1)&gt;1,"DUP",IF(COUNTIFS('Estimates'!$A$5:$A$2004,$A148,'Estimates'!$B$5:$B$2004,"MPS",'Estimates'!$C$5:$C$2004,'Status'!$F$5,'Estimates'!$H$5:$H$2004,1,'Estimates'!$F$5:$F$2004,"&lt;&gt;")=0,"",SUMIFS('Estimates'!$F$5:$F$2004,'Estimates'!$A$5:$A$2004,$A148,'Estimates'!$B$5:$B$2004,"MPS",'Estimates'!$C$5:$C$2004,'Status'!$F$5,'Estimates'!$H$5:$H$2004,1)))))</x:f>
      </x:c>
      <x:c r="E148" s="13" t="str">
        <x:f>IF(OR(COUNTA($A148)=0,NOT(ISNUMBER('Status'!$G$5))),"",IF(COUNTIFS('Estimates'!$A$5:$A$2004,$A148,'Estimates'!$B$5:$B$2004,"MPS",'Estimates'!$C$5:$C$2004,'Status'!$G$5,'Estimates'!$H$5:$H$2004,1)=0,"",IF(COUNTIFS('Estimates'!$A$5:$A$2004,$A148,'Estimates'!$B$5:$B$2004,"MPS",'Estimates'!$C$5:$C$2004,'Status'!$G$5,'Estimates'!$H$5:$H$2004,1)&gt;1,"DUP",IF(COUNTIFS('Estimates'!$A$5:$A$2004,$A148,'Estimates'!$B$5:$B$2004,"MPS",'Estimates'!$C$5:$C$2004,'Status'!$G$5,'Estimates'!$H$5:$H$2004,1,'Estimates'!$F$5:$F$2004,"&lt;&gt;")=0,"",SUMIFS('Estimates'!$F$5:$F$2004,'Estimates'!$A$5:$A$2004,$A148,'Estimates'!$B$5:$B$2004,"MPS",'Estimates'!$C$5:$C$2004,'Status'!$G$5,'Estimates'!$H$5:$H$2004,1)))))</x:f>
      </x:c>
      <x:c r="F148" s="13" t="str">
        <x:f>IF(AND(ISNUMBER(C148),ISNUMBER(D148)),D148-C148,"")</x:f>
      </x:c>
      <x:c r="G148" s="13" t="str">
        <x:f>IF(AND(ISNUMBER(D148),ISNUMBER(E148)),E148-D148,"")</x:f>
      </x:c>
      <x:c r="H148" s="13" t="str">
        <x:f>IF(AND(COUNT(C148:E148)=3,COUNT('Status'!$E$5:$G$5)=3,'Status'!$E$5&gt;0,'Status'!$E$5&lt;'Status'!$F$5,'Status'!$F$5&lt;'Status'!$G$5),ABS(E148-(D148+(D148-C148)*((1/'Status'!$G$5)-(1/'Status'!$F$5))/((1/'Status'!$F$5)-(1/'Status'!$E$5)))),"")</x:f>
      </x:c>
      <x:c r="I148" s="13" t="str">
        <x:f>IF(AND(COUNT(C148:E148)=3,COUNT('Status'!$E$5:$G$5)=3,'Status'!$E$5&gt;0,'Status'!$E$5&lt;'Status'!$F$5,'Status'!$F$5&lt;'Status'!$G$5),((1/'Status'!$F$5)*E148-(1/'Status'!$G$5)*D148)/((1/'Status'!$F$5)-(1/'Status'!$G$5)),"")</x:f>
      </x:c>
      <x:c r="J148" s="13" t="str">
        <x:f>IF(OR(COUNTA($A148)=0,NOT(ISNUMBER('Status'!$E$6))),"",IF(COUNTIFS('Estimates'!$A$5:$A$2004,$A148,'Estimates'!$B$5:$B$2004,"PPS",'Estimates'!$D$5:$D$2004,'Status'!$E$6,'Estimates'!$H$5:$H$2004,1,'Estimates'!$E$5:$E$2004,'Status'!$E$7)=0,"",IF(COUNTIFS('Estimates'!$A$5:$A$2004,$A148,'Estimates'!$B$5:$B$2004,"PPS",'Estimates'!$D$5:$D$2004,'Status'!$E$6,'Estimates'!$H$5:$H$2004,1,'Estimates'!$E$5:$E$2004,'Status'!$E$7)&gt;1,"DUP",IF(COUNTIFS('Estimates'!$A$5:$A$2004,$A148,'Estimates'!$B$5:$B$2004,"PPS",'Estimates'!$D$5:$D$2004,'Status'!$E$6,'Estimates'!$H$5:$H$2004,1,'Estimates'!$E$5:$E$2004,'Status'!$E$7,'Estimates'!$F$5:$F$2004,"&lt;&gt;")=0,"",SUMIFS('Estimates'!$F$5:$F$2004,'Estimates'!$A$5:$A$2004,$A148,'Estimates'!$B$5:$B$2004,"PPS",'Estimates'!$D$5:$D$2004,'Status'!$E$6,'Estimates'!$H$5:$H$2004,1,'Estimates'!$E$5:$E$2004,'Status'!$E$7)))))</x:f>
      </x:c>
      <x:c r="K148" s="13" t="str">
        <x:f>IF(OR(COUNTA($A148)=0,NOT(ISNUMBER('Status'!$F$6))),"",IF(COUNTIFS('Estimates'!$A$5:$A$2004,$A148,'Estimates'!$B$5:$B$2004,"PPS",'Estimates'!$D$5:$D$2004,'Status'!$F$6,'Estimates'!$H$5:$H$2004,1,'Estimates'!$E$5:$E$2004,'Status'!$E$7)=0,"",IF(COUNTIFS('Estimates'!$A$5:$A$2004,$A148,'Estimates'!$B$5:$B$2004,"PPS",'Estimates'!$D$5:$D$2004,'Status'!$F$6,'Estimates'!$H$5:$H$2004,1,'Estimates'!$E$5:$E$2004,'Status'!$E$7)&gt;1,"DUP",IF(COUNTIFS('Estimates'!$A$5:$A$2004,$A148,'Estimates'!$B$5:$B$2004,"PPS",'Estimates'!$D$5:$D$2004,'Status'!$F$6,'Estimates'!$H$5:$H$2004,1,'Estimates'!$E$5:$E$2004,'Status'!$E$7,'Estimates'!$F$5:$F$2004,"&lt;&gt;")=0,"",SUMIFS('Estimates'!$F$5:$F$2004,'Estimates'!$A$5:$A$2004,$A148,'Estimates'!$B$5:$B$2004,"PPS",'Estimates'!$D$5:$D$2004,'Status'!$F$6,'Estimates'!$H$5:$H$2004,1,'Estimates'!$E$5:$E$2004,'Status'!$E$7)))))</x:f>
      </x:c>
      <x:c r="L148" s="13" t="str">
        <x:f>IF(OR(COUNTA($A148)=0,NOT(ISNUMBER('Status'!$G$6))),"",IF(COUNTIFS('Estimates'!$A$5:$A$2004,$A148,'Estimates'!$B$5:$B$2004,"PPS",'Estimates'!$D$5:$D$2004,'Status'!$G$6,'Estimates'!$H$5:$H$2004,1,'Estimates'!$E$5:$E$2004,'Status'!$E$7)=0,"",IF(COUNTIFS('Estimates'!$A$5:$A$2004,$A148,'Estimates'!$B$5:$B$2004,"PPS",'Estimates'!$D$5:$D$2004,'Status'!$G$6,'Estimates'!$H$5:$H$2004,1,'Estimates'!$E$5:$E$2004,'Status'!$E$7)&gt;1,"DUP",IF(COUNTIFS('Estimates'!$A$5:$A$2004,$A148,'Estimates'!$B$5:$B$2004,"PPS",'Estimates'!$D$5:$D$2004,'Status'!$G$6,'Estimates'!$H$5:$H$2004,1,'Estimates'!$E$5:$E$2004,'Status'!$E$7,'Estimates'!$F$5:$F$2004,"&lt;&gt;")=0,"",SUMIFS('Estimates'!$F$5:$F$2004,'Estimates'!$A$5:$A$2004,$A148,'Estimates'!$B$5:$B$2004,"PPS",'Estimates'!$D$5:$D$2004,'Status'!$G$6,'Estimates'!$H$5:$H$2004,1,'Estimates'!$E$5:$E$2004,'Status'!$E$7)))))</x:f>
      </x:c>
      <x:c r="M148" s="13" t="str">
        <x:f>IF(AND(ISNUMBER(J148),ISNUMBER(K148)),K148-J148,"")</x:f>
      </x:c>
      <x:c r="N148" s="13" t="str">
        <x:f>IF(AND(ISNUMBER(K148),ISNUMBER(L148)),L148-K148,"")</x:f>
      </x:c>
      <x:c r="O148" s="13" t="str">
        <x:f>IF(AND(COUNT(J148:L148)=3,COUNT('Status'!$E$6:$G$6)=3,'Status'!$E$6&gt;'Status'!$F$6,'Status'!$F$6&gt;'Status'!$G$6,'Status'!$G$6&gt;0),ABS(L148-(K148+(K148-J148)*('Status'!$G$6-'Status'!$F$6)/('Status'!$F$6-'Status'!$E$6))),"")</x:f>
      </x:c>
      <x:c r="P148" s="13" t="str">
        <x:f>IF(AND(COUNT(J148:L148)=3,COUNT('Status'!$E$6:$G$6)=3,'Status'!$E$6&gt;'Status'!$F$6,'Status'!$F$6&gt;'Status'!$G$6,'Status'!$G$6&gt;0),('Status'!$F$6*L148-'Status'!$G$6*K148)/('Status'!$F$6-'Status'!$G$6),"")</x:f>
      </x:c>
      <x:c r="Q148" s="20"/>
      <x:c r="R148" s="13" t="str">
        <x:f>IF(COUNTA($A148)=0,"",IF('Status'!$B$6="MPS 1",IF(ISNUMBER(C148),C148,""),IF('Status'!$B$6="MPS 2",IF(ISNUMBER(D148),D148,""),IF('Status'!$B$6="MPS 3",IF(ISNUMBER(E148),E148,""),IF('Status'!$B$6="MPS extrap",IF(ISNUMBER(I148),I148,""),IF('Status'!$B$6="PPS 1",IF(ISNUMBER(J148),J148,""),IF('Status'!$B$6="PPS 2",IF(ISNUMBER(K148),K148,""),IF('Status'!$B$6="PPS 3",IF(ISNUMBER(L148),L148,""),IF('Status'!$B$6="PPS extrap",IF(ISNUMBER(P148),P148,""),IF('Status'!$B$6="Calibrated",IF(ISNUMBER(Q148),Q148,""),""))))))))))</x:f>
      </x:c>
      <x:c r="S148" s="2" t="str">
        <x:f>IF(COUNTA(A148)=0,"",IF(COUNTIFS('Estimates'!$A$5:$A$2004,A148,'Estimates'!$B$5:$B$2004,"MPS",'Estimates'!$H$5:$H$2004,1)+COUNTIFS('Estimates'!$A$5:$A$2004,A148,'Estimates'!$B$5:$B$2004,"PPS",'Estimates'!$H$5:$H$2004,1)&gt;0,1,0))</x:f>
      </x:c>
      <x:c r="T148" s="2" t="str">
        <x:f>IF(COUNTA(A148)=0,"",IF(COUNTIFS($A$6:$A$165,A148)&gt;1,"Duplicate target",IF(COUNTIFS(C148:E148,"DUP")+COUNTIFS(J148:L148,"DUP")&gt;0,"Duplicate accepted run",IF(COUNTIFS('Estimates'!$A$5:$A$2004,A148,'Estimates'!$H$5:$H$2004,1)-COUNTIFS('Estimates'!$A$5:$A$2004,A148,'Estimates'!$H$5:$H$2004,1,'Estimates'!$F$5:$F$2004,"&lt;&gt;")&gt;0,"Accepted value missing",""))))</x:f>
      </x:c>
    </x:row>
    <x:row r="149">
      <x:c r="A149" s="21"/>
      <x:c r="B149" s="19"/>
      <x:c r="C149" s="13" t="str">
        <x:f>IF(OR(COUNTA($A149)=0,NOT(ISNUMBER('Status'!$E$5))),"",IF(COUNTIFS('Estimates'!$A$5:$A$2004,$A149,'Estimates'!$B$5:$B$2004,"MPS",'Estimates'!$C$5:$C$2004,'Status'!$E$5,'Estimates'!$H$5:$H$2004,1)=0,"",IF(COUNTIFS('Estimates'!$A$5:$A$2004,$A149,'Estimates'!$B$5:$B$2004,"MPS",'Estimates'!$C$5:$C$2004,'Status'!$E$5,'Estimates'!$H$5:$H$2004,1)&gt;1,"DUP",IF(COUNTIFS('Estimates'!$A$5:$A$2004,$A149,'Estimates'!$B$5:$B$2004,"MPS",'Estimates'!$C$5:$C$2004,'Status'!$E$5,'Estimates'!$H$5:$H$2004,1,'Estimates'!$F$5:$F$2004,"&lt;&gt;")=0,"",SUMIFS('Estimates'!$F$5:$F$2004,'Estimates'!$A$5:$A$2004,$A149,'Estimates'!$B$5:$B$2004,"MPS",'Estimates'!$C$5:$C$2004,'Status'!$E$5,'Estimates'!$H$5:$H$2004,1)))))</x:f>
      </x:c>
      <x:c r="D149" s="13" t="str">
        <x:f>IF(OR(COUNTA($A149)=0,NOT(ISNUMBER('Status'!$F$5))),"",IF(COUNTIFS('Estimates'!$A$5:$A$2004,$A149,'Estimates'!$B$5:$B$2004,"MPS",'Estimates'!$C$5:$C$2004,'Status'!$F$5,'Estimates'!$H$5:$H$2004,1)=0,"",IF(COUNTIFS('Estimates'!$A$5:$A$2004,$A149,'Estimates'!$B$5:$B$2004,"MPS",'Estimates'!$C$5:$C$2004,'Status'!$F$5,'Estimates'!$H$5:$H$2004,1)&gt;1,"DUP",IF(COUNTIFS('Estimates'!$A$5:$A$2004,$A149,'Estimates'!$B$5:$B$2004,"MPS",'Estimates'!$C$5:$C$2004,'Status'!$F$5,'Estimates'!$H$5:$H$2004,1,'Estimates'!$F$5:$F$2004,"&lt;&gt;")=0,"",SUMIFS('Estimates'!$F$5:$F$2004,'Estimates'!$A$5:$A$2004,$A149,'Estimates'!$B$5:$B$2004,"MPS",'Estimates'!$C$5:$C$2004,'Status'!$F$5,'Estimates'!$H$5:$H$2004,1)))))</x:f>
      </x:c>
      <x:c r="E149" s="13" t="str">
        <x:f>IF(OR(COUNTA($A149)=0,NOT(ISNUMBER('Status'!$G$5))),"",IF(COUNTIFS('Estimates'!$A$5:$A$2004,$A149,'Estimates'!$B$5:$B$2004,"MPS",'Estimates'!$C$5:$C$2004,'Status'!$G$5,'Estimates'!$H$5:$H$2004,1)=0,"",IF(COUNTIFS('Estimates'!$A$5:$A$2004,$A149,'Estimates'!$B$5:$B$2004,"MPS",'Estimates'!$C$5:$C$2004,'Status'!$G$5,'Estimates'!$H$5:$H$2004,1)&gt;1,"DUP",IF(COUNTIFS('Estimates'!$A$5:$A$2004,$A149,'Estimates'!$B$5:$B$2004,"MPS",'Estimates'!$C$5:$C$2004,'Status'!$G$5,'Estimates'!$H$5:$H$2004,1,'Estimates'!$F$5:$F$2004,"&lt;&gt;")=0,"",SUMIFS('Estimates'!$F$5:$F$2004,'Estimates'!$A$5:$A$2004,$A149,'Estimates'!$B$5:$B$2004,"MPS",'Estimates'!$C$5:$C$2004,'Status'!$G$5,'Estimates'!$H$5:$H$2004,1)))))</x:f>
      </x:c>
      <x:c r="F149" s="13" t="str">
        <x:f>IF(AND(ISNUMBER(C149),ISNUMBER(D149)),D149-C149,"")</x:f>
      </x:c>
      <x:c r="G149" s="13" t="str">
        <x:f>IF(AND(ISNUMBER(D149),ISNUMBER(E149)),E149-D149,"")</x:f>
      </x:c>
      <x:c r="H149" s="13" t="str">
        <x:f>IF(AND(COUNT(C149:E149)=3,COUNT('Status'!$E$5:$G$5)=3,'Status'!$E$5&gt;0,'Status'!$E$5&lt;'Status'!$F$5,'Status'!$F$5&lt;'Status'!$G$5),ABS(E149-(D149+(D149-C149)*((1/'Status'!$G$5)-(1/'Status'!$F$5))/((1/'Status'!$F$5)-(1/'Status'!$E$5)))),"")</x:f>
      </x:c>
      <x:c r="I149" s="13" t="str">
        <x:f>IF(AND(COUNT(C149:E149)=3,COUNT('Status'!$E$5:$G$5)=3,'Status'!$E$5&gt;0,'Status'!$E$5&lt;'Status'!$F$5,'Status'!$F$5&lt;'Status'!$G$5),((1/'Status'!$F$5)*E149-(1/'Status'!$G$5)*D149)/((1/'Status'!$F$5)-(1/'Status'!$G$5)),"")</x:f>
      </x:c>
      <x:c r="J149" s="13" t="str">
        <x:f>IF(OR(COUNTA($A149)=0,NOT(ISNUMBER('Status'!$E$6))),"",IF(COUNTIFS('Estimates'!$A$5:$A$2004,$A149,'Estimates'!$B$5:$B$2004,"PPS",'Estimates'!$D$5:$D$2004,'Status'!$E$6,'Estimates'!$H$5:$H$2004,1,'Estimates'!$E$5:$E$2004,'Status'!$E$7)=0,"",IF(COUNTIFS('Estimates'!$A$5:$A$2004,$A149,'Estimates'!$B$5:$B$2004,"PPS",'Estimates'!$D$5:$D$2004,'Status'!$E$6,'Estimates'!$H$5:$H$2004,1,'Estimates'!$E$5:$E$2004,'Status'!$E$7)&gt;1,"DUP",IF(COUNTIFS('Estimates'!$A$5:$A$2004,$A149,'Estimates'!$B$5:$B$2004,"PPS",'Estimates'!$D$5:$D$2004,'Status'!$E$6,'Estimates'!$H$5:$H$2004,1,'Estimates'!$E$5:$E$2004,'Status'!$E$7,'Estimates'!$F$5:$F$2004,"&lt;&gt;")=0,"",SUMIFS('Estimates'!$F$5:$F$2004,'Estimates'!$A$5:$A$2004,$A149,'Estimates'!$B$5:$B$2004,"PPS",'Estimates'!$D$5:$D$2004,'Status'!$E$6,'Estimates'!$H$5:$H$2004,1,'Estimates'!$E$5:$E$2004,'Status'!$E$7)))))</x:f>
      </x:c>
      <x:c r="K149" s="13" t="str">
        <x:f>IF(OR(COUNTA($A149)=0,NOT(ISNUMBER('Status'!$F$6))),"",IF(COUNTIFS('Estimates'!$A$5:$A$2004,$A149,'Estimates'!$B$5:$B$2004,"PPS",'Estimates'!$D$5:$D$2004,'Status'!$F$6,'Estimates'!$H$5:$H$2004,1,'Estimates'!$E$5:$E$2004,'Status'!$E$7)=0,"",IF(COUNTIFS('Estimates'!$A$5:$A$2004,$A149,'Estimates'!$B$5:$B$2004,"PPS",'Estimates'!$D$5:$D$2004,'Status'!$F$6,'Estimates'!$H$5:$H$2004,1,'Estimates'!$E$5:$E$2004,'Status'!$E$7)&gt;1,"DUP",IF(COUNTIFS('Estimates'!$A$5:$A$2004,$A149,'Estimates'!$B$5:$B$2004,"PPS",'Estimates'!$D$5:$D$2004,'Status'!$F$6,'Estimates'!$H$5:$H$2004,1,'Estimates'!$E$5:$E$2004,'Status'!$E$7,'Estimates'!$F$5:$F$2004,"&lt;&gt;")=0,"",SUMIFS('Estimates'!$F$5:$F$2004,'Estimates'!$A$5:$A$2004,$A149,'Estimates'!$B$5:$B$2004,"PPS",'Estimates'!$D$5:$D$2004,'Status'!$F$6,'Estimates'!$H$5:$H$2004,1,'Estimates'!$E$5:$E$2004,'Status'!$E$7)))))</x:f>
      </x:c>
      <x:c r="L149" s="13" t="str">
        <x:f>IF(OR(COUNTA($A149)=0,NOT(ISNUMBER('Status'!$G$6))),"",IF(COUNTIFS('Estimates'!$A$5:$A$2004,$A149,'Estimates'!$B$5:$B$2004,"PPS",'Estimates'!$D$5:$D$2004,'Status'!$G$6,'Estimates'!$H$5:$H$2004,1,'Estimates'!$E$5:$E$2004,'Status'!$E$7)=0,"",IF(COUNTIFS('Estimates'!$A$5:$A$2004,$A149,'Estimates'!$B$5:$B$2004,"PPS",'Estimates'!$D$5:$D$2004,'Status'!$G$6,'Estimates'!$H$5:$H$2004,1,'Estimates'!$E$5:$E$2004,'Status'!$E$7)&gt;1,"DUP",IF(COUNTIFS('Estimates'!$A$5:$A$2004,$A149,'Estimates'!$B$5:$B$2004,"PPS",'Estimates'!$D$5:$D$2004,'Status'!$G$6,'Estimates'!$H$5:$H$2004,1,'Estimates'!$E$5:$E$2004,'Status'!$E$7,'Estimates'!$F$5:$F$2004,"&lt;&gt;")=0,"",SUMIFS('Estimates'!$F$5:$F$2004,'Estimates'!$A$5:$A$2004,$A149,'Estimates'!$B$5:$B$2004,"PPS",'Estimates'!$D$5:$D$2004,'Status'!$G$6,'Estimates'!$H$5:$H$2004,1,'Estimates'!$E$5:$E$2004,'Status'!$E$7)))))</x:f>
      </x:c>
      <x:c r="M149" s="13" t="str">
        <x:f>IF(AND(ISNUMBER(J149),ISNUMBER(K149)),K149-J149,"")</x:f>
      </x:c>
      <x:c r="N149" s="13" t="str">
        <x:f>IF(AND(ISNUMBER(K149),ISNUMBER(L149)),L149-K149,"")</x:f>
      </x:c>
      <x:c r="O149" s="13" t="str">
        <x:f>IF(AND(COUNT(J149:L149)=3,COUNT('Status'!$E$6:$G$6)=3,'Status'!$E$6&gt;'Status'!$F$6,'Status'!$F$6&gt;'Status'!$G$6,'Status'!$G$6&gt;0),ABS(L149-(K149+(K149-J149)*('Status'!$G$6-'Status'!$F$6)/('Status'!$F$6-'Status'!$E$6))),"")</x:f>
      </x:c>
      <x:c r="P149" s="13" t="str">
        <x:f>IF(AND(COUNT(J149:L149)=3,COUNT('Status'!$E$6:$G$6)=3,'Status'!$E$6&gt;'Status'!$F$6,'Status'!$F$6&gt;'Status'!$G$6,'Status'!$G$6&gt;0),('Status'!$F$6*L149-'Status'!$G$6*K149)/('Status'!$F$6-'Status'!$G$6),"")</x:f>
      </x:c>
      <x:c r="Q149" s="20"/>
      <x:c r="R149" s="13" t="str">
        <x:f>IF(COUNTA($A149)=0,"",IF('Status'!$B$6="MPS 1",IF(ISNUMBER(C149),C149,""),IF('Status'!$B$6="MPS 2",IF(ISNUMBER(D149),D149,""),IF('Status'!$B$6="MPS 3",IF(ISNUMBER(E149),E149,""),IF('Status'!$B$6="MPS extrap",IF(ISNUMBER(I149),I149,""),IF('Status'!$B$6="PPS 1",IF(ISNUMBER(J149),J149,""),IF('Status'!$B$6="PPS 2",IF(ISNUMBER(K149),K149,""),IF('Status'!$B$6="PPS 3",IF(ISNUMBER(L149),L149,""),IF('Status'!$B$6="PPS extrap",IF(ISNUMBER(P149),P149,""),IF('Status'!$B$6="Calibrated",IF(ISNUMBER(Q149),Q149,""),""))))))))))</x:f>
      </x:c>
      <x:c r="S149" s="2" t="str">
        <x:f>IF(COUNTA(A149)=0,"",IF(COUNTIFS('Estimates'!$A$5:$A$2004,A149,'Estimates'!$B$5:$B$2004,"MPS",'Estimates'!$H$5:$H$2004,1)+COUNTIFS('Estimates'!$A$5:$A$2004,A149,'Estimates'!$B$5:$B$2004,"PPS",'Estimates'!$H$5:$H$2004,1)&gt;0,1,0))</x:f>
      </x:c>
      <x:c r="T149" s="2" t="str">
        <x:f>IF(COUNTA(A149)=0,"",IF(COUNTIFS($A$6:$A$165,A149)&gt;1,"Duplicate target",IF(COUNTIFS(C149:E149,"DUP")+COUNTIFS(J149:L149,"DUP")&gt;0,"Duplicate accepted run",IF(COUNTIFS('Estimates'!$A$5:$A$2004,A149,'Estimates'!$H$5:$H$2004,1)-COUNTIFS('Estimates'!$A$5:$A$2004,A149,'Estimates'!$H$5:$H$2004,1,'Estimates'!$F$5:$F$2004,"&lt;&gt;")&gt;0,"Accepted value missing",""))))</x:f>
      </x:c>
    </x:row>
    <x:row r="150">
      <x:c r="A150" s="21"/>
      <x:c r="B150" s="19"/>
      <x:c r="C150" s="13" t="str">
        <x:f>IF(OR(COUNTA($A150)=0,NOT(ISNUMBER('Status'!$E$5))),"",IF(COUNTIFS('Estimates'!$A$5:$A$2004,$A150,'Estimates'!$B$5:$B$2004,"MPS",'Estimates'!$C$5:$C$2004,'Status'!$E$5,'Estimates'!$H$5:$H$2004,1)=0,"",IF(COUNTIFS('Estimates'!$A$5:$A$2004,$A150,'Estimates'!$B$5:$B$2004,"MPS",'Estimates'!$C$5:$C$2004,'Status'!$E$5,'Estimates'!$H$5:$H$2004,1)&gt;1,"DUP",IF(COUNTIFS('Estimates'!$A$5:$A$2004,$A150,'Estimates'!$B$5:$B$2004,"MPS",'Estimates'!$C$5:$C$2004,'Status'!$E$5,'Estimates'!$H$5:$H$2004,1,'Estimates'!$F$5:$F$2004,"&lt;&gt;")=0,"",SUMIFS('Estimates'!$F$5:$F$2004,'Estimates'!$A$5:$A$2004,$A150,'Estimates'!$B$5:$B$2004,"MPS",'Estimates'!$C$5:$C$2004,'Status'!$E$5,'Estimates'!$H$5:$H$2004,1)))))</x:f>
      </x:c>
      <x:c r="D150" s="13" t="str">
        <x:f>IF(OR(COUNTA($A150)=0,NOT(ISNUMBER('Status'!$F$5))),"",IF(COUNTIFS('Estimates'!$A$5:$A$2004,$A150,'Estimates'!$B$5:$B$2004,"MPS",'Estimates'!$C$5:$C$2004,'Status'!$F$5,'Estimates'!$H$5:$H$2004,1)=0,"",IF(COUNTIFS('Estimates'!$A$5:$A$2004,$A150,'Estimates'!$B$5:$B$2004,"MPS",'Estimates'!$C$5:$C$2004,'Status'!$F$5,'Estimates'!$H$5:$H$2004,1)&gt;1,"DUP",IF(COUNTIFS('Estimates'!$A$5:$A$2004,$A150,'Estimates'!$B$5:$B$2004,"MPS",'Estimates'!$C$5:$C$2004,'Status'!$F$5,'Estimates'!$H$5:$H$2004,1,'Estimates'!$F$5:$F$2004,"&lt;&gt;")=0,"",SUMIFS('Estimates'!$F$5:$F$2004,'Estimates'!$A$5:$A$2004,$A150,'Estimates'!$B$5:$B$2004,"MPS",'Estimates'!$C$5:$C$2004,'Status'!$F$5,'Estimates'!$H$5:$H$2004,1)))))</x:f>
      </x:c>
      <x:c r="E150" s="13" t="str">
        <x:f>IF(OR(COUNTA($A150)=0,NOT(ISNUMBER('Status'!$G$5))),"",IF(COUNTIFS('Estimates'!$A$5:$A$2004,$A150,'Estimates'!$B$5:$B$2004,"MPS",'Estimates'!$C$5:$C$2004,'Status'!$G$5,'Estimates'!$H$5:$H$2004,1)=0,"",IF(COUNTIFS('Estimates'!$A$5:$A$2004,$A150,'Estimates'!$B$5:$B$2004,"MPS",'Estimates'!$C$5:$C$2004,'Status'!$G$5,'Estimates'!$H$5:$H$2004,1)&gt;1,"DUP",IF(COUNTIFS('Estimates'!$A$5:$A$2004,$A150,'Estimates'!$B$5:$B$2004,"MPS",'Estimates'!$C$5:$C$2004,'Status'!$G$5,'Estimates'!$H$5:$H$2004,1,'Estimates'!$F$5:$F$2004,"&lt;&gt;")=0,"",SUMIFS('Estimates'!$F$5:$F$2004,'Estimates'!$A$5:$A$2004,$A150,'Estimates'!$B$5:$B$2004,"MPS",'Estimates'!$C$5:$C$2004,'Status'!$G$5,'Estimates'!$H$5:$H$2004,1)))))</x:f>
      </x:c>
      <x:c r="F150" s="13" t="str">
        <x:f>IF(AND(ISNUMBER(C150),ISNUMBER(D150)),D150-C150,"")</x:f>
      </x:c>
      <x:c r="G150" s="13" t="str">
        <x:f>IF(AND(ISNUMBER(D150),ISNUMBER(E150)),E150-D150,"")</x:f>
      </x:c>
      <x:c r="H150" s="13" t="str">
        <x:f>IF(AND(COUNT(C150:E150)=3,COUNT('Status'!$E$5:$G$5)=3,'Status'!$E$5&gt;0,'Status'!$E$5&lt;'Status'!$F$5,'Status'!$F$5&lt;'Status'!$G$5),ABS(E150-(D150+(D150-C150)*((1/'Status'!$G$5)-(1/'Status'!$F$5))/((1/'Status'!$F$5)-(1/'Status'!$E$5)))),"")</x:f>
      </x:c>
      <x:c r="I150" s="13" t="str">
        <x:f>IF(AND(COUNT(C150:E150)=3,COUNT('Status'!$E$5:$G$5)=3,'Status'!$E$5&gt;0,'Status'!$E$5&lt;'Status'!$F$5,'Status'!$F$5&lt;'Status'!$G$5),((1/'Status'!$F$5)*E150-(1/'Status'!$G$5)*D150)/((1/'Status'!$F$5)-(1/'Status'!$G$5)),"")</x:f>
      </x:c>
      <x:c r="J150" s="13" t="str">
        <x:f>IF(OR(COUNTA($A150)=0,NOT(ISNUMBER('Status'!$E$6))),"",IF(COUNTIFS('Estimates'!$A$5:$A$2004,$A150,'Estimates'!$B$5:$B$2004,"PPS",'Estimates'!$D$5:$D$2004,'Status'!$E$6,'Estimates'!$H$5:$H$2004,1,'Estimates'!$E$5:$E$2004,'Status'!$E$7)=0,"",IF(COUNTIFS('Estimates'!$A$5:$A$2004,$A150,'Estimates'!$B$5:$B$2004,"PPS",'Estimates'!$D$5:$D$2004,'Status'!$E$6,'Estimates'!$H$5:$H$2004,1,'Estimates'!$E$5:$E$2004,'Status'!$E$7)&gt;1,"DUP",IF(COUNTIFS('Estimates'!$A$5:$A$2004,$A150,'Estimates'!$B$5:$B$2004,"PPS",'Estimates'!$D$5:$D$2004,'Status'!$E$6,'Estimates'!$H$5:$H$2004,1,'Estimates'!$E$5:$E$2004,'Status'!$E$7,'Estimates'!$F$5:$F$2004,"&lt;&gt;")=0,"",SUMIFS('Estimates'!$F$5:$F$2004,'Estimates'!$A$5:$A$2004,$A150,'Estimates'!$B$5:$B$2004,"PPS",'Estimates'!$D$5:$D$2004,'Status'!$E$6,'Estimates'!$H$5:$H$2004,1,'Estimates'!$E$5:$E$2004,'Status'!$E$7)))))</x:f>
      </x:c>
      <x:c r="K150" s="13" t="str">
        <x:f>IF(OR(COUNTA($A150)=0,NOT(ISNUMBER('Status'!$F$6))),"",IF(COUNTIFS('Estimates'!$A$5:$A$2004,$A150,'Estimates'!$B$5:$B$2004,"PPS",'Estimates'!$D$5:$D$2004,'Status'!$F$6,'Estimates'!$H$5:$H$2004,1,'Estimates'!$E$5:$E$2004,'Status'!$E$7)=0,"",IF(COUNTIFS('Estimates'!$A$5:$A$2004,$A150,'Estimates'!$B$5:$B$2004,"PPS",'Estimates'!$D$5:$D$2004,'Status'!$F$6,'Estimates'!$H$5:$H$2004,1,'Estimates'!$E$5:$E$2004,'Status'!$E$7)&gt;1,"DUP",IF(COUNTIFS('Estimates'!$A$5:$A$2004,$A150,'Estimates'!$B$5:$B$2004,"PPS",'Estimates'!$D$5:$D$2004,'Status'!$F$6,'Estimates'!$H$5:$H$2004,1,'Estimates'!$E$5:$E$2004,'Status'!$E$7,'Estimates'!$F$5:$F$2004,"&lt;&gt;")=0,"",SUMIFS('Estimates'!$F$5:$F$2004,'Estimates'!$A$5:$A$2004,$A150,'Estimates'!$B$5:$B$2004,"PPS",'Estimates'!$D$5:$D$2004,'Status'!$F$6,'Estimates'!$H$5:$H$2004,1,'Estimates'!$E$5:$E$2004,'Status'!$E$7)))))</x:f>
      </x:c>
      <x:c r="L150" s="13" t="str">
        <x:f>IF(OR(COUNTA($A150)=0,NOT(ISNUMBER('Status'!$G$6))),"",IF(COUNTIFS('Estimates'!$A$5:$A$2004,$A150,'Estimates'!$B$5:$B$2004,"PPS",'Estimates'!$D$5:$D$2004,'Status'!$G$6,'Estimates'!$H$5:$H$2004,1,'Estimates'!$E$5:$E$2004,'Status'!$E$7)=0,"",IF(COUNTIFS('Estimates'!$A$5:$A$2004,$A150,'Estimates'!$B$5:$B$2004,"PPS",'Estimates'!$D$5:$D$2004,'Status'!$G$6,'Estimates'!$H$5:$H$2004,1,'Estimates'!$E$5:$E$2004,'Status'!$E$7)&gt;1,"DUP",IF(COUNTIFS('Estimates'!$A$5:$A$2004,$A150,'Estimates'!$B$5:$B$2004,"PPS",'Estimates'!$D$5:$D$2004,'Status'!$G$6,'Estimates'!$H$5:$H$2004,1,'Estimates'!$E$5:$E$2004,'Status'!$E$7,'Estimates'!$F$5:$F$2004,"&lt;&gt;")=0,"",SUMIFS('Estimates'!$F$5:$F$2004,'Estimates'!$A$5:$A$2004,$A150,'Estimates'!$B$5:$B$2004,"PPS",'Estimates'!$D$5:$D$2004,'Status'!$G$6,'Estimates'!$H$5:$H$2004,1,'Estimates'!$E$5:$E$2004,'Status'!$E$7)))))</x:f>
      </x:c>
      <x:c r="M150" s="13" t="str">
        <x:f>IF(AND(ISNUMBER(J150),ISNUMBER(K150)),K150-J150,"")</x:f>
      </x:c>
      <x:c r="N150" s="13" t="str">
        <x:f>IF(AND(ISNUMBER(K150),ISNUMBER(L150)),L150-K150,"")</x:f>
      </x:c>
      <x:c r="O150" s="13" t="str">
        <x:f>IF(AND(COUNT(J150:L150)=3,COUNT('Status'!$E$6:$G$6)=3,'Status'!$E$6&gt;'Status'!$F$6,'Status'!$F$6&gt;'Status'!$G$6,'Status'!$G$6&gt;0),ABS(L150-(K150+(K150-J150)*('Status'!$G$6-'Status'!$F$6)/('Status'!$F$6-'Status'!$E$6))),"")</x:f>
      </x:c>
      <x:c r="P150" s="13" t="str">
        <x:f>IF(AND(COUNT(J150:L150)=3,COUNT('Status'!$E$6:$G$6)=3,'Status'!$E$6&gt;'Status'!$F$6,'Status'!$F$6&gt;'Status'!$G$6,'Status'!$G$6&gt;0),('Status'!$F$6*L150-'Status'!$G$6*K150)/('Status'!$F$6-'Status'!$G$6),"")</x:f>
      </x:c>
      <x:c r="Q150" s="20"/>
      <x:c r="R150" s="13" t="str">
        <x:f>IF(COUNTA($A150)=0,"",IF('Status'!$B$6="MPS 1",IF(ISNUMBER(C150),C150,""),IF('Status'!$B$6="MPS 2",IF(ISNUMBER(D150),D150,""),IF('Status'!$B$6="MPS 3",IF(ISNUMBER(E150),E150,""),IF('Status'!$B$6="MPS extrap",IF(ISNUMBER(I150),I150,""),IF('Status'!$B$6="PPS 1",IF(ISNUMBER(J150),J150,""),IF('Status'!$B$6="PPS 2",IF(ISNUMBER(K150),K150,""),IF('Status'!$B$6="PPS 3",IF(ISNUMBER(L150),L150,""),IF('Status'!$B$6="PPS extrap",IF(ISNUMBER(P150),P150,""),IF('Status'!$B$6="Calibrated",IF(ISNUMBER(Q150),Q150,""),""))))))))))</x:f>
      </x:c>
      <x:c r="S150" s="2" t="str">
        <x:f>IF(COUNTA(A150)=0,"",IF(COUNTIFS('Estimates'!$A$5:$A$2004,A150,'Estimates'!$B$5:$B$2004,"MPS",'Estimates'!$H$5:$H$2004,1)+COUNTIFS('Estimates'!$A$5:$A$2004,A150,'Estimates'!$B$5:$B$2004,"PPS",'Estimates'!$H$5:$H$2004,1)&gt;0,1,0))</x:f>
      </x:c>
      <x:c r="T150" s="2" t="str">
        <x:f>IF(COUNTA(A150)=0,"",IF(COUNTIFS($A$6:$A$165,A150)&gt;1,"Duplicate target",IF(COUNTIFS(C150:E150,"DUP")+COUNTIFS(J150:L150,"DUP")&gt;0,"Duplicate accepted run",IF(COUNTIFS('Estimates'!$A$5:$A$2004,A150,'Estimates'!$H$5:$H$2004,1)-COUNTIFS('Estimates'!$A$5:$A$2004,A150,'Estimates'!$H$5:$H$2004,1,'Estimates'!$F$5:$F$2004,"&lt;&gt;")&gt;0,"Accepted value missing",""))))</x:f>
      </x:c>
    </x:row>
    <x:row r="151">
      <x:c r="A151" s="21"/>
      <x:c r="B151" s="19"/>
      <x:c r="C151" s="13" t="str">
        <x:f>IF(OR(COUNTA($A151)=0,NOT(ISNUMBER('Status'!$E$5))),"",IF(COUNTIFS('Estimates'!$A$5:$A$2004,$A151,'Estimates'!$B$5:$B$2004,"MPS",'Estimates'!$C$5:$C$2004,'Status'!$E$5,'Estimates'!$H$5:$H$2004,1)=0,"",IF(COUNTIFS('Estimates'!$A$5:$A$2004,$A151,'Estimates'!$B$5:$B$2004,"MPS",'Estimates'!$C$5:$C$2004,'Status'!$E$5,'Estimates'!$H$5:$H$2004,1)&gt;1,"DUP",IF(COUNTIFS('Estimates'!$A$5:$A$2004,$A151,'Estimates'!$B$5:$B$2004,"MPS",'Estimates'!$C$5:$C$2004,'Status'!$E$5,'Estimates'!$H$5:$H$2004,1,'Estimates'!$F$5:$F$2004,"&lt;&gt;")=0,"",SUMIFS('Estimates'!$F$5:$F$2004,'Estimates'!$A$5:$A$2004,$A151,'Estimates'!$B$5:$B$2004,"MPS",'Estimates'!$C$5:$C$2004,'Status'!$E$5,'Estimates'!$H$5:$H$2004,1)))))</x:f>
      </x:c>
      <x:c r="D151" s="13" t="str">
        <x:f>IF(OR(COUNTA($A151)=0,NOT(ISNUMBER('Status'!$F$5))),"",IF(COUNTIFS('Estimates'!$A$5:$A$2004,$A151,'Estimates'!$B$5:$B$2004,"MPS",'Estimates'!$C$5:$C$2004,'Status'!$F$5,'Estimates'!$H$5:$H$2004,1)=0,"",IF(COUNTIFS('Estimates'!$A$5:$A$2004,$A151,'Estimates'!$B$5:$B$2004,"MPS",'Estimates'!$C$5:$C$2004,'Status'!$F$5,'Estimates'!$H$5:$H$2004,1)&gt;1,"DUP",IF(COUNTIFS('Estimates'!$A$5:$A$2004,$A151,'Estimates'!$B$5:$B$2004,"MPS",'Estimates'!$C$5:$C$2004,'Status'!$F$5,'Estimates'!$H$5:$H$2004,1,'Estimates'!$F$5:$F$2004,"&lt;&gt;")=0,"",SUMIFS('Estimates'!$F$5:$F$2004,'Estimates'!$A$5:$A$2004,$A151,'Estimates'!$B$5:$B$2004,"MPS",'Estimates'!$C$5:$C$2004,'Status'!$F$5,'Estimates'!$H$5:$H$2004,1)))))</x:f>
      </x:c>
      <x:c r="E151" s="13" t="str">
        <x:f>IF(OR(COUNTA($A151)=0,NOT(ISNUMBER('Status'!$G$5))),"",IF(COUNTIFS('Estimates'!$A$5:$A$2004,$A151,'Estimates'!$B$5:$B$2004,"MPS",'Estimates'!$C$5:$C$2004,'Status'!$G$5,'Estimates'!$H$5:$H$2004,1)=0,"",IF(COUNTIFS('Estimates'!$A$5:$A$2004,$A151,'Estimates'!$B$5:$B$2004,"MPS",'Estimates'!$C$5:$C$2004,'Status'!$G$5,'Estimates'!$H$5:$H$2004,1)&gt;1,"DUP",IF(COUNTIFS('Estimates'!$A$5:$A$2004,$A151,'Estimates'!$B$5:$B$2004,"MPS",'Estimates'!$C$5:$C$2004,'Status'!$G$5,'Estimates'!$H$5:$H$2004,1,'Estimates'!$F$5:$F$2004,"&lt;&gt;")=0,"",SUMIFS('Estimates'!$F$5:$F$2004,'Estimates'!$A$5:$A$2004,$A151,'Estimates'!$B$5:$B$2004,"MPS",'Estimates'!$C$5:$C$2004,'Status'!$G$5,'Estimates'!$H$5:$H$2004,1)))))</x:f>
      </x:c>
      <x:c r="F151" s="13" t="str">
        <x:f>IF(AND(ISNUMBER(C151),ISNUMBER(D151)),D151-C151,"")</x:f>
      </x:c>
      <x:c r="G151" s="13" t="str">
        <x:f>IF(AND(ISNUMBER(D151),ISNUMBER(E151)),E151-D151,"")</x:f>
      </x:c>
      <x:c r="H151" s="13" t="str">
        <x:f>IF(AND(COUNT(C151:E151)=3,COUNT('Status'!$E$5:$G$5)=3,'Status'!$E$5&gt;0,'Status'!$E$5&lt;'Status'!$F$5,'Status'!$F$5&lt;'Status'!$G$5),ABS(E151-(D151+(D151-C151)*((1/'Status'!$G$5)-(1/'Status'!$F$5))/((1/'Status'!$F$5)-(1/'Status'!$E$5)))),"")</x:f>
      </x:c>
      <x:c r="I151" s="13" t="str">
        <x:f>IF(AND(COUNT(C151:E151)=3,COUNT('Status'!$E$5:$G$5)=3,'Status'!$E$5&gt;0,'Status'!$E$5&lt;'Status'!$F$5,'Status'!$F$5&lt;'Status'!$G$5),((1/'Status'!$F$5)*E151-(1/'Status'!$G$5)*D151)/((1/'Status'!$F$5)-(1/'Status'!$G$5)),"")</x:f>
      </x:c>
      <x:c r="J151" s="13" t="str">
        <x:f>IF(OR(COUNTA($A151)=0,NOT(ISNUMBER('Status'!$E$6))),"",IF(COUNTIFS('Estimates'!$A$5:$A$2004,$A151,'Estimates'!$B$5:$B$2004,"PPS",'Estimates'!$D$5:$D$2004,'Status'!$E$6,'Estimates'!$H$5:$H$2004,1,'Estimates'!$E$5:$E$2004,'Status'!$E$7)=0,"",IF(COUNTIFS('Estimates'!$A$5:$A$2004,$A151,'Estimates'!$B$5:$B$2004,"PPS",'Estimates'!$D$5:$D$2004,'Status'!$E$6,'Estimates'!$H$5:$H$2004,1,'Estimates'!$E$5:$E$2004,'Status'!$E$7)&gt;1,"DUP",IF(COUNTIFS('Estimates'!$A$5:$A$2004,$A151,'Estimates'!$B$5:$B$2004,"PPS",'Estimates'!$D$5:$D$2004,'Status'!$E$6,'Estimates'!$H$5:$H$2004,1,'Estimates'!$E$5:$E$2004,'Status'!$E$7,'Estimates'!$F$5:$F$2004,"&lt;&gt;")=0,"",SUMIFS('Estimates'!$F$5:$F$2004,'Estimates'!$A$5:$A$2004,$A151,'Estimates'!$B$5:$B$2004,"PPS",'Estimates'!$D$5:$D$2004,'Status'!$E$6,'Estimates'!$H$5:$H$2004,1,'Estimates'!$E$5:$E$2004,'Status'!$E$7)))))</x:f>
      </x:c>
      <x:c r="K151" s="13" t="str">
        <x:f>IF(OR(COUNTA($A151)=0,NOT(ISNUMBER('Status'!$F$6))),"",IF(COUNTIFS('Estimates'!$A$5:$A$2004,$A151,'Estimates'!$B$5:$B$2004,"PPS",'Estimates'!$D$5:$D$2004,'Status'!$F$6,'Estimates'!$H$5:$H$2004,1,'Estimates'!$E$5:$E$2004,'Status'!$E$7)=0,"",IF(COUNTIFS('Estimates'!$A$5:$A$2004,$A151,'Estimates'!$B$5:$B$2004,"PPS",'Estimates'!$D$5:$D$2004,'Status'!$F$6,'Estimates'!$H$5:$H$2004,1,'Estimates'!$E$5:$E$2004,'Status'!$E$7)&gt;1,"DUP",IF(COUNTIFS('Estimates'!$A$5:$A$2004,$A151,'Estimates'!$B$5:$B$2004,"PPS",'Estimates'!$D$5:$D$2004,'Status'!$F$6,'Estimates'!$H$5:$H$2004,1,'Estimates'!$E$5:$E$2004,'Status'!$E$7,'Estimates'!$F$5:$F$2004,"&lt;&gt;")=0,"",SUMIFS('Estimates'!$F$5:$F$2004,'Estimates'!$A$5:$A$2004,$A151,'Estimates'!$B$5:$B$2004,"PPS",'Estimates'!$D$5:$D$2004,'Status'!$F$6,'Estimates'!$H$5:$H$2004,1,'Estimates'!$E$5:$E$2004,'Status'!$E$7)))))</x:f>
      </x:c>
      <x:c r="L151" s="13" t="str">
        <x:f>IF(OR(COUNTA($A151)=0,NOT(ISNUMBER('Status'!$G$6))),"",IF(COUNTIFS('Estimates'!$A$5:$A$2004,$A151,'Estimates'!$B$5:$B$2004,"PPS",'Estimates'!$D$5:$D$2004,'Status'!$G$6,'Estimates'!$H$5:$H$2004,1,'Estimates'!$E$5:$E$2004,'Status'!$E$7)=0,"",IF(COUNTIFS('Estimates'!$A$5:$A$2004,$A151,'Estimates'!$B$5:$B$2004,"PPS",'Estimates'!$D$5:$D$2004,'Status'!$G$6,'Estimates'!$H$5:$H$2004,1,'Estimates'!$E$5:$E$2004,'Status'!$E$7)&gt;1,"DUP",IF(COUNTIFS('Estimates'!$A$5:$A$2004,$A151,'Estimates'!$B$5:$B$2004,"PPS",'Estimates'!$D$5:$D$2004,'Status'!$G$6,'Estimates'!$H$5:$H$2004,1,'Estimates'!$E$5:$E$2004,'Status'!$E$7,'Estimates'!$F$5:$F$2004,"&lt;&gt;")=0,"",SUMIFS('Estimates'!$F$5:$F$2004,'Estimates'!$A$5:$A$2004,$A151,'Estimates'!$B$5:$B$2004,"PPS",'Estimates'!$D$5:$D$2004,'Status'!$G$6,'Estimates'!$H$5:$H$2004,1,'Estimates'!$E$5:$E$2004,'Status'!$E$7)))))</x:f>
      </x:c>
      <x:c r="M151" s="13" t="str">
        <x:f>IF(AND(ISNUMBER(J151),ISNUMBER(K151)),K151-J151,"")</x:f>
      </x:c>
      <x:c r="N151" s="13" t="str">
        <x:f>IF(AND(ISNUMBER(K151),ISNUMBER(L151)),L151-K151,"")</x:f>
      </x:c>
      <x:c r="O151" s="13" t="str">
        <x:f>IF(AND(COUNT(J151:L151)=3,COUNT('Status'!$E$6:$G$6)=3,'Status'!$E$6&gt;'Status'!$F$6,'Status'!$F$6&gt;'Status'!$G$6,'Status'!$G$6&gt;0),ABS(L151-(K151+(K151-J151)*('Status'!$G$6-'Status'!$F$6)/('Status'!$F$6-'Status'!$E$6))),"")</x:f>
      </x:c>
      <x:c r="P151" s="13" t="str">
        <x:f>IF(AND(COUNT(J151:L151)=3,COUNT('Status'!$E$6:$G$6)=3,'Status'!$E$6&gt;'Status'!$F$6,'Status'!$F$6&gt;'Status'!$G$6,'Status'!$G$6&gt;0),('Status'!$F$6*L151-'Status'!$G$6*K151)/('Status'!$F$6-'Status'!$G$6),"")</x:f>
      </x:c>
      <x:c r="Q151" s="20"/>
      <x:c r="R151" s="13" t="str">
        <x:f>IF(COUNTA($A151)=0,"",IF('Status'!$B$6="MPS 1",IF(ISNUMBER(C151),C151,""),IF('Status'!$B$6="MPS 2",IF(ISNUMBER(D151),D151,""),IF('Status'!$B$6="MPS 3",IF(ISNUMBER(E151),E151,""),IF('Status'!$B$6="MPS extrap",IF(ISNUMBER(I151),I151,""),IF('Status'!$B$6="PPS 1",IF(ISNUMBER(J151),J151,""),IF('Status'!$B$6="PPS 2",IF(ISNUMBER(K151),K151,""),IF('Status'!$B$6="PPS 3",IF(ISNUMBER(L151),L151,""),IF('Status'!$B$6="PPS extrap",IF(ISNUMBER(P151),P151,""),IF('Status'!$B$6="Calibrated",IF(ISNUMBER(Q151),Q151,""),""))))))))))</x:f>
      </x:c>
      <x:c r="S151" s="2" t="str">
        <x:f>IF(COUNTA(A151)=0,"",IF(COUNTIFS('Estimates'!$A$5:$A$2004,A151,'Estimates'!$B$5:$B$2004,"MPS",'Estimates'!$H$5:$H$2004,1)+COUNTIFS('Estimates'!$A$5:$A$2004,A151,'Estimates'!$B$5:$B$2004,"PPS",'Estimates'!$H$5:$H$2004,1)&gt;0,1,0))</x:f>
      </x:c>
      <x:c r="T151" s="2" t="str">
        <x:f>IF(COUNTA(A151)=0,"",IF(COUNTIFS($A$6:$A$165,A151)&gt;1,"Duplicate target",IF(COUNTIFS(C151:E151,"DUP")+COUNTIFS(J151:L151,"DUP")&gt;0,"Duplicate accepted run",IF(COUNTIFS('Estimates'!$A$5:$A$2004,A151,'Estimates'!$H$5:$H$2004,1)-COUNTIFS('Estimates'!$A$5:$A$2004,A151,'Estimates'!$H$5:$H$2004,1,'Estimates'!$F$5:$F$2004,"&lt;&gt;")&gt;0,"Accepted value missing",""))))</x:f>
      </x:c>
    </x:row>
    <x:row r="152">
      <x:c r="A152" s="21"/>
      <x:c r="B152" s="19"/>
      <x:c r="C152" s="13" t="str">
        <x:f>IF(OR(COUNTA($A152)=0,NOT(ISNUMBER('Status'!$E$5))),"",IF(COUNTIFS('Estimates'!$A$5:$A$2004,$A152,'Estimates'!$B$5:$B$2004,"MPS",'Estimates'!$C$5:$C$2004,'Status'!$E$5,'Estimates'!$H$5:$H$2004,1)=0,"",IF(COUNTIFS('Estimates'!$A$5:$A$2004,$A152,'Estimates'!$B$5:$B$2004,"MPS",'Estimates'!$C$5:$C$2004,'Status'!$E$5,'Estimates'!$H$5:$H$2004,1)&gt;1,"DUP",IF(COUNTIFS('Estimates'!$A$5:$A$2004,$A152,'Estimates'!$B$5:$B$2004,"MPS",'Estimates'!$C$5:$C$2004,'Status'!$E$5,'Estimates'!$H$5:$H$2004,1,'Estimates'!$F$5:$F$2004,"&lt;&gt;")=0,"",SUMIFS('Estimates'!$F$5:$F$2004,'Estimates'!$A$5:$A$2004,$A152,'Estimates'!$B$5:$B$2004,"MPS",'Estimates'!$C$5:$C$2004,'Status'!$E$5,'Estimates'!$H$5:$H$2004,1)))))</x:f>
      </x:c>
      <x:c r="D152" s="13" t="str">
        <x:f>IF(OR(COUNTA($A152)=0,NOT(ISNUMBER('Status'!$F$5))),"",IF(COUNTIFS('Estimates'!$A$5:$A$2004,$A152,'Estimates'!$B$5:$B$2004,"MPS",'Estimates'!$C$5:$C$2004,'Status'!$F$5,'Estimates'!$H$5:$H$2004,1)=0,"",IF(COUNTIFS('Estimates'!$A$5:$A$2004,$A152,'Estimates'!$B$5:$B$2004,"MPS",'Estimates'!$C$5:$C$2004,'Status'!$F$5,'Estimates'!$H$5:$H$2004,1)&gt;1,"DUP",IF(COUNTIFS('Estimates'!$A$5:$A$2004,$A152,'Estimates'!$B$5:$B$2004,"MPS",'Estimates'!$C$5:$C$2004,'Status'!$F$5,'Estimates'!$H$5:$H$2004,1,'Estimates'!$F$5:$F$2004,"&lt;&gt;")=0,"",SUMIFS('Estimates'!$F$5:$F$2004,'Estimates'!$A$5:$A$2004,$A152,'Estimates'!$B$5:$B$2004,"MPS",'Estimates'!$C$5:$C$2004,'Status'!$F$5,'Estimates'!$H$5:$H$2004,1)))))</x:f>
      </x:c>
      <x:c r="E152" s="13" t="str">
        <x:f>IF(OR(COUNTA($A152)=0,NOT(ISNUMBER('Status'!$G$5))),"",IF(COUNTIFS('Estimates'!$A$5:$A$2004,$A152,'Estimates'!$B$5:$B$2004,"MPS",'Estimates'!$C$5:$C$2004,'Status'!$G$5,'Estimates'!$H$5:$H$2004,1)=0,"",IF(COUNTIFS('Estimates'!$A$5:$A$2004,$A152,'Estimates'!$B$5:$B$2004,"MPS",'Estimates'!$C$5:$C$2004,'Status'!$G$5,'Estimates'!$H$5:$H$2004,1)&gt;1,"DUP",IF(COUNTIFS('Estimates'!$A$5:$A$2004,$A152,'Estimates'!$B$5:$B$2004,"MPS",'Estimates'!$C$5:$C$2004,'Status'!$G$5,'Estimates'!$H$5:$H$2004,1,'Estimates'!$F$5:$F$2004,"&lt;&gt;")=0,"",SUMIFS('Estimates'!$F$5:$F$2004,'Estimates'!$A$5:$A$2004,$A152,'Estimates'!$B$5:$B$2004,"MPS",'Estimates'!$C$5:$C$2004,'Status'!$G$5,'Estimates'!$H$5:$H$2004,1)))))</x:f>
      </x:c>
      <x:c r="F152" s="13" t="str">
        <x:f>IF(AND(ISNUMBER(C152),ISNUMBER(D152)),D152-C152,"")</x:f>
      </x:c>
      <x:c r="G152" s="13" t="str">
        <x:f>IF(AND(ISNUMBER(D152),ISNUMBER(E152)),E152-D152,"")</x:f>
      </x:c>
      <x:c r="H152" s="13" t="str">
        <x:f>IF(AND(COUNT(C152:E152)=3,COUNT('Status'!$E$5:$G$5)=3,'Status'!$E$5&gt;0,'Status'!$E$5&lt;'Status'!$F$5,'Status'!$F$5&lt;'Status'!$G$5),ABS(E152-(D152+(D152-C152)*((1/'Status'!$G$5)-(1/'Status'!$F$5))/((1/'Status'!$F$5)-(1/'Status'!$E$5)))),"")</x:f>
      </x:c>
      <x:c r="I152" s="13" t="str">
        <x:f>IF(AND(COUNT(C152:E152)=3,COUNT('Status'!$E$5:$G$5)=3,'Status'!$E$5&gt;0,'Status'!$E$5&lt;'Status'!$F$5,'Status'!$F$5&lt;'Status'!$G$5),((1/'Status'!$F$5)*E152-(1/'Status'!$G$5)*D152)/((1/'Status'!$F$5)-(1/'Status'!$G$5)),"")</x:f>
      </x:c>
      <x:c r="J152" s="13" t="str">
        <x:f>IF(OR(COUNTA($A152)=0,NOT(ISNUMBER('Status'!$E$6))),"",IF(COUNTIFS('Estimates'!$A$5:$A$2004,$A152,'Estimates'!$B$5:$B$2004,"PPS",'Estimates'!$D$5:$D$2004,'Status'!$E$6,'Estimates'!$H$5:$H$2004,1,'Estimates'!$E$5:$E$2004,'Status'!$E$7)=0,"",IF(COUNTIFS('Estimates'!$A$5:$A$2004,$A152,'Estimates'!$B$5:$B$2004,"PPS",'Estimates'!$D$5:$D$2004,'Status'!$E$6,'Estimates'!$H$5:$H$2004,1,'Estimates'!$E$5:$E$2004,'Status'!$E$7)&gt;1,"DUP",IF(COUNTIFS('Estimates'!$A$5:$A$2004,$A152,'Estimates'!$B$5:$B$2004,"PPS",'Estimates'!$D$5:$D$2004,'Status'!$E$6,'Estimates'!$H$5:$H$2004,1,'Estimates'!$E$5:$E$2004,'Status'!$E$7,'Estimates'!$F$5:$F$2004,"&lt;&gt;")=0,"",SUMIFS('Estimates'!$F$5:$F$2004,'Estimates'!$A$5:$A$2004,$A152,'Estimates'!$B$5:$B$2004,"PPS",'Estimates'!$D$5:$D$2004,'Status'!$E$6,'Estimates'!$H$5:$H$2004,1,'Estimates'!$E$5:$E$2004,'Status'!$E$7)))))</x:f>
      </x:c>
      <x:c r="K152" s="13" t="str">
        <x:f>IF(OR(COUNTA($A152)=0,NOT(ISNUMBER('Status'!$F$6))),"",IF(COUNTIFS('Estimates'!$A$5:$A$2004,$A152,'Estimates'!$B$5:$B$2004,"PPS",'Estimates'!$D$5:$D$2004,'Status'!$F$6,'Estimates'!$H$5:$H$2004,1,'Estimates'!$E$5:$E$2004,'Status'!$E$7)=0,"",IF(COUNTIFS('Estimates'!$A$5:$A$2004,$A152,'Estimates'!$B$5:$B$2004,"PPS",'Estimates'!$D$5:$D$2004,'Status'!$F$6,'Estimates'!$H$5:$H$2004,1,'Estimates'!$E$5:$E$2004,'Status'!$E$7)&gt;1,"DUP",IF(COUNTIFS('Estimates'!$A$5:$A$2004,$A152,'Estimates'!$B$5:$B$2004,"PPS",'Estimates'!$D$5:$D$2004,'Status'!$F$6,'Estimates'!$H$5:$H$2004,1,'Estimates'!$E$5:$E$2004,'Status'!$E$7,'Estimates'!$F$5:$F$2004,"&lt;&gt;")=0,"",SUMIFS('Estimates'!$F$5:$F$2004,'Estimates'!$A$5:$A$2004,$A152,'Estimates'!$B$5:$B$2004,"PPS",'Estimates'!$D$5:$D$2004,'Status'!$F$6,'Estimates'!$H$5:$H$2004,1,'Estimates'!$E$5:$E$2004,'Status'!$E$7)))))</x:f>
      </x:c>
      <x:c r="L152" s="13" t="str">
        <x:f>IF(OR(COUNTA($A152)=0,NOT(ISNUMBER('Status'!$G$6))),"",IF(COUNTIFS('Estimates'!$A$5:$A$2004,$A152,'Estimates'!$B$5:$B$2004,"PPS",'Estimates'!$D$5:$D$2004,'Status'!$G$6,'Estimates'!$H$5:$H$2004,1,'Estimates'!$E$5:$E$2004,'Status'!$E$7)=0,"",IF(COUNTIFS('Estimates'!$A$5:$A$2004,$A152,'Estimates'!$B$5:$B$2004,"PPS",'Estimates'!$D$5:$D$2004,'Status'!$G$6,'Estimates'!$H$5:$H$2004,1,'Estimates'!$E$5:$E$2004,'Status'!$E$7)&gt;1,"DUP",IF(COUNTIFS('Estimates'!$A$5:$A$2004,$A152,'Estimates'!$B$5:$B$2004,"PPS",'Estimates'!$D$5:$D$2004,'Status'!$G$6,'Estimates'!$H$5:$H$2004,1,'Estimates'!$E$5:$E$2004,'Status'!$E$7,'Estimates'!$F$5:$F$2004,"&lt;&gt;")=0,"",SUMIFS('Estimates'!$F$5:$F$2004,'Estimates'!$A$5:$A$2004,$A152,'Estimates'!$B$5:$B$2004,"PPS",'Estimates'!$D$5:$D$2004,'Status'!$G$6,'Estimates'!$H$5:$H$2004,1,'Estimates'!$E$5:$E$2004,'Status'!$E$7)))))</x:f>
      </x:c>
      <x:c r="M152" s="13" t="str">
        <x:f>IF(AND(ISNUMBER(J152),ISNUMBER(K152)),K152-J152,"")</x:f>
      </x:c>
      <x:c r="N152" s="13" t="str">
        <x:f>IF(AND(ISNUMBER(K152),ISNUMBER(L152)),L152-K152,"")</x:f>
      </x:c>
      <x:c r="O152" s="13" t="str">
        <x:f>IF(AND(COUNT(J152:L152)=3,COUNT('Status'!$E$6:$G$6)=3,'Status'!$E$6&gt;'Status'!$F$6,'Status'!$F$6&gt;'Status'!$G$6,'Status'!$G$6&gt;0),ABS(L152-(K152+(K152-J152)*('Status'!$G$6-'Status'!$F$6)/('Status'!$F$6-'Status'!$E$6))),"")</x:f>
      </x:c>
      <x:c r="P152" s="13" t="str">
        <x:f>IF(AND(COUNT(J152:L152)=3,COUNT('Status'!$E$6:$G$6)=3,'Status'!$E$6&gt;'Status'!$F$6,'Status'!$F$6&gt;'Status'!$G$6,'Status'!$G$6&gt;0),('Status'!$F$6*L152-'Status'!$G$6*K152)/('Status'!$F$6-'Status'!$G$6),"")</x:f>
      </x:c>
      <x:c r="Q152" s="20"/>
      <x:c r="R152" s="13" t="str">
        <x:f>IF(COUNTA($A152)=0,"",IF('Status'!$B$6="MPS 1",IF(ISNUMBER(C152),C152,""),IF('Status'!$B$6="MPS 2",IF(ISNUMBER(D152),D152,""),IF('Status'!$B$6="MPS 3",IF(ISNUMBER(E152),E152,""),IF('Status'!$B$6="MPS extrap",IF(ISNUMBER(I152),I152,""),IF('Status'!$B$6="PPS 1",IF(ISNUMBER(J152),J152,""),IF('Status'!$B$6="PPS 2",IF(ISNUMBER(K152),K152,""),IF('Status'!$B$6="PPS 3",IF(ISNUMBER(L152),L152,""),IF('Status'!$B$6="PPS extrap",IF(ISNUMBER(P152),P152,""),IF('Status'!$B$6="Calibrated",IF(ISNUMBER(Q152),Q152,""),""))))))))))</x:f>
      </x:c>
      <x:c r="S152" s="2" t="str">
        <x:f>IF(COUNTA(A152)=0,"",IF(COUNTIFS('Estimates'!$A$5:$A$2004,A152,'Estimates'!$B$5:$B$2004,"MPS",'Estimates'!$H$5:$H$2004,1)+COUNTIFS('Estimates'!$A$5:$A$2004,A152,'Estimates'!$B$5:$B$2004,"PPS",'Estimates'!$H$5:$H$2004,1)&gt;0,1,0))</x:f>
      </x:c>
      <x:c r="T152" s="2" t="str">
        <x:f>IF(COUNTA(A152)=0,"",IF(COUNTIFS($A$6:$A$165,A152)&gt;1,"Duplicate target",IF(COUNTIFS(C152:E152,"DUP")+COUNTIFS(J152:L152,"DUP")&gt;0,"Duplicate accepted run",IF(COUNTIFS('Estimates'!$A$5:$A$2004,A152,'Estimates'!$H$5:$H$2004,1)-COUNTIFS('Estimates'!$A$5:$A$2004,A152,'Estimates'!$H$5:$H$2004,1,'Estimates'!$F$5:$F$2004,"&lt;&gt;")&gt;0,"Accepted value missing",""))))</x:f>
      </x:c>
    </x:row>
    <x:row r="153">
      <x:c r="A153" s="21"/>
      <x:c r="B153" s="19"/>
      <x:c r="C153" s="13" t="str">
        <x:f>IF(OR(COUNTA($A153)=0,NOT(ISNUMBER('Status'!$E$5))),"",IF(COUNTIFS('Estimates'!$A$5:$A$2004,$A153,'Estimates'!$B$5:$B$2004,"MPS",'Estimates'!$C$5:$C$2004,'Status'!$E$5,'Estimates'!$H$5:$H$2004,1)=0,"",IF(COUNTIFS('Estimates'!$A$5:$A$2004,$A153,'Estimates'!$B$5:$B$2004,"MPS",'Estimates'!$C$5:$C$2004,'Status'!$E$5,'Estimates'!$H$5:$H$2004,1)&gt;1,"DUP",IF(COUNTIFS('Estimates'!$A$5:$A$2004,$A153,'Estimates'!$B$5:$B$2004,"MPS",'Estimates'!$C$5:$C$2004,'Status'!$E$5,'Estimates'!$H$5:$H$2004,1,'Estimates'!$F$5:$F$2004,"&lt;&gt;")=0,"",SUMIFS('Estimates'!$F$5:$F$2004,'Estimates'!$A$5:$A$2004,$A153,'Estimates'!$B$5:$B$2004,"MPS",'Estimates'!$C$5:$C$2004,'Status'!$E$5,'Estimates'!$H$5:$H$2004,1)))))</x:f>
      </x:c>
      <x:c r="D153" s="13" t="str">
        <x:f>IF(OR(COUNTA($A153)=0,NOT(ISNUMBER('Status'!$F$5))),"",IF(COUNTIFS('Estimates'!$A$5:$A$2004,$A153,'Estimates'!$B$5:$B$2004,"MPS",'Estimates'!$C$5:$C$2004,'Status'!$F$5,'Estimates'!$H$5:$H$2004,1)=0,"",IF(COUNTIFS('Estimates'!$A$5:$A$2004,$A153,'Estimates'!$B$5:$B$2004,"MPS",'Estimates'!$C$5:$C$2004,'Status'!$F$5,'Estimates'!$H$5:$H$2004,1)&gt;1,"DUP",IF(COUNTIFS('Estimates'!$A$5:$A$2004,$A153,'Estimates'!$B$5:$B$2004,"MPS",'Estimates'!$C$5:$C$2004,'Status'!$F$5,'Estimates'!$H$5:$H$2004,1,'Estimates'!$F$5:$F$2004,"&lt;&gt;")=0,"",SUMIFS('Estimates'!$F$5:$F$2004,'Estimates'!$A$5:$A$2004,$A153,'Estimates'!$B$5:$B$2004,"MPS",'Estimates'!$C$5:$C$2004,'Status'!$F$5,'Estimates'!$H$5:$H$2004,1)))))</x:f>
      </x:c>
      <x:c r="E153" s="13" t="str">
        <x:f>IF(OR(COUNTA($A153)=0,NOT(ISNUMBER('Status'!$G$5))),"",IF(COUNTIFS('Estimates'!$A$5:$A$2004,$A153,'Estimates'!$B$5:$B$2004,"MPS",'Estimates'!$C$5:$C$2004,'Status'!$G$5,'Estimates'!$H$5:$H$2004,1)=0,"",IF(COUNTIFS('Estimates'!$A$5:$A$2004,$A153,'Estimates'!$B$5:$B$2004,"MPS",'Estimates'!$C$5:$C$2004,'Status'!$G$5,'Estimates'!$H$5:$H$2004,1)&gt;1,"DUP",IF(COUNTIFS('Estimates'!$A$5:$A$2004,$A153,'Estimates'!$B$5:$B$2004,"MPS",'Estimates'!$C$5:$C$2004,'Status'!$G$5,'Estimates'!$H$5:$H$2004,1,'Estimates'!$F$5:$F$2004,"&lt;&gt;")=0,"",SUMIFS('Estimates'!$F$5:$F$2004,'Estimates'!$A$5:$A$2004,$A153,'Estimates'!$B$5:$B$2004,"MPS",'Estimates'!$C$5:$C$2004,'Status'!$G$5,'Estimates'!$H$5:$H$2004,1)))))</x:f>
      </x:c>
      <x:c r="F153" s="13" t="str">
        <x:f>IF(AND(ISNUMBER(C153),ISNUMBER(D153)),D153-C153,"")</x:f>
      </x:c>
      <x:c r="G153" s="13" t="str">
        <x:f>IF(AND(ISNUMBER(D153),ISNUMBER(E153)),E153-D153,"")</x:f>
      </x:c>
      <x:c r="H153" s="13" t="str">
        <x:f>IF(AND(COUNT(C153:E153)=3,COUNT('Status'!$E$5:$G$5)=3,'Status'!$E$5&gt;0,'Status'!$E$5&lt;'Status'!$F$5,'Status'!$F$5&lt;'Status'!$G$5),ABS(E153-(D153+(D153-C153)*((1/'Status'!$G$5)-(1/'Status'!$F$5))/((1/'Status'!$F$5)-(1/'Status'!$E$5)))),"")</x:f>
      </x:c>
      <x:c r="I153" s="13" t="str">
        <x:f>IF(AND(COUNT(C153:E153)=3,COUNT('Status'!$E$5:$G$5)=3,'Status'!$E$5&gt;0,'Status'!$E$5&lt;'Status'!$F$5,'Status'!$F$5&lt;'Status'!$G$5),((1/'Status'!$F$5)*E153-(1/'Status'!$G$5)*D153)/((1/'Status'!$F$5)-(1/'Status'!$G$5)),"")</x:f>
      </x:c>
      <x:c r="J153" s="13" t="str">
        <x:f>IF(OR(COUNTA($A153)=0,NOT(ISNUMBER('Status'!$E$6))),"",IF(COUNTIFS('Estimates'!$A$5:$A$2004,$A153,'Estimates'!$B$5:$B$2004,"PPS",'Estimates'!$D$5:$D$2004,'Status'!$E$6,'Estimates'!$H$5:$H$2004,1,'Estimates'!$E$5:$E$2004,'Status'!$E$7)=0,"",IF(COUNTIFS('Estimates'!$A$5:$A$2004,$A153,'Estimates'!$B$5:$B$2004,"PPS",'Estimates'!$D$5:$D$2004,'Status'!$E$6,'Estimates'!$H$5:$H$2004,1,'Estimates'!$E$5:$E$2004,'Status'!$E$7)&gt;1,"DUP",IF(COUNTIFS('Estimates'!$A$5:$A$2004,$A153,'Estimates'!$B$5:$B$2004,"PPS",'Estimates'!$D$5:$D$2004,'Status'!$E$6,'Estimates'!$H$5:$H$2004,1,'Estimates'!$E$5:$E$2004,'Status'!$E$7,'Estimates'!$F$5:$F$2004,"&lt;&gt;")=0,"",SUMIFS('Estimates'!$F$5:$F$2004,'Estimates'!$A$5:$A$2004,$A153,'Estimates'!$B$5:$B$2004,"PPS",'Estimates'!$D$5:$D$2004,'Status'!$E$6,'Estimates'!$H$5:$H$2004,1,'Estimates'!$E$5:$E$2004,'Status'!$E$7)))))</x:f>
      </x:c>
      <x:c r="K153" s="13" t="str">
        <x:f>IF(OR(COUNTA($A153)=0,NOT(ISNUMBER('Status'!$F$6))),"",IF(COUNTIFS('Estimates'!$A$5:$A$2004,$A153,'Estimates'!$B$5:$B$2004,"PPS",'Estimates'!$D$5:$D$2004,'Status'!$F$6,'Estimates'!$H$5:$H$2004,1,'Estimates'!$E$5:$E$2004,'Status'!$E$7)=0,"",IF(COUNTIFS('Estimates'!$A$5:$A$2004,$A153,'Estimates'!$B$5:$B$2004,"PPS",'Estimates'!$D$5:$D$2004,'Status'!$F$6,'Estimates'!$H$5:$H$2004,1,'Estimates'!$E$5:$E$2004,'Status'!$E$7)&gt;1,"DUP",IF(COUNTIFS('Estimates'!$A$5:$A$2004,$A153,'Estimates'!$B$5:$B$2004,"PPS",'Estimates'!$D$5:$D$2004,'Status'!$F$6,'Estimates'!$H$5:$H$2004,1,'Estimates'!$E$5:$E$2004,'Status'!$E$7,'Estimates'!$F$5:$F$2004,"&lt;&gt;")=0,"",SUMIFS('Estimates'!$F$5:$F$2004,'Estimates'!$A$5:$A$2004,$A153,'Estimates'!$B$5:$B$2004,"PPS",'Estimates'!$D$5:$D$2004,'Status'!$F$6,'Estimates'!$H$5:$H$2004,1,'Estimates'!$E$5:$E$2004,'Status'!$E$7)))))</x:f>
      </x:c>
      <x:c r="L153" s="13" t="str">
        <x:f>IF(OR(COUNTA($A153)=0,NOT(ISNUMBER('Status'!$G$6))),"",IF(COUNTIFS('Estimates'!$A$5:$A$2004,$A153,'Estimates'!$B$5:$B$2004,"PPS",'Estimates'!$D$5:$D$2004,'Status'!$G$6,'Estimates'!$H$5:$H$2004,1,'Estimates'!$E$5:$E$2004,'Status'!$E$7)=0,"",IF(COUNTIFS('Estimates'!$A$5:$A$2004,$A153,'Estimates'!$B$5:$B$2004,"PPS",'Estimates'!$D$5:$D$2004,'Status'!$G$6,'Estimates'!$H$5:$H$2004,1,'Estimates'!$E$5:$E$2004,'Status'!$E$7)&gt;1,"DUP",IF(COUNTIFS('Estimates'!$A$5:$A$2004,$A153,'Estimates'!$B$5:$B$2004,"PPS",'Estimates'!$D$5:$D$2004,'Status'!$G$6,'Estimates'!$H$5:$H$2004,1,'Estimates'!$E$5:$E$2004,'Status'!$E$7,'Estimates'!$F$5:$F$2004,"&lt;&gt;")=0,"",SUMIFS('Estimates'!$F$5:$F$2004,'Estimates'!$A$5:$A$2004,$A153,'Estimates'!$B$5:$B$2004,"PPS",'Estimates'!$D$5:$D$2004,'Status'!$G$6,'Estimates'!$H$5:$H$2004,1,'Estimates'!$E$5:$E$2004,'Status'!$E$7)))))</x:f>
      </x:c>
      <x:c r="M153" s="13" t="str">
        <x:f>IF(AND(ISNUMBER(J153),ISNUMBER(K153)),K153-J153,"")</x:f>
      </x:c>
      <x:c r="N153" s="13" t="str">
        <x:f>IF(AND(ISNUMBER(K153),ISNUMBER(L153)),L153-K153,"")</x:f>
      </x:c>
      <x:c r="O153" s="13" t="str">
        <x:f>IF(AND(COUNT(J153:L153)=3,COUNT('Status'!$E$6:$G$6)=3,'Status'!$E$6&gt;'Status'!$F$6,'Status'!$F$6&gt;'Status'!$G$6,'Status'!$G$6&gt;0),ABS(L153-(K153+(K153-J153)*('Status'!$G$6-'Status'!$F$6)/('Status'!$F$6-'Status'!$E$6))),"")</x:f>
      </x:c>
      <x:c r="P153" s="13" t="str">
        <x:f>IF(AND(COUNT(J153:L153)=3,COUNT('Status'!$E$6:$G$6)=3,'Status'!$E$6&gt;'Status'!$F$6,'Status'!$F$6&gt;'Status'!$G$6,'Status'!$G$6&gt;0),('Status'!$F$6*L153-'Status'!$G$6*K153)/('Status'!$F$6-'Status'!$G$6),"")</x:f>
      </x:c>
      <x:c r="Q153" s="20"/>
      <x:c r="R153" s="13" t="str">
        <x:f>IF(COUNTA($A153)=0,"",IF('Status'!$B$6="MPS 1",IF(ISNUMBER(C153),C153,""),IF('Status'!$B$6="MPS 2",IF(ISNUMBER(D153),D153,""),IF('Status'!$B$6="MPS 3",IF(ISNUMBER(E153),E153,""),IF('Status'!$B$6="MPS extrap",IF(ISNUMBER(I153),I153,""),IF('Status'!$B$6="PPS 1",IF(ISNUMBER(J153),J153,""),IF('Status'!$B$6="PPS 2",IF(ISNUMBER(K153),K153,""),IF('Status'!$B$6="PPS 3",IF(ISNUMBER(L153),L153,""),IF('Status'!$B$6="PPS extrap",IF(ISNUMBER(P153),P153,""),IF('Status'!$B$6="Calibrated",IF(ISNUMBER(Q153),Q153,""),""))))))))))</x:f>
      </x:c>
      <x:c r="S153" s="2" t="str">
        <x:f>IF(COUNTA(A153)=0,"",IF(COUNTIFS('Estimates'!$A$5:$A$2004,A153,'Estimates'!$B$5:$B$2004,"MPS",'Estimates'!$H$5:$H$2004,1)+COUNTIFS('Estimates'!$A$5:$A$2004,A153,'Estimates'!$B$5:$B$2004,"PPS",'Estimates'!$H$5:$H$2004,1)&gt;0,1,0))</x:f>
      </x:c>
      <x:c r="T153" s="2" t="str">
        <x:f>IF(COUNTA(A153)=0,"",IF(COUNTIFS($A$6:$A$165,A153)&gt;1,"Duplicate target",IF(COUNTIFS(C153:E153,"DUP")+COUNTIFS(J153:L153,"DUP")&gt;0,"Duplicate accepted run",IF(COUNTIFS('Estimates'!$A$5:$A$2004,A153,'Estimates'!$H$5:$H$2004,1)-COUNTIFS('Estimates'!$A$5:$A$2004,A153,'Estimates'!$H$5:$H$2004,1,'Estimates'!$F$5:$F$2004,"&lt;&gt;")&gt;0,"Accepted value missing",""))))</x:f>
      </x:c>
    </x:row>
    <x:row r="154">
      <x:c r="A154" s="21"/>
      <x:c r="B154" s="19"/>
      <x:c r="C154" s="13" t="str">
        <x:f>IF(OR(COUNTA($A154)=0,NOT(ISNUMBER('Status'!$E$5))),"",IF(COUNTIFS('Estimates'!$A$5:$A$2004,$A154,'Estimates'!$B$5:$B$2004,"MPS",'Estimates'!$C$5:$C$2004,'Status'!$E$5,'Estimates'!$H$5:$H$2004,1)=0,"",IF(COUNTIFS('Estimates'!$A$5:$A$2004,$A154,'Estimates'!$B$5:$B$2004,"MPS",'Estimates'!$C$5:$C$2004,'Status'!$E$5,'Estimates'!$H$5:$H$2004,1)&gt;1,"DUP",IF(COUNTIFS('Estimates'!$A$5:$A$2004,$A154,'Estimates'!$B$5:$B$2004,"MPS",'Estimates'!$C$5:$C$2004,'Status'!$E$5,'Estimates'!$H$5:$H$2004,1,'Estimates'!$F$5:$F$2004,"&lt;&gt;")=0,"",SUMIFS('Estimates'!$F$5:$F$2004,'Estimates'!$A$5:$A$2004,$A154,'Estimates'!$B$5:$B$2004,"MPS",'Estimates'!$C$5:$C$2004,'Status'!$E$5,'Estimates'!$H$5:$H$2004,1)))))</x:f>
      </x:c>
      <x:c r="D154" s="13" t="str">
        <x:f>IF(OR(COUNTA($A154)=0,NOT(ISNUMBER('Status'!$F$5))),"",IF(COUNTIFS('Estimates'!$A$5:$A$2004,$A154,'Estimates'!$B$5:$B$2004,"MPS",'Estimates'!$C$5:$C$2004,'Status'!$F$5,'Estimates'!$H$5:$H$2004,1)=0,"",IF(COUNTIFS('Estimates'!$A$5:$A$2004,$A154,'Estimates'!$B$5:$B$2004,"MPS",'Estimates'!$C$5:$C$2004,'Status'!$F$5,'Estimates'!$H$5:$H$2004,1)&gt;1,"DUP",IF(COUNTIFS('Estimates'!$A$5:$A$2004,$A154,'Estimates'!$B$5:$B$2004,"MPS",'Estimates'!$C$5:$C$2004,'Status'!$F$5,'Estimates'!$H$5:$H$2004,1,'Estimates'!$F$5:$F$2004,"&lt;&gt;")=0,"",SUMIFS('Estimates'!$F$5:$F$2004,'Estimates'!$A$5:$A$2004,$A154,'Estimates'!$B$5:$B$2004,"MPS",'Estimates'!$C$5:$C$2004,'Status'!$F$5,'Estimates'!$H$5:$H$2004,1)))))</x:f>
      </x:c>
      <x:c r="E154" s="13" t="str">
        <x:f>IF(OR(COUNTA($A154)=0,NOT(ISNUMBER('Status'!$G$5))),"",IF(COUNTIFS('Estimates'!$A$5:$A$2004,$A154,'Estimates'!$B$5:$B$2004,"MPS",'Estimates'!$C$5:$C$2004,'Status'!$G$5,'Estimates'!$H$5:$H$2004,1)=0,"",IF(COUNTIFS('Estimates'!$A$5:$A$2004,$A154,'Estimates'!$B$5:$B$2004,"MPS",'Estimates'!$C$5:$C$2004,'Status'!$G$5,'Estimates'!$H$5:$H$2004,1)&gt;1,"DUP",IF(COUNTIFS('Estimates'!$A$5:$A$2004,$A154,'Estimates'!$B$5:$B$2004,"MPS",'Estimates'!$C$5:$C$2004,'Status'!$G$5,'Estimates'!$H$5:$H$2004,1,'Estimates'!$F$5:$F$2004,"&lt;&gt;")=0,"",SUMIFS('Estimates'!$F$5:$F$2004,'Estimates'!$A$5:$A$2004,$A154,'Estimates'!$B$5:$B$2004,"MPS",'Estimates'!$C$5:$C$2004,'Status'!$G$5,'Estimates'!$H$5:$H$2004,1)))))</x:f>
      </x:c>
      <x:c r="F154" s="13" t="str">
        <x:f>IF(AND(ISNUMBER(C154),ISNUMBER(D154)),D154-C154,"")</x:f>
      </x:c>
      <x:c r="G154" s="13" t="str">
        <x:f>IF(AND(ISNUMBER(D154),ISNUMBER(E154)),E154-D154,"")</x:f>
      </x:c>
      <x:c r="H154" s="13" t="str">
        <x:f>IF(AND(COUNT(C154:E154)=3,COUNT('Status'!$E$5:$G$5)=3,'Status'!$E$5&gt;0,'Status'!$E$5&lt;'Status'!$F$5,'Status'!$F$5&lt;'Status'!$G$5),ABS(E154-(D154+(D154-C154)*((1/'Status'!$G$5)-(1/'Status'!$F$5))/((1/'Status'!$F$5)-(1/'Status'!$E$5)))),"")</x:f>
      </x:c>
      <x:c r="I154" s="13" t="str">
        <x:f>IF(AND(COUNT(C154:E154)=3,COUNT('Status'!$E$5:$G$5)=3,'Status'!$E$5&gt;0,'Status'!$E$5&lt;'Status'!$F$5,'Status'!$F$5&lt;'Status'!$G$5),((1/'Status'!$F$5)*E154-(1/'Status'!$G$5)*D154)/((1/'Status'!$F$5)-(1/'Status'!$G$5)),"")</x:f>
      </x:c>
      <x:c r="J154" s="13" t="str">
        <x:f>IF(OR(COUNTA($A154)=0,NOT(ISNUMBER('Status'!$E$6))),"",IF(COUNTIFS('Estimates'!$A$5:$A$2004,$A154,'Estimates'!$B$5:$B$2004,"PPS",'Estimates'!$D$5:$D$2004,'Status'!$E$6,'Estimates'!$H$5:$H$2004,1,'Estimates'!$E$5:$E$2004,'Status'!$E$7)=0,"",IF(COUNTIFS('Estimates'!$A$5:$A$2004,$A154,'Estimates'!$B$5:$B$2004,"PPS",'Estimates'!$D$5:$D$2004,'Status'!$E$6,'Estimates'!$H$5:$H$2004,1,'Estimates'!$E$5:$E$2004,'Status'!$E$7)&gt;1,"DUP",IF(COUNTIFS('Estimates'!$A$5:$A$2004,$A154,'Estimates'!$B$5:$B$2004,"PPS",'Estimates'!$D$5:$D$2004,'Status'!$E$6,'Estimates'!$H$5:$H$2004,1,'Estimates'!$E$5:$E$2004,'Status'!$E$7,'Estimates'!$F$5:$F$2004,"&lt;&gt;")=0,"",SUMIFS('Estimates'!$F$5:$F$2004,'Estimates'!$A$5:$A$2004,$A154,'Estimates'!$B$5:$B$2004,"PPS",'Estimates'!$D$5:$D$2004,'Status'!$E$6,'Estimates'!$H$5:$H$2004,1,'Estimates'!$E$5:$E$2004,'Status'!$E$7)))))</x:f>
      </x:c>
      <x:c r="K154" s="13" t="str">
        <x:f>IF(OR(COUNTA($A154)=0,NOT(ISNUMBER('Status'!$F$6))),"",IF(COUNTIFS('Estimates'!$A$5:$A$2004,$A154,'Estimates'!$B$5:$B$2004,"PPS",'Estimates'!$D$5:$D$2004,'Status'!$F$6,'Estimates'!$H$5:$H$2004,1,'Estimates'!$E$5:$E$2004,'Status'!$E$7)=0,"",IF(COUNTIFS('Estimates'!$A$5:$A$2004,$A154,'Estimates'!$B$5:$B$2004,"PPS",'Estimates'!$D$5:$D$2004,'Status'!$F$6,'Estimates'!$H$5:$H$2004,1,'Estimates'!$E$5:$E$2004,'Status'!$E$7)&gt;1,"DUP",IF(COUNTIFS('Estimates'!$A$5:$A$2004,$A154,'Estimates'!$B$5:$B$2004,"PPS",'Estimates'!$D$5:$D$2004,'Status'!$F$6,'Estimates'!$H$5:$H$2004,1,'Estimates'!$E$5:$E$2004,'Status'!$E$7,'Estimates'!$F$5:$F$2004,"&lt;&gt;")=0,"",SUMIFS('Estimates'!$F$5:$F$2004,'Estimates'!$A$5:$A$2004,$A154,'Estimates'!$B$5:$B$2004,"PPS",'Estimates'!$D$5:$D$2004,'Status'!$F$6,'Estimates'!$H$5:$H$2004,1,'Estimates'!$E$5:$E$2004,'Status'!$E$7)))))</x:f>
      </x:c>
      <x:c r="L154" s="13" t="str">
        <x:f>IF(OR(COUNTA($A154)=0,NOT(ISNUMBER('Status'!$G$6))),"",IF(COUNTIFS('Estimates'!$A$5:$A$2004,$A154,'Estimates'!$B$5:$B$2004,"PPS",'Estimates'!$D$5:$D$2004,'Status'!$G$6,'Estimates'!$H$5:$H$2004,1,'Estimates'!$E$5:$E$2004,'Status'!$E$7)=0,"",IF(COUNTIFS('Estimates'!$A$5:$A$2004,$A154,'Estimates'!$B$5:$B$2004,"PPS",'Estimates'!$D$5:$D$2004,'Status'!$G$6,'Estimates'!$H$5:$H$2004,1,'Estimates'!$E$5:$E$2004,'Status'!$E$7)&gt;1,"DUP",IF(COUNTIFS('Estimates'!$A$5:$A$2004,$A154,'Estimates'!$B$5:$B$2004,"PPS",'Estimates'!$D$5:$D$2004,'Status'!$G$6,'Estimates'!$H$5:$H$2004,1,'Estimates'!$E$5:$E$2004,'Status'!$E$7,'Estimates'!$F$5:$F$2004,"&lt;&gt;")=0,"",SUMIFS('Estimates'!$F$5:$F$2004,'Estimates'!$A$5:$A$2004,$A154,'Estimates'!$B$5:$B$2004,"PPS",'Estimates'!$D$5:$D$2004,'Status'!$G$6,'Estimates'!$H$5:$H$2004,1,'Estimates'!$E$5:$E$2004,'Status'!$E$7)))))</x:f>
      </x:c>
      <x:c r="M154" s="13" t="str">
        <x:f>IF(AND(ISNUMBER(J154),ISNUMBER(K154)),K154-J154,"")</x:f>
      </x:c>
      <x:c r="N154" s="13" t="str">
        <x:f>IF(AND(ISNUMBER(K154),ISNUMBER(L154)),L154-K154,"")</x:f>
      </x:c>
      <x:c r="O154" s="13" t="str">
        <x:f>IF(AND(COUNT(J154:L154)=3,COUNT('Status'!$E$6:$G$6)=3,'Status'!$E$6&gt;'Status'!$F$6,'Status'!$F$6&gt;'Status'!$G$6,'Status'!$G$6&gt;0),ABS(L154-(K154+(K154-J154)*('Status'!$G$6-'Status'!$F$6)/('Status'!$F$6-'Status'!$E$6))),"")</x:f>
      </x:c>
      <x:c r="P154" s="13" t="str">
        <x:f>IF(AND(COUNT(J154:L154)=3,COUNT('Status'!$E$6:$G$6)=3,'Status'!$E$6&gt;'Status'!$F$6,'Status'!$F$6&gt;'Status'!$G$6,'Status'!$G$6&gt;0),('Status'!$F$6*L154-'Status'!$G$6*K154)/('Status'!$F$6-'Status'!$G$6),"")</x:f>
      </x:c>
      <x:c r="Q154" s="20"/>
      <x:c r="R154" s="13" t="str">
        <x:f>IF(COUNTA($A154)=0,"",IF('Status'!$B$6="MPS 1",IF(ISNUMBER(C154),C154,""),IF('Status'!$B$6="MPS 2",IF(ISNUMBER(D154),D154,""),IF('Status'!$B$6="MPS 3",IF(ISNUMBER(E154),E154,""),IF('Status'!$B$6="MPS extrap",IF(ISNUMBER(I154),I154,""),IF('Status'!$B$6="PPS 1",IF(ISNUMBER(J154),J154,""),IF('Status'!$B$6="PPS 2",IF(ISNUMBER(K154),K154,""),IF('Status'!$B$6="PPS 3",IF(ISNUMBER(L154),L154,""),IF('Status'!$B$6="PPS extrap",IF(ISNUMBER(P154),P154,""),IF('Status'!$B$6="Calibrated",IF(ISNUMBER(Q154),Q154,""),""))))))))))</x:f>
      </x:c>
      <x:c r="S154" s="2" t="str">
        <x:f>IF(COUNTA(A154)=0,"",IF(COUNTIFS('Estimates'!$A$5:$A$2004,A154,'Estimates'!$B$5:$B$2004,"MPS",'Estimates'!$H$5:$H$2004,1)+COUNTIFS('Estimates'!$A$5:$A$2004,A154,'Estimates'!$B$5:$B$2004,"PPS",'Estimates'!$H$5:$H$2004,1)&gt;0,1,0))</x:f>
      </x:c>
      <x:c r="T154" s="2" t="str">
        <x:f>IF(COUNTA(A154)=0,"",IF(COUNTIFS($A$6:$A$165,A154)&gt;1,"Duplicate target",IF(COUNTIFS(C154:E154,"DUP")+COUNTIFS(J154:L154,"DUP")&gt;0,"Duplicate accepted run",IF(COUNTIFS('Estimates'!$A$5:$A$2004,A154,'Estimates'!$H$5:$H$2004,1)-COUNTIFS('Estimates'!$A$5:$A$2004,A154,'Estimates'!$H$5:$H$2004,1,'Estimates'!$F$5:$F$2004,"&lt;&gt;")&gt;0,"Accepted value missing",""))))</x:f>
      </x:c>
    </x:row>
    <x:row r="155">
      <x:c r="A155" s="21"/>
      <x:c r="B155" s="19"/>
      <x:c r="C155" s="13" t="str">
        <x:f>IF(OR(COUNTA($A155)=0,NOT(ISNUMBER('Status'!$E$5))),"",IF(COUNTIFS('Estimates'!$A$5:$A$2004,$A155,'Estimates'!$B$5:$B$2004,"MPS",'Estimates'!$C$5:$C$2004,'Status'!$E$5,'Estimates'!$H$5:$H$2004,1)=0,"",IF(COUNTIFS('Estimates'!$A$5:$A$2004,$A155,'Estimates'!$B$5:$B$2004,"MPS",'Estimates'!$C$5:$C$2004,'Status'!$E$5,'Estimates'!$H$5:$H$2004,1)&gt;1,"DUP",IF(COUNTIFS('Estimates'!$A$5:$A$2004,$A155,'Estimates'!$B$5:$B$2004,"MPS",'Estimates'!$C$5:$C$2004,'Status'!$E$5,'Estimates'!$H$5:$H$2004,1,'Estimates'!$F$5:$F$2004,"&lt;&gt;")=0,"",SUMIFS('Estimates'!$F$5:$F$2004,'Estimates'!$A$5:$A$2004,$A155,'Estimates'!$B$5:$B$2004,"MPS",'Estimates'!$C$5:$C$2004,'Status'!$E$5,'Estimates'!$H$5:$H$2004,1)))))</x:f>
      </x:c>
      <x:c r="D155" s="13" t="str">
        <x:f>IF(OR(COUNTA($A155)=0,NOT(ISNUMBER('Status'!$F$5))),"",IF(COUNTIFS('Estimates'!$A$5:$A$2004,$A155,'Estimates'!$B$5:$B$2004,"MPS",'Estimates'!$C$5:$C$2004,'Status'!$F$5,'Estimates'!$H$5:$H$2004,1)=0,"",IF(COUNTIFS('Estimates'!$A$5:$A$2004,$A155,'Estimates'!$B$5:$B$2004,"MPS",'Estimates'!$C$5:$C$2004,'Status'!$F$5,'Estimates'!$H$5:$H$2004,1)&gt;1,"DUP",IF(COUNTIFS('Estimates'!$A$5:$A$2004,$A155,'Estimates'!$B$5:$B$2004,"MPS",'Estimates'!$C$5:$C$2004,'Status'!$F$5,'Estimates'!$H$5:$H$2004,1,'Estimates'!$F$5:$F$2004,"&lt;&gt;")=0,"",SUMIFS('Estimates'!$F$5:$F$2004,'Estimates'!$A$5:$A$2004,$A155,'Estimates'!$B$5:$B$2004,"MPS",'Estimates'!$C$5:$C$2004,'Status'!$F$5,'Estimates'!$H$5:$H$2004,1)))))</x:f>
      </x:c>
      <x:c r="E155" s="13" t="str">
        <x:f>IF(OR(COUNTA($A155)=0,NOT(ISNUMBER('Status'!$G$5))),"",IF(COUNTIFS('Estimates'!$A$5:$A$2004,$A155,'Estimates'!$B$5:$B$2004,"MPS",'Estimates'!$C$5:$C$2004,'Status'!$G$5,'Estimates'!$H$5:$H$2004,1)=0,"",IF(COUNTIFS('Estimates'!$A$5:$A$2004,$A155,'Estimates'!$B$5:$B$2004,"MPS",'Estimates'!$C$5:$C$2004,'Status'!$G$5,'Estimates'!$H$5:$H$2004,1)&gt;1,"DUP",IF(COUNTIFS('Estimates'!$A$5:$A$2004,$A155,'Estimates'!$B$5:$B$2004,"MPS",'Estimates'!$C$5:$C$2004,'Status'!$G$5,'Estimates'!$H$5:$H$2004,1,'Estimates'!$F$5:$F$2004,"&lt;&gt;")=0,"",SUMIFS('Estimates'!$F$5:$F$2004,'Estimates'!$A$5:$A$2004,$A155,'Estimates'!$B$5:$B$2004,"MPS",'Estimates'!$C$5:$C$2004,'Status'!$G$5,'Estimates'!$H$5:$H$2004,1)))))</x:f>
      </x:c>
      <x:c r="F155" s="13" t="str">
        <x:f>IF(AND(ISNUMBER(C155),ISNUMBER(D155)),D155-C155,"")</x:f>
      </x:c>
      <x:c r="G155" s="13" t="str">
        <x:f>IF(AND(ISNUMBER(D155),ISNUMBER(E155)),E155-D155,"")</x:f>
      </x:c>
      <x:c r="H155" s="13" t="str">
        <x:f>IF(AND(COUNT(C155:E155)=3,COUNT('Status'!$E$5:$G$5)=3,'Status'!$E$5&gt;0,'Status'!$E$5&lt;'Status'!$F$5,'Status'!$F$5&lt;'Status'!$G$5),ABS(E155-(D155+(D155-C155)*((1/'Status'!$G$5)-(1/'Status'!$F$5))/((1/'Status'!$F$5)-(1/'Status'!$E$5)))),"")</x:f>
      </x:c>
      <x:c r="I155" s="13" t="str">
        <x:f>IF(AND(COUNT(C155:E155)=3,COUNT('Status'!$E$5:$G$5)=3,'Status'!$E$5&gt;0,'Status'!$E$5&lt;'Status'!$F$5,'Status'!$F$5&lt;'Status'!$G$5),((1/'Status'!$F$5)*E155-(1/'Status'!$G$5)*D155)/((1/'Status'!$F$5)-(1/'Status'!$G$5)),"")</x:f>
      </x:c>
      <x:c r="J155" s="13" t="str">
        <x:f>IF(OR(COUNTA($A155)=0,NOT(ISNUMBER('Status'!$E$6))),"",IF(COUNTIFS('Estimates'!$A$5:$A$2004,$A155,'Estimates'!$B$5:$B$2004,"PPS",'Estimates'!$D$5:$D$2004,'Status'!$E$6,'Estimates'!$H$5:$H$2004,1,'Estimates'!$E$5:$E$2004,'Status'!$E$7)=0,"",IF(COUNTIFS('Estimates'!$A$5:$A$2004,$A155,'Estimates'!$B$5:$B$2004,"PPS",'Estimates'!$D$5:$D$2004,'Status'!$E$6,'Estimates'!$H$5:$H$2004,1,'Estimates'!$E$5:$E$2004,'Status'!$E$7)&gt;1,"DUP",IF(COUNTIFS('Estimates'!$A$5:$A$2004,$A155,'Estimates'!$B$5:$B$2004,"PPS",'Estimates'!$D$5:$D$2004,'Status'!$E$6,'Estimates'!$H$5:$H$2004,1,'Estimates'!$E$5:$E$2004,'Status'!$E$7,'Estimates'!$F$5:$F$2004,"&lt;&gt;")=0,"",SUMIFS('Estimates'!$F$5:$F$2004,'Estimates'!$A$5:$A$2004,$A155,'Estimates'!$B$5:$B$2004,"PPS",'Estimates'!$D$5:$D$2004,'Status'!$E$6,'Estimates'!$H$5:$H$2004,1,'Estimates'!$E$5:$E$2004,'Status'!$E$7)))))</x:f>
      </x:c>
      <x:c r="K155" s="13" t="str">
        <x:f>IF(OR(COUNTA($A155)=0,NOT(ISNUMBER('Status'!$F$6))),"",IF(COUNTIFS('Estimates'!$A$5:$A$2004,$A155,'Estimates'!$B$5:$B$2004,"PPS",'Estimates'!$D$5:$D$2004,'Status'!$F$6,'Estimates'!$H$5:$H$2004,1,'Estimates'!$E$5:$E$2004,'Status'!$E$7)=0,"",IF(COUNTIFS('Estimates'!$A$5:$A$2004,$A155,'Estimates'!$B$5:$B$2004,"PPS",'Estimates'!$D$5:$D$2004,'Status'!$F$6,'Estimates'!$H$5:$H$2004,1,'Estimates'!$E$5:$E$2004,'Status'!$E$7)&gt;1,"DUP",IF(COUNTIFS('Estimates'!$A$5:$A$2004,$A155,'Estimates'!$B$5:$B$2004,"PPS",'Estimates'!$D$5:$D$2004,'Status'!$F$6,'Estimates'!$H$5:$H$2004,1,'Estimates'!$E$5:$E$2004,'Status'!$E$7,'Estimates'!$F$5:$F$2004,"&lt;&gt;")=0,"",SUMIFS('Estimates'!$F$5:$F$2004,'Estimates'!$A$5:$A$2004,$A155,'Estimates'!$B$5:$B$2004,"PPS",'Estimates'!$D$5:$D$2004,'Status'!$F$6,'Estimates'!$H$5:$H$2004,1,'Estimates'!$E$5:$E$2004,'Status'!$E$7)))))</x:f>
      </x:c>
      <x:c r="L155" s="13" t="str">
        <x:f>IF(OR(COUNTA($A155)=0,NOT(ISNUMBER('Status'!$G$6))),"",IF(COUNTIFS('Estimates'!$A$5:$A$2004,$A155,'Estimates'!$B$5:$B$2004,"PPS",'Estimates'!$D$5:$D$2004,'Status'!$G$6,'Estimates'!$H$5:$H$2004,1,'Estimates'!$E$5:$E$2004,'Status'!$E$7)=0,"",IF(COUNTIFS('Estimates'!$A$5:$A$2004,$A155,'Estimates'!$B$5:$B$2004,"PPS",'Estimates'!$D$5:$D$2004,'Status'!$G$6,'Estimates'!$H$5:$H$2004,1,'Estimates'!$E$5:$E$2004,'Status'!$E$7)&gt;1,"DUP",IF(COUNTIFS('Estimates'!$A$5:$A$2004,$A155,'Estimates'!$B$5:$B$2004,"PPS",'Estimates'!$D$5:$D$2004,'Status'!$G$6,'Estimates'!$H$5:$H$2004,1,'Estimates'!$E$5:$E$2004,'Status'!$E$7,'Estimates'!$F$5:$F$2004,"&lt;&gt;")=0,"",SUMIFS('Estimates'!$F$5:$F$2004,'Estimates'!$A$5:$A$2004,$A155,'Estimates'!$B$5:$B$2004,"PPS",'Estimates'!$D$5:$D$2004,'Status'!$G$6,'Estimates'!$H$5:$H$2004,1,'Estimates'!$E$5:$E$2004,'Status'!$E$7)))))</x:f>
      </x:c>
      <x:c r="M155" s="13" t="str">
        <x:f>IF(AND(ISNUMBER(J155),ISNUMBER(K155)),K155-J155,"")</x:f>
      </x:c>
      <x:c r="N155" s="13" t="str">
        <x:f>IF(AND(ISNUMBER(K155),ISNUMBER(L155)),L155-K155,"")</x:f>
      </x:c>
      <x:c r="O155" s="13" t="str">
        <x:f>IF(AND(COUNT(J155:L155)=3,COUNT('Status'!$E$6:$G$6)=3,'Status'!$E$6&gt;'Status'!$F$6,'Status'!$F$6&gt;'Status'!$G$6,'Status'!$G$6&gt;0),ABS(L155-(K155+(K155-J155)*('Status'!$G$6-'Status'!$F$6)/('Status'!$F$6-'Status'!$E$6))),"")</x:f>
      </x:c>
      <x:c r="P155" s="13" t="str">
        <x:f>IF(AND(COUNT(J155:L155)=3,COUNT('Status'!$E$6:$G$6)=3,'Status'!$E$6&gt;'Status'!$F$6,'Status'!$F$6&gt;'Status'!$G$6,'Status'!$G$6&gt;0),('Status'!$F$6*L155-'Status'!$G$6*K155)/('Status'!$F$6-'Status'!$G$6),"")</x:f>
      </x:c>
      <x:c r="Q155" s="20"/>
      <x:c r="R155" s="13" t="str">
        <x:f>IF(COUNTA($A155)=0,"",IF('Status'!$B$6="MPS 1",IF(ISNUMBER(C155),C155,""),IF('Status'!$B$6="MPS 2",IF(ISNUMBER(D155),D155,""),IF('Status'!$B$6="MPS 3",IF(ISNUMBER(E155),E155,""),IF('Status'!$B$6="MPS extrap",IF(ISNUMBER(I155),I155,""),IF('Status'!$B$6="PPS 1",IF(ISNUMBER(J155),J155,""),IF('Status'!$B$6="PPS 2",IF(ISNUMBER(K155),K155,""),IF('Status'!$B$6="PPS 3",IF(ISNUMBER(L155),L155,""),IF('Status'!$B$6="PPS extrap",IF(ISNUMBER(P155),P155,""),IF('Status'!$B$6="Calibrated",IF(ISNUMBER(Q155),Q155,""),""))))))))))</x:f>
      </x:c>
      <x:c r="S155" s="2" t="str">
        <x:f>IF(COUNTA(A155)=0,"",IF(COUNTIFS('Estimates'!$A$5:$A$2004,A155,'Estimates'!$B$5:$B$2004,"MPS",'Estimates'!$H$5:$H$2004,1)+COUNTIFS('Estimates'!$A$5:$A$2004,A155,'Estimates'!$B$5:$B$2004,"PPS",'Estimates'!$H$5:$H$2004,1)&gt;0,1,0))</x:f>
      </x:c>
      <x:c r="T155" s="2" t="str">
        <x:f>IF(COUNTA(A155)=0,"",IF(COUNTIFS($A$6:$A$165,A155)&gt;1,"Duplicate target",IF(COUNTIFS(C155:E155,"DUP")+COUNTIFS(J155:L155,"DUP")&gt;0,"Duplicate accepted run",IF(COUNTIFS('Estimates'!$A$5:$A$2004,A155,'Estimates'!$H$5:$H$2004,1)-COUNTIFS('Estimates'!$A$5:$A$2004,A155,'Estimates'!$H$5:$H$2004,1,'Estimates'!$F$5:$F$2004,"&lt;&gt;")&gt;0,"Accepted value missing",""))))</x:f>
      </x:c>
    </x:row>
    <x:row r="156">
      <x:c r="A156" s="21"/>
      <x:c r="B156" s="19"/>
      <x:c r="C156" s="13" t="str">
        <x:f>IF(OR(COUNTA($A156)=0,NOT(ISNUMBER('Status'!$E$5))),"",IF(COUNTIFS('Estimates'!$A$5:$A$2004,$A156,'Estimates'!$B$5:$B$2004,"MPS",'Estimates'!$C$5:$C$2004,'Status'!$E$5,'Estimates'!$H$5:$H$2004,1)=0,"",IF(COUNTIFS('Estimates'!$A$5:$A$2004,$A156,'Estimates'!$B$5:$B$2004,"MPS",'Estimates'!$C$5:$C$2004,'Status'!$E$5,'Estimates'!$H$5:$H$2004,1)&gt;1,"DUP",IF(COUNTIFS('Estimates'!$A$5:$A$2004,$A156,'Estimates'!$B$5:$B$2004,"MPS",'Estimates'!$C$5:$C$2004,'Status'!$E$5,'Estimates'!$H$5:$H$2004,1,'Estimates'!$F$5:$F$2004,"&lt;&gt;")=0,"",SUMIFS('Estimates'!$F$5:$F$2004,'Estimates'!$A$5:$A$2004,$A156,'Estimates'!$B$5:$B$2004,"MPS",'Estimates'!$C$5:$C$2004,'Status'!$E$5,'Estimates'!$H$5:$H$2004,1)))))</x:f>
      </x:c>
      <x:c r="D156" s="13" t="str">
        <x:f>IF(OR(COUNTA($A156)=0,NOT(ISNUMBER('Status'!$F$5))),"",IF(COUNTIFS('Estimates'!$A$5:$A$2004,$A156,'Estimates'!$B$5:$B$2004,"MPS",'Estimates'!$C$5:$C$2004,'Status'!$F$5,'Estimates'!$H$5:$H$2004,1)=0,"",IF(COUNTIFS('Estimates'!$A$5:$A$2004,$A156,'Estimates'!$B$5:$B$2004,"MPS",'Estimates'!$C$5:$C$2004,'Status'!$F$5,'Estimates'!$H$5:$H$2004,1)&gt;1,"DUP",IF(COUNTIFS('Estimates'!$A$5:$A$2004,$A156,'Estimates'!$B$5:$B$2004,"MPS",'Estimates'!$C$5:$C$2004,'Status'!$F$5,'Estimates'!$H$5:$H$2004,1,'Estimates'!$F$5:$F$2004,"&lt;&gt;")=0,"",SUMIFS('Estimates'!$F$5:$F$2004,'Estimates'!$A$5:$A$2004,$A156,'Estimates'!$B$5:$B$2004,"MPS",'Estimates'!$C$5:$C$2004,'Status'!$F$5,'Estimates'!$H$5:$H$2004,1)))))</x:f>
      </x:c>
      <x:c r="E156" s="13" t="str">
        <x:f>IF(OR(COUNTA($A156)=0,NOT(ISNUMBER('Status'!$G$5))),"",IF(COUNTIFS('Estimates'!$A$5:$A$2004,$A156,'Estimates'!$B$5:$B$2004,"MPS",'Estimates'!$C$5:$C$2004,'Status'!$G$5,'Estimates'!$H$5:$H$2004,1)=0,"",IF(COUNTIFS('Estimates'!$A$5:$A$2004,$A156,'Estimates'!$B$5:$B$2004,"MPS",'Estimates'!$C$5:$C$2004,'Status'!$G$5,'Estimates'!$H$5:$H$2004,1)&gt;1,"DUP",IF(COUNTIFS('Estimates'!$A$5:$A$2004,$A156,'Estimates'!$B$5:$B$2004,"MPS",'Estimates'!$C$5:$C$2004,'Status'!$G$5,'Estimates'!$H$5:$H$2004,1,'Estimates'!$F$5:$F$2004,"&lt;&gt;")=0,"",SUMIFS('Estimates'!$F$5:$F$2004,'Estimates'!$A$5:$A$2004,$A156,'Estimates'!$B$5:$B$2004,"MPS",'Estimates'!$C$5:$C$2004,'Status'!$G$5,'Estimates'!$H$5:$H$2004,1)))))</x:f>
      </x:c>
      <x:c r="F156" s="13" t="str">
        <x:f>IF(AND(ISNUMBER(C156),ISNUMBER(D156)),D156-C156,"")</x:f>
      </x:c>
      <x:c r="G156" s="13" t="str">
        <x:f>IF(AND(ISNUMBER(D156),ISNUMBER(E156)),E156-D156,"")</x:f>
      </x:c>
      <x:c r="H156" s="13" t="str">
        <x:f>IF(AND(COUNT(C156:E156)=3,COUNT('Status'!$E$5:$G$5)=3,'Status'!$E$5&gt;0,'Status'!$E$5&lt;'Status'!$F$5,'Status'!$F$5&lt;'Status'!$G$5),ABS(E156-(D156+(D156-C156)*((1/'Status'!$G$5)-(1/'Status'!$F$5))/((1/'Status'!$F$5)-(1/'Status'!$E$5)))),"")</x:f>
      </x:c>
      <x:c r="I156" s="13" t="str">
        <x:f>IF(AND(COUNT(C156:E156)=3,COUNT('Status'!$E$5:$G$5)=3,'Status'!$E$5&gt;0,'Status'!$E$5&lt;'Status'!$F$5,'Status'!$F$5&lt;'Status'!$G$5),((1/'Status'!$F$5)*E156-(1/'Status'!$G$5)*D156)/((1/'Status'!$F$5)-(1/'Status'!$G$5)),"")</x:f>
      </x:c>
      <x:c r="J156" s="13" t="str">
        <x:f>IF(OR(COUNTA($A156)=0,NOT(ISNUMBER('Status'!$E$6))),"",IF(COUNTIFS('Estimates'!$A$5:$A$2004,$A156,'Estimates'!$B$5:$B$2004,"PPS",'Estimates'!$D$5:$D$2004,'Status'!$E$6,'Estimates'!$H$5:$H$2004,1,'Estimates'!$E$5:$E$2004,'Status'!$E$7)=0,"",IF(COUNTIFS('Estimates'!$A$5:$A$2004,$A156,'Estimates'!$B$5:$B$2004,"PPS",'Estimates'!$D$5:$D$2004,'Status'!$E$6,'Estimates'!$H$5:$H$2004,1,'Estimates'!$E$5:$E$2004,'Status'!$E$7)&gt;1,"DUP",IF(COUNTIFS('Estimates'!$A$5:$A$2004,$A156,'Estimates'!$B$5:$B$2004,"PPS",'Estimates'!$D$5:$D$2004,'Status'!$E$6,'Estimates'!$H$5:$H$2004,1,'Estimates'!$E$5:$E$2004,'Status'!$E$7,'Estimates'!$F$5:$F$2004,"&lt;&gt;")=0,"",SUMIFS('Estimates'!$F$5:$F$2004,'Estimates'!$A$5:$A$2004,$A156,'Estimates'!$B$5:$B$2004,"PPS",'Estimates'!$D$5:$D$2004,'Status'!$E$6,'Estimates'!$H$5:$H$2004,1,'Estimates'!$E$5:$E$2004,'Status'!$E$7)))))</x:f>
      </x:c>
      <x:c r="K156" s="13" t="str">
        <x:f>IF(OR(COUNTA($A156)=0,NOT(ISNUMBER('Status'!$F$6))),"",IF(COUNTIFS('Estimates'!$A$5:$A$2004,$A156,'Estimates'!$B$5:$B$2004,"PPS",'Estimates'!$D$5:$D$2004,'Status'!$F$6,'Estimates'!$H$5:$H$2004,1,'Estimates'!$E$5:$E$2004,'Status'!$E$7)=0,"",IF(COUNTIFS('Estimates'!$A$5:$A$2004,$A156,'Estimates'!$B$5:$B$2004,"PPS",'Estimates'!$D$5:$D$2004,'Status'!$F$6,'Estimates'!$H$5:$H$2004,1,'Estimates'!$E$5:$E$2004,'Status'!$E$7)&gt;1,"DUP",IF(COUNTIFS('Estimates'!$A$5:$A$2004,$A156,'Estimates'!$B$5:$B$2004,"PPS",'Estimates'!$D$5:$D$2004,'Status'!$F$6,'Estimates'!$H$5:$H$2004,1,'Estimates'!$E$5:$E$2004,'Status'!$E$7,'Estimates'!$F$5:$F$2004,"&lt;&gt;")=0,"",SUMIFS('Estimates'!$F$5:$F$2004,'Estimates'!$A$5:$A$2004,$A156,'Estimates'!$B$5:$B$2004,"PPS",'Estimates'!$D$5:$D$2004,'Status'!$F$6,'Estimates'!$H$5:$H$2004,1,'Estimates'!$E$5:$E$2004,'Status'!$E$7)))))</x:f>
      </x:c>
      <x:c r="L156" s="13" t="str">
        <x:f>IF(OR(COUNTA($A156)=0,NOT(ISNUMBER('Status'!$G$6))),"",IF(COUNTIFS('Estimates'!$A$5:$A$2004,$A156,'Estimates'!$B$5:$B$2004,"PPS",'Estimates'!$D$5:$D$2004,'Status'!$G$6,'Estimates'!$H$5:$H$2004,1,'Estimates'!$E$5:$E$2004,'Status'!$E$7)=0,"",IF(COUNTIFS('Estimates'!$A$5:$A$2004,$A156,'Estimates'!$B$5:$B$2004,"PPS",'Estimates'!$D$5:$D$2004,'Status'!$G$6,'Estimates'!$H$5:$H$2004,1,'Estimates'!$E$5:$E$2004,'Status'!$E$7)&gt;1,"DUP",IF(COUNTIFS('Estimates'!$A$5:$A$2004,$A156,'Estimates'!$B$5:$B$2004,"PPS",'Estimates'!$D$5:$D$2004,'Status'!$G$6,'Estimates'!$H$5:$H$2004,1,'Estimates'!$E$5:$E$2004,'Status'!$E$7,'Estimates'!$F$5:$F$2004,"&lt;&gt;")=0,"",SUMIFS('Estimates'!$F$5:$F$2004,'Estimates'!$A$5:$A$2004,$A156,'Estimates'!$B$5:$B$2004,"PPS",'Estimates'!$D$5:$D$2004,'Status'!$G$6,'Estimates'!$H$5:$H$2004,1,'Estimates'!$E$5:$E$2004,'Status'!$E$7)))))</x:f>
      </x:c>
      <x:c r="M156" s="13" t="str">
        <x:f>IF(AND(ISNUMBER(J156),ISNUMBER(K156)),K156-J156,"")</x:f>
      </x:c>
      <x:c r="N156" s="13" t="str">
        <x:f>IF(AND(ISNUMBER(K156),ISNUMBER(L156)),L156-K156,"")</x:f>
      </x:c>
      <x:c r="O156" s="13" t="str">
        <x:f>IF(AND(COUNT(J156:L156)=3,COUNT('Status'!$E$6:$G$6)=3,'Status'!$E$6&gt;'Status'!$F$6,'Status'!$F$6&gt;'Status'!$G$6,'Status'!$G$6&gt;0),ABS(L156-(K156+(K156-J156)*('Status'!$G$6-'Status'!$F$6)/('Status'!$F$6-'Status'!$E$6))),"")</x:f>
      </x:c>
      <x:c r="P156" s="13" t="str">
        <x:f>IF(AND(COUNT(J156:L156)=3,COUNT('Status'!$E$6:$G$6)=3,'Status'!$E$6&gt;'Status'!$F$6,'Status'!$F$6&gt;'Status'!$G$6,'Status'!$G$6&gt;0),('Status'!$F$6*L156-'Status'!$G$6*K156)/('Status'!$F$6-'Status'!$G$6),"")</x:f>
      </x:c>
      <x:c r="Q156" s="20"/>
      <x:c r="R156" s="13" t="str">
        <x:f>IF(COUNTA($A156)=0,"",IF('Status'!$B$6="MPS 1",IF(ISNUMBER(C156),C156,""),IF('Status'!$B$6="MPS 2",IF(ISNUMBER(D156),D156,""),IF('Status'!$B$6="MPS 3",IF(ISNUMBER(E156),E156,""),IF('Status'!$B$6="MPS extrap",IF(ISNUMBER(I156),I156,""),IF('Status'!$B$6="PPS 1",IF(ISNUMBER(J156),J156,""),IF('Status'!$B$6="PPS 2",IF(ISNUMBER(K156),K156,""),IF('Status'!$B$6="PPS 3",IF(ISNUMBER(L156),L156,""),IF('Status'!$B$6="PPS extrap",IF(ISNUMBER(P156),P156,""),IF('Status'!$B$6="Calibrated",IF(ISNUMBER(Q156),Q156,""),""))))))))))</x:f>
      </x:c>
      <x:c r="S156" s="2" t="str">
        <x:f>IF(COUNTA(A156)=0,"",IF(COUNTIFS('Estimates'!$A$5:$A$2004,A156,'Estimates'!$B$5:$B$2004,"MPS",'Estimates'!$H$5:$H$2004,1)+COUNTIFS('Estimates'!$A$5:$A$2004,A156,'Estimates'!$B$5:$B$2004,"PPS",'Estimates'!$H$5:$H$2004,1)&gt;0,1,0))</x:f>
      </x:c>
      <x:c r="T156" s="2" t="str">
        <x:f>IF(COUNTA(A156)=0,"",IF(COUNTIFS($A$6:$A$165,A156)&gt;1,"Duplicate target",IF(COUNTIFS(C156:E156,"DUP")+COUNTIFS(J156:L156,"DUP")&gt;0,"Duplicate accepted run",IF(COUNTIFS('Estimates'!$A$5:$A$2004,A156,'Estimates'!$H$5:$H$2004,1)-COUNTIFS('Estimates'!$A$5:$A$2004,A156,'Estimates'!$H$5:$H$2004,1,'Estimates'!$F$5:$F$2004,"&lt;&gt;")&gt;0,"Accepted value missing",""))))</x:f>
      </x:c>
    </x:row>
    <x:row r="157">
      <x:c r="A157" s="21"/>
      <x:c r="B157" s="19"/>
      <x:c r="C157" s="13" t="str">
        <x:f>IF(OR(COUNTA($A157)=0,NOT(ISNUMBER('Status'!$E$5))),"",IF(COUNTIFS('Estimates'!$A$5:$A$2004,$A157,'Estimates'!$B$5:$B$2004,"MPS",'Estimates'!$C$5:$C$2004,'Status'!$E$5,'Estimates'!$H$5:$H$2004,1)=0,"",IF(COUNTIFS('Estimates'!$A$5:$A$2004,$A157,'Estimates'!$B$5:$B$2004,"MPS",'Estimates'!$C$5:$C$2004,'Status'!$E$5,'Estimates'!$H$5:$H$2004,1)&gt;1,"DUP",IF(COUNTIFS('Estimates'!$A$5:$A$2004,$A157,'Estimates'!$B$5:$B$2004,"MPS",'Estimates'!$C$5:$C$2004,'Status'!$E$5,'Estimates'!$H$5:$H$2004,1,'Estimates'!$F$5:$F$2004,"&lt;&gt;")=0,"",SUMIFS('Estimates'!$F$5:$F$2004,'Estimates'!$A$5:$A$2004,$A157,'Estimates'!$B$5:$B$2004,"MPS",'Estimates'!$C$5:$C$2004,'Status'!$E$5,'Estimates'!$H$5:$H$2004,1)))))</x:f>
      </x:c>
      <x:c r="D157" s="13" t="str">
        <x:f>IF(OR(COUNTA($A157)=0,NOT(ISNUMBER('Status'!$F$5))),"",IF(COUNTIFS('Estimates'!$A$5:$A$2004,$A157,'Estimates'!$B$5:$B$2004,"MPS",'Estimates'!$C$5:$C$2004,'Status'!$F$5,'Estimates'!$H$5:$H$2004,1)=0,"",IF(COUNTIFS('Estimates'!$A$5:$A$2004,$A157,'Estimates'!$B$5:$B$2004,"MPS",'Estimates'!$C$5:$C$2004,'Status'!$F$5,'Estimates'!$H$5:$H$2004,1)&gt;1,"DUP",IF(COUNTIFS('Estimates'!$A$5:$A$2004,$A157,'Estimates'!$B$5:$B$2004,"MPS",'Estimates'!$C$5:$C$2004,'Status'!$F$5,'Estimates'!$H$5:$H$2004,1,'Estimates'!$F$5:$F$2004,"&lt;&gt;")=0,"",SUMIFS('Estimates'!$F$5:$F$2004,'Estimates'!$A$5:$A$2004,$A157,'Estimates'!$B$5:$B$2004,"MPS",'Estimates'!$C$5:$C$2004,'Status'!$F$5,'Estimates'!$H$5:$H$2004,1)))))</x:f>
      </x:c>
      <x:c r="E157" s="13" t="str">
        <x:f>IF(OR(COUNTA($A157)=0,NOT(ISNUMBER('Status'!$G$5))),"",IF(COUNTIFS('Estimates'!$A$5:$A$2004,$A157,'Estimates'!$B$5:$B$2004,"MPS",'Estimates'!$C$5:$C$2004,'Status'!$G$5,'Estimates'!$H$5:$H$2004,1)=0,"",IF(COUNTIFS('Estimates'!$A$5:$A$2004,$A157,'Estimates'!$B$5:$B$2004,"MPS",'Estimates'!$C$5:$C$2004,'Status'!$G$5,'Estimates'!$H$5:$H$2004,1)&gt;1,"DUP",IF(COUNTIFS('Estimates'!$A$5:$A$2004,$A157,'Estimates'!$B$5:$B$2004,"MPS",'Estimates'!$C$5:$C$2004,'Status'!$G$5,'Estimates'!$H$5:$H$2004,1,'Estimates'!$F$5:$F$2004,"&lt;&gt;")=0,"",SUMIFS('Estimates'!$F$5:$F$2004,'Estimates'!$A$5:$A$2004,$A157,'Estimates'!$B$5:$B$2004,"MPS",'Estimates'!$C$5:$C$2004,'Status'!$G$5,'Estimates'!$H$5:$H$2004,1)))))</x:f>
      </x:c>
      <x:c r="F157" s="13" t="str">
        <x:f>IF(AND(ISNUMBER(C157),ISNUMBER(D157)),D157-C157,"")</x:f>
      </x:c>
      <x:c r="G157" s="13" t="str">
        <x:f>IF(AND(ISNUMBER(D157),ISNUMBER(E157)),E157-D157,"")</x:f>
      </x:c>
      <x:c r="H157" s="13" t="str">
        <x:f>IF(AND(COUNT(C157:E157)=3,COUNT('Status'!$E$5:$G$5)=3,'Status'!$E$5&gt;0,'Status'!$E$5&lt;'Status'!$F$5,'Status'!$F$5&lt;'Status'!$G$5),ABS(E157-(D157+(D157-C157)*((1/'Status'!$G$5)-(1/'Status'!$F$5))/((1/'Status'!$F$5)-(1/'Status'!$E$5)))),"")</x:f>
      </x:c>
      <x:c r="I157" s="13" t="str">
        <x:f>IF(AND(COUNT(C157:E157)=3,COUNT('Status'!$E$5:$G$5)=3,'Status'!$E$5&gt;0,'Status'!$E$5&lt;'Status'!$F$5,'Status'!$F$5&lt;'Status'!$G$5),((1/'Status'!$F$5)*E157-(1/'Status'!$G$5)*D157)/((1/'Status'!$F$5)-(1/'Status'!$G$5)),"")</x:f>
      </x:c>
      <x:c r="J157" s="13" t="str">
        <x:f>IF(OR(COUNTA($A157)=0,NOT(ISNUMBER('Status'!$E$6))),"",IF(COUNTIFS('Estimates'!$A$5:$A$2004,$A157,'Estimates'!$B$5:$B$2004,"PPS",'Estimates'!$D$5:$D$2004,'Status'!$E$6,'Estimates'!$H$5:$H$2004,1,'Estimates'!$E$5:$E$2004,'Status'!$E$7)=0,"",IF(COUNTIFS('Estimates'!$A$5:$A$2004,$A157,'Estimates'!$B$5:$B$2004,"PPS",'Estimates'!$D$5:$D$2004,'Status'!$E$6,'Estimates'!$H$5:$H$2004,1,'Estimates'!$E$5:$E$2004,'Status'!$E$7)&gt;1,"DUP",IF(COUNTIFS('Estimates'!$A$5:$A$2004,$A157,'Estimates'!$B$5:$B$2004,"PPS",'Estimates'!$D$5:$D$2004,'Status'!$E$6,'Estimates'!$H$5:$H$2004,1,'Estimates'!$E$5:$E$2004,'Status'!$E$7,'Estimates'!$F$5:$F$2004,"&lt;&gt;")=0,"",SUMIFS('Estimates'!$F$5:$F$2004,'Estimates'!$A$5:$A$2004,$A157,'Estimates'!$B$5:$B$2004,"PPS",'Estimates'!$D$5:$D$2004,'Status'!$E$6,'Estimates'!$H$5:$H$2004,1,'Estimates'!$E$5:$E$2004,'Status'!$E$7)))))</x:f>
      </x:c>
      <x:c r="K157" s="13" t="str">
        <x:f>IF(OR(COUNTA($A157)=0,NOT(ISNUMBER('Status'!$F$6))),"",IF(COUNTIFS('Estimates'!$A$5:$A$2004,$A157,'Estimates'!$B$5:$B$2004,"PPS",'Estimates'!$D$5:$D$2004,'Status'!$F$6,'Estimates'!$H$5:$H$2004,1,'Estimates'!$E$5:$E$2004,'Status'!$E$7)=0,"",IF(COUNTIFS('Estimates'!$A$5:$A$2004,$A157,'Estimates'!$B$5:$B$2004,"PPS",'Estimates'!$D$5:$D$2004,'Status'!$F$6,'Estimates'!$H$5:$H$2004,1,'Estimates'!$E$5:$E$2004,'Status'!$E$7)&gt;1,"DUP",IF(COUNTIFS('Estimates'!$A$5:$A$2004,$A157,'Estimates'!$B$5:$B$2004,"PPS",'Estimates'!$D$5:$D$2004,'Status'!$F$6,'Estimates'!$H$5:$H$2004,1,'Estimates'!$E$5:$E$2004,'Status'!$E$7,'Estimates'!$F$5:$F$2004,"&lt;&gt;")=0,"",SUMIFS('Estimates'!$F$5:$F$2004,'Estimates'!$A$5:$A$2004,$A157,'Estimates'!$B$5:$B$2004,"PPS",'Estimates'!$D$5:$D$2004,'Status'!$F$6,'Estimates'!$H$5:$H$2004,1,'Estimates'!$E$5:$E$2004,'Status'!$E$7)))))</x:f>
      </x:c>
      <x:c r="L157" s="13" t="str">
        <x:f>IF(OR(COUNTA($A157)=0,NOT(ISNUMBER('Status'!$G$6))),"",IF(COUNTIFS('Estimates'!$A$5:$A$2004,$A157,'Estimates'!$B$5:$B$2004,"PPS",'Estimates'!$D$5:$D$2004,'Status'!$G$6,'Estimates'!$H$5:$H$2004,1,'Estimates'!$E$5:$E$2004,'Status'!$E$7)=0,"",IF(COUNTIFS('Estimates'!$A$5:$A$2004,$A157,'Estimates'!$B$5:$B$2004,"PPS",'Estimates'!$D$5:$D$2004,'Status'!$G$6,'Estimates'!$H$5:$H$2004,1,'Estimates'!$E$5:$E$2004,'Status'!$E$7)&gt;1,"DUP",IF(COUNTIFS('Estimates'!$A$5:$A$2004,$A157,'Estimates'!$B$5:$B$2004,"PPS",'Estimates'!$D$5:$D$2004,'Status'!$G$6,'Estimates'!$H$5:$H$2004,1,'Estimates'!$E$5:$E$2004,'Status'!$E$7,'Estimates'!$F$5:$F$2004,"&lt;&gt;")=0,"",SUMIFS('Estimates'!$F$5:$F$2004,'Estimates'!$A$5:$A$2004,$A157,'Estimates'!$B$5:$B$2004,"PPS",'Estimates'!$D$5:$D$2004,'Status'!$G$6,'Estimates'!$H$5:$H$2004,1,'Estimates'!$E$5:$E$2004,'Status'!$E$7)))))</x:f>
      </x:c>
      <x:c r="M157" s="13" t="str">
        <x:f>IF(AND(ISNUMBER(J157),ISNUMBER(K157)),K157-J157,"")</x:f>
      </x:c>
      <x:c r="N157" s="13" t="str">
        <x:f>IF(AND(ISNUMBER(K157),ISNUMBER(L157)),L157-K157,"")</x:f>
      </x:c>
      <x:c r="O157" s="13" t="str">
        <x:f>IF(AND(COUNT(J157:L157)=3,COUNT('Status'!$E$6:$G$6)=3,'Status'!$E$6&gt;'Status'!$F$6,'Status'!$F$6&gt;'Status'!$G$6,'Status'!$G$6&gt;0),ABS(L157-(K157+(K157-J157)*('Status'!$G$6-'Status'!$F$6)/('Status'!$F$6-'Status'!$E$6))),"")</x:f>
      </x:c>
      <x:c r="P157" s="13" t="str">
        <x:f>IF(AND(COUNT(J157:L157)=3,COUNT('Status'!$E$6:$G$6)=3,'Status'!$E$6&gt;'Status'!$F$6,'Status'!$F$6&gt;'Status'!$G$6,'Status'!$G$6&gt;0),('Status'!$F$6*L157-'Status'!$G$6*K157)/('Status'!$F$6-'Status'!$G$6),"")</x:f>
      </x:c>
      <x:c r="Q157" s="20"/>
      <x:c r="R157" s="13" t="str">
        <x:f>IF(COUNTA($A157)=0,"",IF('Status'!$B$6="MPS 1",IF(ISNUMBER(C157),C157,""),IF('Status'!$B$6="MPS 2",IF(ISNUMBER(D157),D157,""),IF('Status'!$B$6="MPS 3",IF(ISNUMBER(E157),E157,""),IF('Status'!$B$6="MPS extrap",IF(ISNUMBER(I157),I157,""),IF('Status'!$B$6="PPS 1",IF(ISNUMBER(J157),J157,""),IF('Status'!$B$6="PPS 2",IF(ISNUMBER(K157),K157,""),IF('Status'!$B$6="PPS 3",IF(ISNUMBER(L157),L157,""),IF('Status'!$B$6="PPS extrap",IF(ISNUMBER(P157),P157,""),IF('Status'!$B$6="Calibrated",IF(ISNUMBER(Q157),Q157,""),""))))))))))</x:f>
      </x:c>
      <x:c r="S157" s="2" t="str">
        <x:f>IF(COUNTA(A157)=0,"",IF(COUNTIFS('Estimates'!$A$5:$A$2004,A157,'Estimates'!$B$5:$B$2004,"MPS",'Estimates'!$H$5:$H$2004,1)+COUNTIFS('Estimates'!$A$5:$A$2004,A157,'Estimates'!$B$5:$B$2004,"PPS",'Estimates'!$H$5:$H$2004,1)&gt;0,1,0))</x:f>
      </x:c>
      <x:c r="T157" s="2" t="str">
        <x:f>IF(COUNTA(A157)=0,"",IF(COUNTIFS($A$6:$A$165,A157)&gt;1,"Duplicate target",IF(COUNTIFS(C157:E157,"DUP")+COUNTIFS(J157:L157,"DUP")&gt;0,"Duplicate accepted run",IF(COUNTIFS('Estimates'!$A$5:$A$2004,A157,'Estimates'!$H$5:$H$2004,1)-COUNTIFS('Estimates'!$A$5:$A$2004,A157,'Estimates'!$H$5:$H$2004,1,'Estimates'!$F$5:$F$2004,"&lt;&gt;")&gt;0,"Accepted value missing",""))))</x:f>
      </x:c>
    </x:row>
    <x:row r="158">
      <x:c r="A158" s="21"/>
      <x:c r="B158" s="19"/>
      <x:c r="C158" s="13" t="str">
        <x:f>IF(OR(COUNTA($A158)=0,NOT(ISNUMBER('Status'!$E$5))),"",IF(COUNTIFS('Estimates'!$A$5:$A$2004,$A158,'Estimates'!$B$5:$B$2004,"MPS",'Estimates'!$C$5:$C$2004,'Status'!$E$5,'Estimates'!$H$5:$H$2004,1)=0,"",IF(COUNTIFS('Estimates'!$A$5:$A$2004,$A158,'Estimates'!$B$5:$B$2004,"MPS",'Estimates'!$C$5:$C$2004,'Status'!$E$5,'Estimates'!$H$5:$H$2004,1)&gt;1,"DUP",IF(COUNTIFS('Estimates'!$A$5:$A$2004,$A158,'Estimates'!$B$5:$B$2004,"MPS",'Estimates'!$C$5:$C$2004,'Status'!$E$5,'Estimates'!$H$5:$H$2004,1,'Estimates'!$F$5:$F$2004,"&lt;&gt;")=0,"",SUMIFS('Estimates'!$F$5:$F$2004,'Estimates'!$A$5:$A$2004,$A158,'Estimates'!$B$5:$B$2004,"MPS",'Estimates'!$C$5:$C$2004,'Status'!$E$5,'Estimates'!$H$5:$H$2004,1)))))</x:f>
      </x:c>
      <x:c r="D158" s="13" t="str">
        <x:f>IF(OR(COUNTA($A158)=0,NOT(ISNUMBER('Status'!$F$5))),"",IF(COUNTIFS('Estimates'!$A$5:$A$2004,$A158,'Estimates'!$B$5:$B$2004,"MPS",'Estimates'!$C$5:$C$2004,'Status'!$F$5,'Estimates'!$H$5:$H$2004,1)=0,"",IF(COUNTIFS('Estimates'!$A$5:$A$2004,$A158,'Estimates'!$B$5:$B$2004,"MPS",'Estimates'!$C$5:$C$2004,'Status'!$F$5,'Estimates'!$H$5:$H$2004,1)&gt;1,"DUP",IF(COUNTIFS('Estimates'!$A$5:$A$2004,$A158,'Estimates'!$B$5:$B$2004,"MPS",'Estimates'!$C$5:$C$2004,'Status'!$F$5,'Estimates'!$H$5:$H$2004,1,'Estimates'!$F$5:$F$2004,"&lt;&gt;")=0,"",SUMIFS('Estimates'!$F$5:$F$2004,'Estimates'!$A$5:$A$2004,$A158,'Estimates'!$B$5:$B$2004,"MPS",'Estimates'!$C$5:$C$2004,'Status'!$F$5,'Estimates'!$H$5:$H$2004,1)))))</x:f>
      </x:c>
      <x:c r="E158" s="13" t="str">
        <x:f>IF(OR(COUNTA($A158)=0,NOT(ISNUMBER('Status'!$G$5))),"",IF(COUNTIFS('Estimates'!$A$5:$A$2004,$A158,'Estimates'!$B$5:$B$2004,"MPS",'Estimates'!$C$5:$C$2004,'Status'!$G$5,'Estimates'!$H$5:$H$2004,1)=0,"",IF(COUNTIFS('Estimates'!$A$5:$A$2004,$A158,'Estimates'!$B$5:$B$2004,"MPS",'Estimates'!$C$5:$C$2004,'Status'!$G$5,'Estimates'!$H$5:$H$2004,1)&gt;1,"DUP",IF(COUNTIFS('Estimates'!$A$5:$A$2004,$A158,'Estimates'!$B$5:$B$2004,"MPS",'Estimates'!$C$5:$C$2004,'Status'!$G$5,'Estimates'!$H$5:$H$2004,1,'Estimates'!$F$5:$F$2004,"&lt;&gt;")=0,"",SUMIFS('Estimates'!$F$5:$F$2004,'Estimates'!$A$5:$A$2004,$A158,'Estimates'!$B$5:$B$2004,"MPS",'Estimates'!$C$5:$C$2004,'Status'!$G$5,'Estimates'!$H$5:$H$2004,1)))))</x:f>
      </x:c>
      <x:c r="F158" s="13" t="str">
        <x:f>IF(AND(ISNUMBER(C158),ISNUMBER(D158)),D158-C158,"")</x:f>
      </x:c>
      <x:c r="G158" s="13" t="str">
        <x:f>IF(AND(ISNUMBER(D158),ISNUMBER(E158)),E158-D158,"")</x:f>
      </x:c>
      <x:c r="H158" s="13" t="str">
        <x:f>IF(AND(COUNT(C158:E158)=3,COUNT('Status'!$E$5:$G$5)=3,'Status'!$E$5&gt;0,'Status'!$E$5&lt;'Status'!$F$5,'Status'!$F$5&lt;'Status'!$G$5),ABS(E158-(D158+(D158-C158)*((1/'Status'!$G$5)-(1/'Status'!$F$5))/((1/'Status'!$F$5)-(1/'Status'!$E$5)))),"")</x:f>
      </x:c>
      <x:c r="I158" s="13" t="str">
        <x:f>IF(AND(COUNT(C158:E158)=3,COUNT('Status'!$E$5:$G$5)=3,'Status'!$E$5&gt;0,'Status'!$E$5&lt;'Status'!$F$5,'Status'!$F$5&lt;'Status'!$G$5),((1/'Status'!$F$5)*E158-(1/'Status'!$G$5)*D158)/((1/'Status'!$F$5)-(1/'Status'!$G$5)),"")</x:f>
      </x:c>
      <x:c r="J158" s="13" t="str">
        <x:f>IF(OR(COUNTA($A158)=0,NOT(ISNUMBER('Status'!$E$6))),"",IF(COUNTIFS('Estimates'!$A$5:$A$2004,$A158,'Estimates'!$B$5:$B$2004,"PPS",'Estimates'!$D$5:$D$2004,'Status'!$E$6,'Estimates'!$H$5:$H$2004,1,'Estimates'!$E$5:$E$2004,'Status'!$E$7)=0,"",IF(COUNTIFS('Estimates'!$A$5:$A$2004,$A158,'Estimates'!$B$5:$B$2004,"PPS",'Estimates'!$D$5:$D$2004,'Status'!$E$6,'Estimates'!$H$5:$H$2004,1,'Estimates'!$E$5:$E$2004,'Status'!$E$7)&gt;1,"DUP",IF(COUNTIFS('Estimates'!$A$5:$A$2004,$A158,'Estimates'!$B$5:$B$2004,"PPS",'Estimates'!$D$5:$D$2004,'Status'!$E$6,'Estimates'!$H$5:$H$2004,1,'Estimates'!$E$5:$E$2004,'Status'!$E$7,'Estimates'!$F$5:$F$2004,"&lt;&gt;")=0,"",SUMIFS('Estimates'!$F$5:$F$2004,'Estimates'!$A$5:$A$2004,$A158,'Estimates'!$B$5:$B$2004,"PPS",'Estimates'!$D$5:$D$2004,'Status'!$E$6,'Estimates'!$H$5:$H$2004,1,'Estimates'!$E$5:$E$2004,'Status'!$E$7)))))</x:f>
      </x:c>
      <x:c r="K158" s="13" t="str">
        <x:f>IF(OR(COUNTA($A158)=0,NOT(ISNUMBER('Status'!$F$6))),"",IF(COUNTIFS('Estimates'!$A$5:$A$2004,$A158,'Estimates'!$B$5:$B$2004,"PPS",'Estimates'!$D$5:$D$2004,'Status'!$F$6,'Estimates'!$H$5:$H$2004,1,'Estimates'!$E$5:$E$2004,'Status'!$E$7)=0,"",IF(COUNTIFS('Estimates'!$A$5:$A$2004,$A158,'Estimates'!$B$5:$B$2004,"PPS",'Estimates'!$D$5:$D$2004,'Status'!$F$6,'Estimates'!$H$5:$H$2004,1,'Estimates'!$E$5:$E$2004,'Status'!$E$7)&gt;1,"DUP",IF(COUNTIFS('Estimates'!$A$5:$A$2004,$A158,'Estimates'!$B$5:$B$2004,"PPS",'Estimates'!$D$5:$D$2004,'Status'!$F$6,'Estimates'!$H$5:$H$2004,1,'Estimates'!$E$5:$E$2004,'Status'!$E$7,'Estimates'!$F$5:$F$2004,"&lt;&gt;")=0,"",SUMIFS('Estimates'!$F$5:$F$2004,'Estimates'!$A$5:$A$2004,$A158,'Estimates'!$B$5:$B$2004,"PPS",'Estimates'!$D$5:$D$2004,'Status'!$F$6,'Estimates'!$H$5:$H$2004,1,'Estimates'!$E$5:$E$2004,'Status'!$E$7)))))</x:f>
      </x:c>
      <x:c r="L158" s="13" t="str">
        <x:f>IF(OR(COUNTA($A158)=0,NOT(ISNUMBER('Status'!$G$6))),"",IF(COUNTIFS('Estimates'!$A$5:$A$2004,$A158,'Estimates'!$B$5:$B$2004,"PPS",'Estimates'!$D$5:$D$2004,'Status'!$G$6,'Estimates'!$H$5:$H$2004,1,'Estimates'!$E$5:$E$2004,'Status'!$E$7)=0,"",IF(COUNTIFS('Estimates'!$A$5:$A$2004,$A158,'Estimates'!$B$5:$B$2004,"PPS",'Estimates'!$D$5:$D$2004,'Status'!$G$6,'Estimates'!$H$5:$H$2004,1,'Estimates'!$E$5:$E$2004,'Status'!$E$7)&gt;1,"DUP",IF(COUNTIFS('Estimates'!$A$5:$A$2004,$A158,'Estimates'!$B$5:$B$2004,"PPS",'Estimates'!$D$5:$D$2004,'Status'!$G$6,'Estimates'!$H$5:$H$2004,1,'Estimates'!$E$5:$E$2004,'Status'!$E$7,'Estimates'!$F$5:$F$2004,"&lt;&gt;")=0,"",SUMIFS('Estimates'!$F$5:$F$2004,'Estimates'!$A$5:$A$2004,$A158,'Estimates'!$B$5:$B$2004,"PPS",'Estimates'!$D$5:$D$2004,'Status'!$G$6,'Estimates'!$H$5:$H$2004,1,'Estimates'!$E$5:$E$2004,'Status'!$E$7)))))</x:f>
      </x:c>
      <x:c r="M158" s="13" t="str">
        <x:f>IF(AND(ISNUMBER(J158),ISNUMBER(K158)),K158-J158,"")</x:f>
      </x:c>
      <x:c r="N158" s="13" t="str">
        <x:f>IF(AND(ISNUMBER(K158),ISNUMBER(L158)),L158-K158,"")</x:f>
      </x:c>
      <x:c r="O158" s="13" t="str">
        <x:f>IF(AND(COUNT(J158:L158)=3,COUNT('Status'!$E$6:$G$6)=3,'Status'!$E$6&gt;'Status'!$F$6,'Status'!$F$6&gt;'Status'!$G$6,'Status'!$G$6&gt;0),ABS(L158-(K158+(K158-J158)*('Status'!$G$6-'Status'!$F$6)/('Status'!$F$6-'Status'!$E$6))),"")</x:f>
      </x:c>
      <x:c r="P158" s="13" t="str">
        <x:f>IF(AND(COUNT(J158:L158)=3,COUNT('Status'!$E$6:$G$6)=3,'Status'!$E$6&gt;'Status'!$F$6,'Status'!$F$6&gt;'Status'!$G$6,'Status'!$G$6&gt;0),('Status'!$F$6*L158-'Status'!$G$6*K158)/('Status'!$F$6-'Status'!$G$6),"")</x:f>
      </x:c>
      <x:c r="Q158" s="20"/>
      <x:c r="R158" s="13" t="str">
        <x:f>IF(COUNTA($A158)=0,"",IF('Status'!$B$6="MPS 1",IF(ISNUMBER(C158),C158,""),IF('Status'!$B$6="MPS 2",IF(ISNUMBER(D158),D158,""),IF('Status'!$B$6="MPS 3",IF(ISNUMBER(E158),E158,""),IF('Status'!$B$6="MPS extrap",IF(ISNUMBER(I158),I158,""),IF('Status'!$B$6="PPS 1",IF(ISNUMBER(J158),J158,""),IF('Status'!$B$6="PPS 2",IF(ISNUMBER(K158),K158,""),IF('Status'!$B$6="PPS 3",IF(ISNUMBER(L158),L158,""),IF('Status'!$B$6="PPS extrap",IF(ISNUMBER(P158),P158,""),IF('Status'!$B$6="Calibrated",IF(ISNUMBER(Q158),Q158,""),""))))))))))</x:f>
      </x:c>
      <x:c r="S158" s="2" t="str">
        <x:f>IF(COUNTA(A158)=0,"",IF(COUNTIFS('Estimates'!$A$5:$A$2004,A158,'Estimates'!$B$5:$B$2004,"MPS",'Estimates'!$H$5:$H$2004,1)+COUNTIFS('Estimates'!$A$5:$A$2004,A158,'Estimates'!$B$5:$B$2004,"PPS",'Estimates'!$H$5:$H$2004,1)&gt;0,1,0))</x:f>
      </x:c>
      <x:c r="T158" s="2" t="str">
        <x:f>IF(COUNTA(A158)=0,"",IF(COUNTIFS($A$6:$A$165,A158)&gt;1,"Duplicate target",IF(COUNTIFS(C158:E158,"DUP")+COUNTIFS(J158:L158,"DUP")&gt;0,"Duplicate accepted run",IF(COUNTIFS('Estimates'!$A$5:$A$2004,A158,'Estimates'!$H$5:$H$2004,1)-COUNTIFS('Estimates'!$A$5:$A$2004,A158,'Estimates'!$H$5:$H$2004,1,'Estimates'!$F$5:$F$2004,"&lt;&gt;")&gt;0,"Accepted value missing",""))))</x:f>
      </x:c>
    </x:row>
    <x:row r="159">
      <x:c r="A159" s="21"/>
      <x:c r="B159" s="19"/>
      <x:c r="C159" s="13" t="str">
        <x:f>IF(OR(COUNTA($A159)=0,NOT(ISNUMBER('Status'!$E$5))),"",IF(COUNTIFS('Estimates'!$A$5:$A$2004,$A159,'Estimates'!$B$5:$B$2004,"MPS",'Estimates'!$C$5:$C$2004,'Status'!$E$5,'Estimates'!$H$5:$H$2004,1)=0,"",IF(COUNTIFS('Estimates'!$A$5:$A$2004,$A159,'Estimates'!$B$5:$B$2004,"MPS",'Estimates'!$C$5:$C$2004,'Status'!$E$5,'Estimates'!$H$5:$H$2004,1)&gt;1,"DUP",IF(COUNTIFS('Estimates'!$A$5:$A$2004,$A159,'Estimates'!$B$5:$B$2004,"MPS",'Estimates'!$C$5:$C$2004,'Status'!$E$5,'Estimates'!$H$5:$H$2004,1,'Estimates'!$F$5:$F$2004,"&lt;&gt;")=0,"",SUMIFS('Estimates'!$F$5:$F$2004,'Estimates'!$A$5:$A$2004,$A159,'Estimates'!$B$5:$B$2004,"MPS",'Estimates'!$C$5:$C$2004,'Status'!$E$5,'Estimates'!$H$5:$H$2004,1)))))</x:f>
      </x:c>
      <x:c r="D159" s="13" t="str">
        <x:f>IF(OR(COUNTA($A159)=0,NOT(ISNUMBER('Status'!$F$5))),"",IF(COUNTIFS('Estimates'!$A$5:$A$2004,$A159,'Estimates'!$B$5:$B$2004,"MPS",'Estimates'!$C$5:$C$2004,'Status'!$F$5,'Estimates'!$H$5:$H$2004,1)=0,"",IF(COUNTIFS('Estimates'!$A$5:$A$2004,$A159,'Estimates'!$B$5:$B$2004,"MPS",'Estimates'!$C$5:$C$2004,'Status'!$F$5,'Estimates'!$H$5:$H$2004,1)&gt;1,"DUP",IF(COUNTIFS('Estimates'!$A$5:$A$2004,$A159,'Estimates'!$B$5:$B$2004,"MPS",'Estimates'!$C$5:$C$2004,'Status'!$F$5,'Estimates'!$H$5:$H$2004,1,'Estimates'!$F$5:$F$2004,"&lt;&gt;")=0,"",SUMIFS('Estimates'!$F$5:$F$2004,'Estimates'!$A$5:$A$2004,$A159,'Estimates'!$B$5:$B$2004,"MPS",'Estimates'!$C$5:$C$2004,'Status'!$F$5,'Estimates'!$H$5:$H$2004,1)))))</x:f>
      </x:c>
      <x:c r="E159" s="13" t="str">
        <x:f>IF(OR(COUNTA($A159)=0,NOT(ISNUMBER('Status'!$G$5))),"",IF(COUNTIFS('Estimates'!$A$5:$A$2004,$A159,'Estimates'!$B$5:$B$2004,"MPS",'Estimates'!$C$5:$C$2004,'Status'!$G$5,'Estimates'!$H$5:$H$2004,1)=0,"",IF(COUNTIFS('Estimates'!$A$5:$A$2004,$A159,'Estimates'!$B$5:$B$2004,"MPS",'Estimates'!$C$5:$C$2004,'Status'!$G$5,'Estimates'!$H$5:$H$2004,1)&gt;1,"DUP",IF(COUNTIFS('Estimates'!$A$5:$A$2004,$A159,'Estimates'!$B$5:$B$2004,"MPS",'Estimates'!$C$5:$C$2004,'Status'!$G$5,'Estimates'!$H$5:$H$2004,1,'Estimates'!$F$5:$F$2004,"&lt;&gt;")=0,"",SUMIFS('Estimates'!$F$5:$F$2004,'Estimates'!$A$5:$A$2004,$A159,'Estimates'!$B$5:$B$2004,"MPS",'Estimates'!$C$5:$C$2004,'Status'!$G$5,'Estimates'!$H$5:$H$2004,1)))))</x:f>
      </x:c>
      <x:c r="F159" s="13" t="str">
        <x:f>IF(AND(ISNUMBER(C159),ISNUMBER(D159)),D159-C159,"")</x:f>
      </x:c>
      <x:c r="G159" s="13" t="str">
        <x:f>IF(AND(ISNUMBER(D159),ISNUMBER(E159)),E159-D159,"")</x:f>
      </x:c>
      <x:c r="H159" s="13" t="str">
        <x:f>IF(AND(COUNT(C159:E159)=3,COUNT('Status'!$E$5:$G$5)=3,'Status'!$E$5&gt;0,'Status'!$E$5&lt;'Status'!$F$5,'Status'!$F$5&lt;'Status'!$G$5),ABS(E159-(D159+(D159-C159)*((1/'Status'!$G$5)-(1/'Status'!$F$5))/((1/'Status'!$F$5)-(1/'Status'!$E$5)))),"")</x:f>
      </x:c>
      <x:c r="I159" s="13" t="str">
        <x:f>IF(AND(COUNT(C159:E159)=3,COUNT('Status'!$E$5:$G$5)=3,'Status'!$E$5&gt;0,'Status'!$E$5&lt;'Status'!$F$5,'Status'!$F$5&lt;'Status'!$G$5),((1/'Status'!$F$5)*E159-(1/'Status'!$G$5)*D159)/((1/'Status'!$F$5)-(1/'Status'!$G$5)),"")</x:f>
      </x:c>
      <x:c r="J159" s="13" t="str">
        <x:f>IF(OR(COUNTA($A159)=0,NOT(ISNUMBER('Status'!$E$6))),"",IF(COUNTIFS('Estimates'!$A$5:$A$2004,$A159,'Estimates'!$B$5:$B$2004,"PPS",'Estimates'!$D$5:$D$2004,'Status'!$E$6,'Estimates'!$H$5:$H$2004,1,'Estimates'!$E$5:$E$2004,'Status'!$E$7)=0,"",IF(COUNTIFS('Estimates'!$A$5:$A$2004,$A159,'Estimates'!$B$5:$B$2004,"PPS",'Estimates'!$D$5:$D$2004,'Status'!$E$6,'Estimates'!$H$5:$H$2004,1,'Estimates'!$E$5:$E$2004,'Status'!$E$7)&gt;1,"DUP",IF(COUNTIFS('Estimates'!$A$5:$A$2004,$A159,'Estimates'!$B$5:$B$2004,"PPS",'Estimates'!$D$5:$D$2004,'Status'!$E$6,'Estimates'!$H$5:$H$2004,1,'Estimates'!$E$5:$E$2004,'Status'!$E$7,'Estimates'!$F$5:$F$2004,"&lt;&gt;")=0,"",SUMIFS('Estimates'!$F$5:$F$2004,'Estimates'!$A$5:$A$2004,$A159,'Estimates'!$B$5:$B$2004,"PPS",'Estimates'!$D$5:$D$2004,'Status'!$E$6,'Estimates'!$H$5:$H$2004,1,'Estimates'!$E$5:$E$2004,'Status'!$E$7)))))</x:f>
      </x:c>
      <x:c r="K159" s="13" t="str">
        <x:f>IF(OR(COUNTA($A159)=0,NOT(ISNUMBER('Status'!$F$6))),"",IF(COUNTIFS('Estimates'!$A$5:$A$2004,$A159,'Estimates'!$B$5:$B$2004,"PPS",'Estimates'!$D$5:$D$2004,'Status'!$F$6,'Estimates'!$H$5:$H$2004,1,'Estimates'!$E$5:$E$2004,'Status'!$E$7)=0,"",IF(COUNTIFS('Estimates'!$A$5:$A$2004,$A159,'Estimates'!$B$5:$B$2004,"PPS",'Estimates'!$D$5:$D$2004,'Status'!$F$6,'Estimates'!$H$5:$H$2004,1,'Estimates'!$E$5:$E$2004,'Status'!$E$7)&gt;1,"DUP",IF(COUNTIFS('Estimates'!$A$5:$A$2004,$A159,'Estimates'!$B$5:$B$2004,"PPS",'Estimates'!$D$5:$D$2004,'Status'!$F$6,'Estimates'!$H$5:$H$2004,1,'Estimates'!$E$5:$E$2004,'Status'!$E$7,'Estimates'!$F$5:$F$2004,"&lt;&gt;")=0,"",SUMIFS('Estimates'!$F$5:$F$2004,'Estimates'!$A$5:$A$2004,$A159,'Estimates'!$B$5:$B$2004,"PPS",'Estimates'!$D$5:$D$2004,'Status'!$F$6,'Estimates'!$H$5:$H$2004,1,'Estimates'!$E$5:$E$2004,'Status'!$E$7)))))</x:f>
      </x:c>
      <x:c r="L159" s="13" t="str">
        <x:f>IF(OR(COUNTA($A159)=0,NOT(ISNUMBER('Status'!$G$6))),"",IF(COUNTIFS('Estimates'!$A$5:$A$2004,$A159,'Estimates'!$B$5:$B$2004,"PPS",'Estimates'!$D$5:$D$2004,'Status'!$G$6,'Estimates'!$H$5:$H$2004,1,'Estimates'!$E$5:$E$2004,'Status'!$E$7)=0,"",IF(COUNTIFS('Estimates'!$A$5:$A$2004,$A159,'Estimates'!$B$5:$B$2004,"PPS",'Estimates'!$D$5:$D$2004,'Status'!$G$6,'Estimates'!$H$5:$H$2004,1,'Estimates'!$E$5:$E$2004,'Status'!$E$7)&gt;1,"DUP",IF(COUNTIFS('Estimates'!$A$5:$A$2004,$A159,'Estimates'!$B$5:$B$2004,"PPS",'Estimates'!$D$5:$D$2004,'Status'!$G$6,'Estimates'!$H$5:$H$2004,1,'Estimates'!$E$5:$E$2004,'Status'!$E$7,'Estimates'!$F$5:$F$2004,"&lt;&gt;")=0,"",SUMIFS('Estimates'!$F$5:$F$2004,'Estimates'!$A$5:$A$2004,$A159,'Estimates'!$B$5:$B$2004,"PPS",'Estimates'!$D$5:$D$2004,'Status'!$G$6,'Estimates'!$H$5:$H$2004,1,'Estimates'!$E$5:$E$2004,'Status'!$E$7)))))</x:f>
      </x:c>
      <x:c r="M159" s="13" t="str">
        <x:f>IF(AND(ISNUMBER(J159),ISNUMBER(K159)),K159-J159,"")</x:f>
      </x:c>
      <x:c r="N159" s="13" t="str">
        <x:f>IF(AND(ISNUMBER(K159),ISNUMBER(L159)),L159-K159,"")</x:f>
      </x:c>
      <x:c r="O159" s="13" t="str">
        <x:f>IF(AND(COUNT(J159:L159)=3,COUNT('Status'!$E$6:$G$6)=3,'Status'!$E$6&gt;'Status'!$F$6,'Status'!$F$6&gt;'Status'!$G$6,'Status'!$G$6&gt;0),ABS(L159-(K159+(K159-J159)*('Status'!$G$6-'Status'!$F$6)/('Status'!$F$6-'Status'!$E$6))),"")</x:f>
      </x:c>
      <x:c r="P159" s="13" t="str">
        <x:f>IF(AND(COUNT(J159:L159)=3,COUNT('Status'!$E$6:$G$6)=3,'Status'!$E$6&gt;'Status'!$F$6,'Status'!$F$6&gt;'Status'!$G$6,'Status'!$G$6&gt;0),('Status'!$F$6*L159-'Status'!$G$6*K159)/('Status'!$F$6-'Status'!$G$6),"")</x:f>
      </x:c>
      <x:c r="Q159" s="20"/>
      <x:c r="R159" s="13" t="str">
        <x:f>IF(COUNTA($A159)=0,"",IF('Status'!$B$6="MPS 1",IF(ISNUMBER(C159),C159,""),IF('Status'!$B$6="MPS 2",IF(ISNUMBER(D159),D159,""),IF('Status'!$B$6="MPS 3",IF(ISNUMBER(E159),E159,""),IF('Status'!$B$6="MPS extrap",IF(ISNUMBER(I159),I159,""),IF('Status'!$B$6="PPS 1",IF(ISNUMBER(J159),J159,""),IF('Status'!$B$6="PPS 2",IF(ISNUMBER(K159),K159,""),IF('Status'!$B$6="PPS 3",IF(ISNUMBER(L159),L159,""),IF('Status'!$B$6="PPS extrap",IF(ISNUMBER(P159),P159,""),IF('Status'!$B$6="Calibrated",IF(ISNUMBER(Q159),Q159,""),""))))))))))</x:f>
      </x:c>
      <x:c r="S159" s="2" t="str">
        <x:f>IF(COUNTA(A159)=0,"",IF(COUNTIFS('Estimates'!$A$5:$A$2004,A159,'Estimates'!$B$5:$B$2004,"MPS",'Estimates'!$H$5:$H$2004,1)+COUNTIFS('Estimates'!$A$5:$A$2004,A159,'Estimates'!$B$5:$B$2004,"PPS",'Estimates'!$H$5:$H$2004,1)&gt;0,1,0))</x:f>
      </x:c>
      <x:c r="T159" s="2" t="str">
        <x:f>IF(COUNTA(A159)=0,"",IF(COUNTIFS($A$6:$A$165,A159)&gt;1,"Duplicate target",IF(COUNTIFS(C159:E159,"DUP")+COUNTIFS(J159:L159,"DUP")&gt;0,"Duplicate accepted run",IF(COUNTIFS('Estimates'!$A$5:$A$2004,A159,'Estimates'!$H$5:$H$2004,1)-COUNTIFS('Estimates'!$A$5:$A$2004,A159,'Estimates'!$H$5:$H$2004,1,'Estimates'!$F$5:$F$2004,"&lt;&gt;")&gt;0,"Accepted value missing",""))))</x:f>
      </x:c>
    </x:row>
    <x:row r="160">
      <x:c r="A160" s="21"/>
      <x:c r="B160" s="19"/>
      <x:c r="C160" s="13" t="str">
        <x:f>IF(OR(COUNTA($A160)=0,NOT(ISNUMBER('Status'!$E$5))),"",IF(COUNTIFS('Estimates'!$A$5:$A$2004,$A160,'Estimates'!$B$5:$B$2004,"MPS",'Estimates'!$C$5:$C$2004,'Status'!$E$5,'Estimates'!$H$5:$H$2004,1)=0,"",IF(COUNTIFS('Estimates'!$A$5:$A$2004,$A160,'Estimates'!$B$5:$B$2004,"MPS",'Estimates'!$C$5:$C$2004,'Status'!$E$5,'Estimates'!$H$5:$H$2004,1)&gt;1,"DUP",IF(COUNTIFS('Estimates'!$A$5:$A$2004,$A160,'Estimates'!$B$5:$B$2004,"MPS",'Estimates'!$C$5:$C$2004,'Status'!$E$5,'Estimates'!$H$5:$H$2004,1,'Estimates'!$F$5:$F$2004,"&lt;&gt;")=0,"",SUMIFS('Estimates'!$F$5:$F$2004,'Estimates'!$A$5:$A$2004,$A160,'Estimates'!$B$5:$B$2004,"MPS",'Estimates'!$C$5:$C$2004,'Status'!$E$5,'Estimates'!$H$5:$H$2004,1)))))</x:f>
      </x:c>
      <x:c r="D160" s="13" t="str">
        <x:f>IF(OR(COUNTA($A160)=0,NOT(ISNUMBER('Status'!$F$5))),"",IF(COUNTIFS('Estimates'!$A$5:$A$2004,$A160,'Estimates'!$B$5:$B$2004,"MPS",'Estimates'!$C$5:$C$2004,'Status'!$F$5,'Estimates'!$H$5:$H$2004,1)=0,"",IF(COUNTIFS('Estimates'!$A$5:$A$2004,$A160,'Estimates'!$B$5:$B$2004,"MPS",'Estimates'!$C$5:$C$2004,'Status'!$F$5,'Estimates'!$H$5:$H$2004,1)&gt;1,"DUP",IF(COUNTIFS('Estimates'!$A$5:$A$2004,$A160,'Estimates'!$B$5:$B$2004,"MPS",'Estimates'!$C$5:$C$2004,'Status'!$F$5,'Estimates'!$H$5:$H$2004,1,'Estimates'!$F$5:$F$2004,"&lt;&gt;")=0,"",SUMIFS('Estimates'!$F$5:$F$2004,'Estimates'!$A$5:$A$2004,$A160,'Estimates'!$B$5:$B$2004,"MPS",'Estimates'!$C$5:$C$2004,'Status'!$F$5,'Estimates'!$H$5:$H$2004,1)))))</x:f>
      </x:c>
      <x:c r="E160" s="13" t="str">
        <x:f>IF(OR(COUNTA($A160)=0,NOT(ISNUMBER('Status'!$G$5))),"",IF(COUNTIFS('Estimates'!$A$5:$A$2004,$A160,'Estimates'!$B$5:$B$2004,"MPS",'Estimates'!$C$5:$C$2004,'Status'!$G$5,'Estimates'!$H$5:$H$2004,1)=0,"",IF(COUNTIFS('Estimates'!$A$5:$A$2004,$A160,'Estimates'!$B$5:$B$2004,"MPS",'Estimates'!$C$5:$C$2004,'Status'!$G$5,'Estimates'!$H$5:$H$2004,1)&gt;1,"DUP",IF(COUNTIFS('Estimates'!$A$5:$A$2004,$A160,'Estimates'!$B$5:$B$2004,"MPS",'Estimates'!$C$5:$C$2004,'Status'!$G$5,'Estimates'!$H$5:$H$2004,1,'Estimates'!$F$5:$F$2004,"&lt;&gt;")=0,"",SUMIFS('Estimates'!$F$5:$F$2004,'Estimates'!$A$5:$A$2004,$A160,'Estimates'!$B$5:$B$2004,"MPS",'Estimates'!$C$5:$C$2004,'Status'!$G$5,'Estimates'!$H$5:$H$2004,1)))))</x:f>
      </x:c>
      <x:c r="F160" s="13" t="str">
        <x:f>IF(AND(ISNUMBER(C160),ISNUMBER(D160)),D160-C160,"")</x:f>
      </x:c>
      <x:c r="G160" s="13" t="str">
        <x:f>IF(AND(ISNUMBER(D160),ISNUMBER(E160)),E160-D160,"")</x:f>
      </x:c>
      <x:c r="H160" s="13" t="str">
        <x:f>IF(AND(COUNT(C160:E160)=3,COUNT('Status'!$E$5:$G$5)=3,'Status'!$E$5&gt;0,'Status'!$E$5&lt;'Status'!$F$5,'Status'!$F$5&lt;'Status'!$G$5),ABS(E160-(D160+(D160-C160)*((1/'Status'!$G$5)-(1/'Status'!$F$5))/((1/'Status'!$F$5)-(1/'Status'!$E$5)))),"")</x:f>
      </x:c>
      <x:c r="I160" s="13" t="str">
        <x:f>IF(AND(COUNT(C160:E160)=3,COUNT('Status'!$E$5:$G$5)=3,'Status'!$E$5&gt;0,'Status'!$E$5&lt;'Status'!$F$5,'Status'!$F$5&lt;'Status'!$G$5),((1/'Status'!$F$5)*E160-(1/'Status'!$G$5)*D160)/((1/'Status'!$F$5)-(1/'Status'!$G$5)),"")</x:f>
      </x:c>
      <x:c r="J160" s="13" t="str">
        <x:f>IF(OR(COUNTA($A160)=0,NOT(ISNUMBER('Status'!$E$6))),"",IF(COUNTIFS('Estimates'!$A$5:$A$2004,$A160,'Estimates'!$B$5:$B$2004,"PPS",'Estimates'!$D$5:$D$2004,'Status'!$E$6,'Estimates'!$H$5:$H$2004,1,'Estimates'!$E$5:$E$2004,'Status'!$E$7)=0,"",IF(COUNTIFS('Estimates'!$A$5:$A$2004,$A160,'Estimates'!$B$5:$B$2004,"PPS",'Estimates'!$D$5:$D$2004,'Status'!$E$6,'Estimates'!$H$5:$H$2004,1,'Estimates'!$E$5:$E$2004,'Status'!$E$7)&gt;1,"DUP",IF(COUNTIFS('Estimates'!$A$5:$A$2004,$A160,'Estimates'!$B$5:$B$2004,"PPS",'Estimates'!$D$5:$D$2004,'Status'!$E$6,'Estimates'!$H$5:$H$2004,1,'Estimates'!$E$5:$E$2004,'Status'!$E$7,'Estimates'!$F$5:$F$2004,"&lt;&gt;")=0,"",SUMIFS('Estimates'!$F$5:$F$2004,'Estimates'!$A$5:$A$2004,$A160,'Estimates'!$B$5:$B$2004,"PPS",'Estimates'!$D$5:$D$2004,'Status'!$E$6,'Estimates'!$H$5:$H$2004,1,'Estimates'!$E$5:$E$2004,'Status'!$E$7)))))</x:f>
      </x:c>
      <x:c r="K160" s="13" t="str">
        <x:f>IF(OR(COUNTA($A160)=0,NOT(ISNUMBER('Status'!$F$6))),"",IF(COUNTIFS('Estimates'!$A$5:$A$2004,$A160,'Estimates'!$B$5:$B$2004,"PPS",'Estimates'!$D$5:$D$2004,'Status'!$F$6,'Estimates'!$H$5:$H$2004,1,'Estimates'!$E$5:$E$2004,'Status'!$E$7)=0,"",IF(COUNTIFS('Estimates'!$A$5:$A$2004,$A160,'Estimates'!$B$5:$B$2004,"PPS",'Estimates'!$D$5:$D$2004,'Status'!$F$6,'Estimates'!$H$5:$H$2004,1,'Estimates'!$E$5:$E$2004,'Status'!$E$7)&gt;1,"DUP",IF(COUNTIFS('Estimates'!$A$5:$A$2004,$A160,'Estimates'!$B$5:$B$2004,"PPS",'Estimates'!$D$5:$D$2004,'Status'!$F$6,'Estimates'!$H$5:$H$2004,1,'Estimates'!$E$5:$E$2004,'Status'!$E$7,'Estimates'!$F$5:$F$2004,"&lt;&gt;")=0,"",SUMIFS('Estimates'!$F$5:$F$2004,'Estimates'!$A$5:$A$2004,$A160,'Estimates'!$B$5:$B$2004,"PPS",'Estimates'!$D$5:$D$2004,'Status'!$F$6,'Estimates'!$H$5:$H$2004,1,'Estimates'!$E$5:$E$2004,'Status'!$E$7)))))</x:f>
      </x:c>
      <x:c r="L160" s="13" t="str">
        <x:f>IF(OR(COUNTA($A160)=0,NOT(ISNUMBER('Status'!$G$6))),"",IF(COUNTIFS('Estimates'!$A$5:$A$2004,$A160,'Estimates'!$B$5:$B$2004,"PPS",'Estimates'!$D$5:$D$2004,'Status'!$G$6,'Estimates'!$H$5:$H$2004,1,'Estimates'!$E$5:$E$2004,'Status'!$E$7)=0,"",IF(COUNTIFS('Estimates'!$A$5:$A$2004,$A160,'Estimates'!$B$5:$B$2004,"PPS",'Estimates'!$D$5:$D$2004,'Status'!$G$6,'Estimates'!$H$5:$H$2004,1,'Estimates'!$E$5:$E$2004,'Status'!$E$7)&gt;1,"DUP",IF(COUNTIFS('Estimates'!$A$5:$A$2004,$A160,'Estimates'!$B$5:$B$2004,"PPS",'Estimates'!$D$5:$D$2004,'Status'!$G$6,'Estimates'!$H$5:$H$2004,1,'Estimates'!$E$5:$E$2004,'Status'!$E$7,'Estimates'!$F$5:$F$2004,"&lt;&gt;")=0,"",SUMIFS('Estimates'!$F$5:$F$2004,'Estimates'!$A$5:$A$2004,$A160,'Estimates'!$B$5:$B$2004,"PPS",'Estimates'!$D$5:$D$2004,'Status'!$G$6,'Estimates'!$H$5:$H$2004,1,'Estimates'!$E$5:$E$2004,'Status'!$E$7)))))</x:f>
      </x:c>
      <x:c r="M160" s="13" t="str">
        <x:f>IF(AND(ISNUMBER(J160),ISNUMBER(K160)),K160-J160,"")</x:f>
      </x:c>
      <x:c r="N160" s="13" t="str">
        <x:f>IF(AND(ISNUMBER(K160),ISNUMBER(L160)),L160-K160,"")</x:f>
      </x:c>
      <x:c r="O160" s="13" t="str">
        <x:f>IF(AND(COUNT(J160:L160)=3,COUNT('Status'!$E$6:$G$6)=3,'Status'!$E$6&gt;'Status'!$F$6,'Status'!$F$6&gt;'Status'!$G$6,'Status'!$G$6&gt;0),ABS(L160-(K160+(K160-J160)*('Status'!$G$6-'Status'!$F$6)/('Status'!$F$6-'Status'!$E$6))),"")</x:f>
      </x:c>
      <x:c r="P160" s="13" t="str">
        <x:f>IF(AND(COUNT(J160:L160)=3,COUNT('Status'!$E$6:$G$6)=3,'Status'!$E$6&gt;'Status'!$F$6,'Status'!$F$6&gt;'Status'!$G$6,'Status'!$G$6&gt;0),('Status'!$F$6*L160-'Status'!$G$6*K160)/('Status'!$F$6-'Status'!$G$6),"")</x:f>
      </x:c>
      <x:c r="Q160" s="20"/>
      <x:c r="R160" s="13" t="str">
        <x:f>IF(COUNTA($A160)=0,"",IF('Status'!$B$6="MPS 1",IF(ISNUMBER(C160),C160,""),IF('Status'!$B$6="MPS 2",IF(ISNUMBER(D160),D160,""),IF('Status'!$B$6="MPS 3",IF(ISNUMBER(E160),E160,""),IF('Status'!$B$6="MPS extrap",IF(ISNUMBER(I160),I160,""),IF('Status'!$B$6="PPS 1",IF(ISNUMBER(J160),J160,""),IF('Status'!$B$6="PPS 2",IF(ISNUMBER(K160),K160,""),IF('Status'!$B$6="PPS 3",IF(ISNUMBER(L160),L160,""),IF('Status'!$B$6="PPS extrap",IF(ISNUMBER(P160),P160,""),IF('Status'!$B$6="Calibrated",IF(ISNUMBER(Q160),Q160,""),""))))))))))</x:f>
      </x:c>
      <x:c r="S160" s="2" t="str">
        <x:f>IF(COUNTA(A160)=0,"",IF(COUNTIFS('Estimates'!$A$5:$A$2004,A160,'Estimates'!$B$5:$B$2004,"MPS",'Estimates'!$H$5:$H$2004,1)+COUNTIFS('Estimates'!$A$5:$A$2004,A160,'Estimates'!$B$5:$B$2004,"PPS",'Estimates'!$H$5:$H$2004,1)&gt;0,1,0))</x:f>
      </x:c>
      <x:c r="T160" s="2" t="str">
        <x:f>IF(COUNTA(A160)=0,"",IF(COUNTIFS($A$6:$A$165,A160)&gt;1,"Duplicate target",IF(COUNTIFS(C160:E160,"DUP")+COUNTIFS(J160:L160,"DUP")&gt;0,"Duplicate accepted run",IF(COUNTIFS('Estimates'!$A$5:$A$2004,A160,'Estimates'!$H$5:$H$2004,1)-COUNTIFS('Estimates'!$A$5:$A$2004,A160,'Estimates'!$H$5:$H$2004,1,'Estimates'!$F$5:$F$2004,"&lt;&gt;")&gt;0,"Accepted value missing",""))))</x:f>
      </x:c>
    </x:row>
    <x:row r="161">
      <x:c r="A161" s="21"/>
      <x:c r="B161" s="19"/>
      <x:c r="C161" s="13" t="str">
        <x:f>IF(OR(COUNTA($A161)=0,NOT(ISNUMBER('Status'!$E$5))),"",IF(COUNTIFS('Estimates'!$A$5:$A$2004,$A161,'Estimates'!$B$5:$B$2004,"MPS",'Estimates'!$C$5:$C$2004,'Status'!$E$5,'Estimates'!$H$5:$H$2004,1)=0,"",IF(COUNTIFS('Estimates'!$A$5:$A$2004,$A161,'Estimates'!$B$5:$B$2004,"MPS",'Estimates'!$C$5:$C$2004,'Status'!$E$5,'Estimates'!$H$5:$H$2004,1)&gt;1,"DUP",IF(COUNTIFS('Estimates'!$A$5:$A$2004,$A161,'Estimates'!$B$5:$B$2004,"MPS",'Estimates'!$C$5:$C$2004,'Status'!$E$5,'Estimates'!$H$5:$H$2004,1,'Estimates'!$F$5:$F$2004,"&lt;&gt;")=0,"",SUMIFS('Estimates'!$F$5:$F$2004,'Estimates'!$A$5:$A$2004,$A161,'Estimates'!$B$5:$B$2004,"MPS",'Estimates'!$C$5:$C$2004,'Status'!$E$5,'Estimates'!$H$5:$H$2004,1)))))</x:f>
      </x:c>
      <x:c r="D161" s="13" t="str">
        <x:f>IF(OR(COUNTA($A161)=0,NOT(ISNUMBER('Status'!$F$5))),"",IF(COUNTIFS('Estimates'!$A$5:$A$2004,$A161,'Estimates'!$B$5:$B$2004,"MPS",'Estimates'!$C$5:$C$2004,'Status'!$F$5,'Estimates'!$H$5:$H$2004,1)=0,"",IF(COUNTIFS('Estimates'!$A$5:$A$2004,$A161,'Estimates'!$B$5:$B$2004,"MPS",'Estimates'!$C$5:$C$2004,'Status'!$F$5,'Estimates'!$H$5:$H$2004,1)&gt;1,"DUP",IF(COUNTIFS('Estimates'!$A$5:$A$2004,$A161,'Estimates'!$B$5:$B$2004,"MPS",'Estimates'!$C$5:$C$2004,'Status'!$F$5,'Estimates'!$H$5:$H$2004,1,'Estimates'!$F$5:$F$2004,"&lt;&gt;")=0,"",SUMIFS('Estimates'!$F$5:$F$2004,'Estimates'!$A$5:$A$2004,$A161,'Estimates'!$B$5:$B$2004,"MPS",'Estimates'!$C$5:$C$2004,'Status'!$F$5,'Estimates'!$H$5:$H$2004,1)))))</x:f>
      </x:c>
      <x:c r="E161" s="13" t="str">
        <x:f>IF(OR(COUNTA($A161)=0,NOT(ISNUMBER('Status'!$G$5))),"",IF(COUNTIFS('Estimates'!$A$5:$A$2004,$A161,'Estimates'!$B$5:$B$2004,"MPS",'Estimates'!$C$5:$C$2004,'Status'!$G$5,'Estimates'!$H$5:$H$2004,1)=0,"",IF(COUNTIFS('Estimates'!$A$5:$A$2004,$A161,'Estimates'!$B$5:$B$2004,"MPS",'Estimates'!$C$5:$C$2004,'Status'!$G$5,'Estimates'!$H$5:$H$2004,1)&gt;1,"DUP",IF(COUNTIFS('Estimates'!$A$5:$A$2004,$A161,'Estimates'!$B$5:$B$2004,"MPS",'Estimates'!$C$5:$C$2004,'Status'!$G$5,'Estimates'!$H$5:$H$2004,1,'Estimates'!$F$5:$F$2004,"&lt;&gt;")=0,"",SUMIFS('Estimates'!$F$5:$F$2004,'Estimates'!$A$5:$A$2004,$A161,'Estimates'!$B$5:$B$2004,"MPS",'Estimates'!$C$5:$C$2004,'Status'!$G$5,'Estimates'!$H$5:$H$2004,1)))))</x:f>
      </x:c>
      <x:c r="F161" s="13" t="str">
        <x:f>IF(AND(ISNUMBER(C161),ISNUMBER(D161)),D161-C161,"")</x:f>
      </x:c>
      <x:c r="G161" s="13" t="str">
        <x:f>IF(AND(ISNUMBER(D161),ISNUMBER(E161)),E161-D161,"")</x:f>
      </x:c>
      <x:c r="H161" s="13" t="str">
        <x:f>IF(AND(COUNT(C161:E161)=3,COUNT('Status'!$E$5:$G$5)=3,'Status'!$E$5&gt;0,'Status'!$E$5&lt;'Status'!$F$5,'Status'!$F$5&lt;'Status'!$G$5),ABS(E161-(D161+(D161-C161)*((1/'Status'!$G$5)-(1/'Status'!$F$5))/((1/'Status'!$F$5)-(1/'Status'!$E$5)))),"")</x:f>
      </x:c>
      <x:c r="I161" s="13" t="str">
        <x:f>IF(AND(COUNT(C161:E161)=3,COUNT('Status'!$E$5:$G$5)=3,'Status'!$E$5&gt;0,'Status'!$E$5&lt;'Status'!$F$5,'Status'!$F$5&lt;'Status'!$G$5),((1/'Status'!$F$5)*E161-(1/'Status'!$G$5)*D161)/((1/'Status'!$F$5)-(1/'Status'!$G$5)),"")</x:f>
      </x:c>
      <x:c r="J161" s="13" t="str">
        <x:f>IF(OR(COUNTA($A161)=0,NOT(ISNUMBER('Status'!$E$6))),"",IF(COUNTIFS('Estimates'!$A$5:$A$2004,$A161,'Estimates'!$B$5:$B$2004,"PPS",'Estimates'!$D$5:$D$2004,'Status'!$E$6,'Estimates'!$H$5:$H$2004,1,'Estimates'!$E$5:$E$2004,'Status'!$E$7)=0,"",IF(COUNTIFS('Estimates'!$A$5:$A$2004,$A161,'Estimates'!$B$5:$B$2004,"PPS",'Estimates'!$D$5:$D$2004,'Status'!$E$6,'Estimates'!$H$5:$H$2004,1,'Estimates'!$E$5:$E$2004,'Status'!$E$7)&gt;1,"DUP",IF(COUNTIFS('Estimates'!$A$5:$A$2004,$A161,'Estimates'!$B$5:$B$2004,"PPS",'Estimates'!$D$5:$D$2004,'Status'!$E$6,'Estimates'!$H$5:$H$2004,1,'Estimates'!$E$5:$E$2004,'Status'!$E$7,'Estimates'!$F$5:$F$2004,"&lt;&gt;")=0,"",SUMIFS('Estimates'!$F$5:$F$2004,'Estimates'!$A$5:$A$2004,$A161,'Estimates'!$B$5:$B$2004,"PPS",'Estimates'!$D$5:$D$2004,'Status'!$E$6,'Estimates'!$H$5:$H$2004,1,'Estimates'!$E$5:$E$2004,'Status'!$E$7)))))</x:f>
      </x:c>
      <x:c r="K161" s="13" t="str">
        <x:f>IF(OR(COUNTA($A161)=0,NOT(ISNUMBER('Status'!$F$6))),"",IF(COUNTIFS('Estimates'!$A$5:$A$2004,$A161,'Estimates'!$B$5:$B$2004,"PPS",'Estimates'!$D$5:$D$2004,'Status'!$F$6,'Estimates'!$H$5:$H$2004,1,'Estimates'!$E$5:$E$2004,'Status'!$E$7)=0,"",IF(COUNTIFS('Estimates'!$A$5:$A$2004,$A161,'Estimates'!$B$5:$B$2004,"PPS",'Estimates'!$D$5:$D$2004,'Status'!$F$6,'Estimates'!$H$5:$H$2004,1,'Estimates'!$E$5:$E$2004,'Status'!$E$7)&gt;1,"DUP",IF(COUNTIFS('Estimates'!$A$5:$A$2004,$A161,'Estimates'!$B$5:$B$2004,"PPS",'Estimates'!$D$5:$D$2004,'Status'!$F$6,'Estimates'!$H$5:$H$2004,1,'Estimates'!$E$5:$E$2004,'Status'!$E$7,'Estimates'!$F$5:$F$2004,"&lt;&gt;")=0,"",SUMIFS('Estimates'!$F$5:$F$2004,'Estimates'!$A$5:$A$2004,$A161,'Estimates'!$B$5:$B$2004,"PPS",'Estimates'!$D$5:$D$2004,'Status'!$F$6,'Estimates'!$H$5:$H$2004,1,'Estimates'!$E$5:$E$2004,'Status'!$E$7)))))</x:f>
      </x:c>
      <x:c r="L161" s="13" t="str">
        <x:f>IF(OR(COUNTA($A161)=0,NOT(ISNUMBER('Status'!$G$6))),"",IF(COUNTIFS('Estimates'!$A$5:$A$2004,$A161,'Estimates'!$B$5:$B$2004,"PPS",'Estimates'!$D$5:$D$2004,'Status'!$G$6,'Estimates'!$H$5:$H$2004,1,'Estimates'!$E$5:$E$2004,'Status'!$E$7)=0,"",IF(COUNTIFS('Estimates'!$A$5:$A$2004,$A161,'Estimates'!$B$5:$B$2004,"PPS",'Estimates'!$D$5:$D$2004,'Status'!$G$6,'Estimates'!$H$5:$H$2004,1,'Estimates'!$E$5:$E$2004,'Status'!$E$7)&gt;1,"DUP",IF(COUNTIFS('Estimates'!$A$5:$A$2004,$A161,'Estimates'!$B$5:$B$2004,"PPS",'Estimates'!$D$5:$D$2004,'Status'!$G$6,'Estimates'!$H$5:$H$2004,1,'Estimates'!$E$5:$E$2004,'Status'!$E$7,'Estimates'!$F$5:$F$2004,"&lt;&gt;")=0,"",SUMIFS('Estimates'!$F$5:$F$2004,'Estimates'!$A$5:$A$2004,$A161,'Estimates'!$B$5:$B$2004,"PPS",'Estimates'!$D$5:$D$2004,'Status'!$G$6,'Estimates'!$H$5:$H$2004,1,'Estimates'!$E$5:$E$2004,'Status'!$E$7)))))</x:f>
      </x:c>
      <x:c r="M161" s="13" t="str">
        <x:f>IF(AND(ISNUMBER(J161),ISNUMBER(K161)),K161-J161,"")</x:f>
      </x:c>
      <x:c r="N161" s="13" t="str">
        <x:f>IF(AND(ISNUMBER(K161),ISNUMBER(L161)),L161-K161,"")</x:f>
      </x:c>
      <x:c r="O161" s="13" t="str">
        <x:f>IF(AND(COUNT(J161:L161)=3,COUNT('Status'!$E$6:$G$6)=3,'Status'!$E$6&gt;'Status'!$F$6,'Status'!$F$6&gt;'Status'!$G$6,'Status'!$G$6&gt;0),ABS(L161-(K161+(K161-J161)*('Status'!$G$6-'Status'!$F$6)/('Status'!$F$6-'Status'!$E$6))),"")</x:f>
      </x:c>
      <x:c r="P161" s="13" t="str">
        <x:f>IF(AND(COUNT(J161:L161)=3,COUNT('Status'!$E$6:$G$6)=3,'Status'!$E$6&gt;'Status'!$F$6,'Status'!$F$6&gt;'Status'!$G$6,'Status'!$G$6&gt;0),('Status'!$F$6*L161-'Status'!$G$6*K161)/('Status'!$F$6-'Status'!$G$6),"")</x:f>
      </x:c>
      <x:c r="Q161" s="20"/>
      <x:c r="R161" s="13" t="str">
        <x:f>IF(COUNTA($A161)=0,"",IF('Status'!$B$6="MPS 1",IF(ISNUMBER(C161),C161,""),IF('Status'!$B$6="MPS 2",IF(ISNUMBER(D161),D161,""),IF('Status'!$B$6="MPS 3",IF(ISNUMBER(E161),E161,""),IF('Status'!$B$6="MPS extrap",IF(ISNUMBER(I161),I161,""),IF('Status'!$B$6="PPS 1",IF(ISNUMBER(J161),J161,""),IF('Status'!$B$6="PPS 2",IF(ISNUMBER(K161),K161,""),IF('Status'!$B$6="PPS 3",IF(ISNUMBER(L161),L161,""),IF('Status'!$B$6="PPS extrap",IF(ISNUMBER(P161),P161,""),IF('Status'!$B$6="Calibrated",IF(ISNUMBER(Q161),Q161,""),""))))))))))</x:f>
      </x:c>
      <x:c r="S161" s="2" t="str">
        <x:f>IF(COUNTA(A161)=0,"",IF(COUNTIFS('Estimates'!$A$5:$A$2004,A161,'Estimates'!$B$5:$B$2004,"MPS",'Estimates'!$H$5:$H$2004,1)+COUNTIFS('Estimates'!$A$5:$A$2004,A161,'Estimates'!$B$5:$B$2004,"PPS",'Estimates'!$H$5:$H$2004,1)&gt;0,1,0))</x:f>
      </x:c>
      <x:c r="T161" s="2" t="str">
        <x:f>IF(COUNTA(A161)=0,"",IF(COUNTIFS($A$6:$A$165,A161)&gt;1,"Duplicate target",IF(COUNTIFS(C161:E161,"DUP")+COUNTIFS(J161:L161,"DUP")&gt;0,"Duplicate accepted run",IF(COUNTIFS('Estimates'!$A$5:$A$2004,A161,'Estimates'!$H$5:$H$2004,1)-COUNTIFS('Estimates'!$A$5:$A$2004,A161,'Estimates'!$H$5:$H$2004,1,'Estimates'!$F$5:$F$2004,"&lt;&gt;")&gt;0,"Accepted value missing",""))))</x:f>
      </x:c>
    </x:row>
    <x:row r="162">
      <x:c r="A162" s="21"/>
      <x:c r="B162" s="19"/>
      <x:c r="C162" s="13" t="str">
        <x:f>IF(OR(COUNTA($A162)=0,NOT(ISNUMBER('Status'!$E$5))),"",IF(COUNTIFS('Estimates'!$A$5:$A$2004,$A162,'Estimates'!$B$5:$B$2004,"MPS",'Estimates'!$C$5:$C$2004,'Status'!$E$5,'Estimates'!$H$5:$H$2004,1)=0,"",IF(COUNTIFS('Estimates'!$A$5:$A$2004,$A162,'Estimates'!$B$5:$B$2004,"MPS",'Estimates'!$C$5:$C$2004,'Status'!$E$5,'Estimates'!$H$5:$H$2004,1)&gt;1,"DUP",IF(COUNTIFS('Estimates'!$A$5:$A$2004,$A162,'Estimates'!$B$5:$B$2004,"MPS",'Estimates'!$C$5:$C$2004,'Status'!$E$5,'Estimates'!$H$5:$H$2004,1,'Estimates'!$F$5:$F$2004,"&lt;&gt;")=0,"",SUMIFS('Estimates'!$F$5:$F$2004,'Estimates'!$A$5:$A$2004,$A162,'Estimates'!$B$5:$B$2004,"MPS",'Estimates'!$C$5:$C$2004,'Status'!$E$5,'Estimates'!$H$5:$H$2004,1)))))</x:f>
      </x:c>
      <x:c r="D162" s="13" t="str">
        <x:f>IF(OR(COUNTA($A162)=0,NOT(ISNUMBER('Status'!$F$5))),"",IF(COUNTIFS('Estimates'!$A$5:$A$2004,$A162,'Estimates'!$B$5:$B$2004,"MPS",'Estimates'!$C$5:$C$2004,'Status'!$F$5,'Estimates'!$H$5:$H$2004,1)=0,"",IF(COUNTIFS('Estimates'!$A$5:$A$2004,$A162,'Estimates'!$B$5:$B$2004,"MPS",'Estimates'!$C$5:$C$2004,'Status'!$F$5,'Estimates'!$H$5:$H$2004,1)&gt;1,"DUP",IF(COUNTIFS('Estimates'!$A$5:$A$2004,$A162,'Estimates'!$B$5:$B$2004,"MPS",'Estimates'!$C$5:$C$2004,'Status'!$F$5,'Estimates'!$H$5:$H$2004,1,'Estimates'!$F$5:$F$2004,"&lt;&gt;")=0,"",SUMIFS('Estimates'!$F$5:$F$2004,'Estimates'!$A$5:$A$2004,$A162,'Estimates'!$B$5:$B$2004,"MPS",'Estimates'!$C$5:$C$2004,'Status'!$F$5,'Estimates'!$H$5:$H$2004,1)))))</x:f>
      </x:c>
      <x:c r="E162" s="13" t="str">
        <x:f>IF(OR(COUNTA($A162)=0,NOT(ISNUMBER('Status'!$G$5))),"",IF(COUNTIFS('Estimates'!$A$5:$A$2004,$A162,'Estimates'!$B$5:$B$2004,"MPS",'Estimates'!$C$5:$C$2004,'Status'!$G$5,'Estimates'!$H$5:$H$2004,1)=0,"",IF(COUNTIFS('Estimates'!$A$5:$A$2004,$A162,'Estimates'!$B$5:$B$2004,"MPS",'Estimates'!$C$5:$C$2004,'Status'!$G$5,'Estimates'!$H$5:$H$2004,1)&gt;1,"DUP",IF(COUNTIFS('Estimates'!$A$5:$A$2004,$A162,'Estimates'!$B$5:$B$2004,"MPS",'Estimates'!$C$5:$C$2004,'Status'!$G$5,'Estimates'!$H$5:$H$2004,1,'Estimates'!$F$5:$F$2004,"&lt;&gt;")=0,"",SUMIFS('Estimates'!$F$5:$F$2004,'Estimates'!$A$5:$A$2004,$A162,'Estimates'!$B$5:$B$2004,"MPS",'Estimates'!$C$5:$C$2004,'Status'!$G$5,'Estimates'!$H$5:$H$2004,1)))))</x:f>
      </x:c>
      <x:c r="F162" s="13" t="str">
        <x:f>IF(AND(ISNUMBER(C162),ISNUMBER(D162)),D162-C162,"")</x:f>
      </x:c>
      <x:c r="G162" s="13" t="str">
        <x:f>IF(AND(ISNUMBER(D162),ISNUMBER(E162)),E162-D162,"")</x:f>
      </x:c>
      <x:c r="H162" s="13" t="str">
        <x:f>IF(AND(COUNT(C162:E162)=3,COUNT('Status'!$E$5:$G$5)=3,'Status'!$E$5&gt;0,'Status'!$E$5&lt;'Status'!$F$5,'Status'!$F$5&lt;'Status'!$G$5),ABS(E162-(D162+(D162-C162)*((1/'Status'!$G$5)-(1/'Status'!$F$5))/((1/'Status'!$F$5)-(1/'Status'!$E$5)))),"")</x:f>
      </x:c>
      <x:c r="I162" s="13" t="str">
        <x:f>IF(AND(COUNT(C162:E162)=3,COUNT('Status'!$E$5:$G$5)=3,'Status'!$E$5&gt;0,'Status'!$E$5&lt;'Status'!$F$5,'Status'!$F$5&lt;'Status'!$G$5),((1/'Status'!$F$5)*E162-(1/'Status'!$G$5)*D162)/((1/'Status'!$F$5)-(1/'Status'!$G$5)),"")</x:f>
      </x:c>
      <x:c r="J162" s="13" t="str">
        <x:f>IF(OR(COUNTA($A162)=0,NOT(ISNUMBER('Status'!$E$6))),"",IF(COUNTIFS('Estimates'!$A$5:$A$2004,$A162,'Estimates'!$B$5:$B$2004,"PPS",'Estimates'!$D$5:$D$2004,'Status'!$E$6,'Estimates'!$H$5:$H$2004,1,'Estimates'!$E$5:$E$2004,'Status'!$E$7)=0,"",IF(COUNTIFS('Estimates'!$A$5:$A$2004,$A162,'Estimates'!$B$5:$B$2004,"PPS",'Estimates'!$D$5:$D$2004,'Status'!$E$6,'Estimates'!$H$5:$H$2004,1,'Estimates'!$E$5:$E$2004,'Status'!$E$7)&gt;1,"DUP",IF(COUNTIFS('Estimates'!$A$5:$A$2004,$A162,'Estimates'!$B$5:$B$2004,"PPS",'Estimates'!$D$5:$D$2004,'Status'!$E$6,'Estimates'!$H$5:$H$2004,1,'Estimates'!$E$5:$E$2004,'Status'!$E$7,'Estimates'!$F$5:$F$2004,"&lt;&gt;")=0,"",SUMIFS('Estimates'!$F$5:$F$2004,'Estimates'!$A$5:$A$2004,$A162,'Estimates'!$B$5:$B$2004,"PPS",'Estimates'!$D$5:$D$2004,'Status'!$E$6,'Estimates'!$H$5:$H$2004,1,'Estimates'!$E$5:$E$2004,'Status'!$E$7)))))</x:f>
      </x:c>
      <x:c r="K162" s="13" t="str">
        <x:f>IF(OR(COUNTA($A162)=0,NOT(ISNUMBER('Status'!$F$6))),"",IF(COUNTIFS('Estimates'!$A$5:$A$2004,$A162,'Estimates'!$B$5:$B$2004,"PPS",'Estimates'!$D$5:$D$2004,'Status'!$F$6,'Estimates'!$H$5:$H$2004,1,'Estimates'!$E$5:$E$2004,'Status'!$E$7)=0,"",IF(COUNTIFS('Estimates'!$A$5:$A$2004,$A162,'Estimates'!$B$5:$B$2004,"PPS",'Estimates'!$D$5:$D$2004,'Status'!$F$6,'Estimates'!$H$5:$H$2004,1,'Estimates'!$E$5:$E$2004,'Status'!$E$7)&gt;1,"DUP",IF(COUNTIFS('Estimates'!$A$5:$A$2004,$A162,'Estimates'!$B$5:$B$2004,"PPS",'Estimates'!$D$5:$D$2004,'Status'!$F$6,'Estimates'!$H$5:$H$2004,1,'Estimates'!$E$5:$E$2004,'Status'!$E$7,'Estimates'!$F$5:$F$2004,"&lt;&gt;")=0,"",SUMIFS('Estimates'!$F$5:$F$2004,'Estimates'!$A$5:$A$2004,$A162,'Estimates'!$B$5:$B$2004,"PPS",'Estimates'!$D$5:$D$2004,'Status'!$F$6,'Estimates'!$H$5:$H$2004,1,'Estimates'!$E$5:$E$2004,'Status'!$E$7)))))</x:f>
      </x:c>
      <x:c r="L162" s="13" t="str">
        <x:f>IF(OR(COUNTA($A162)=0,NOT(ISNUMBER('Status'!$G$6))),"",IF(COUNTIFS('Estimates'!$A$5:$A$2004,$A162,'Estimates'!$B$5:$B$2004,"PPS",'Estimates'!$D$5:$D$2004,'Status'!$G$6,'Estimates'!$H$5:$H$2004,1,'Estimates'!$E$5:$E$2004,'Status'!$E$7)=0,"",IF(COUNTIFS('Estimates'!$A$5:$A$2004,$A162,'Estimates'!$B$5:$B$2004,"PPS",'Estimates'!$D$5:$D$2004,'Status'!$G$6,'Estimates'!$H$5:$H$2004,1,'Estimates'!$E$5:$E$2004,'Status'!$E$7)&gt;1,"DUP",IF(COUNTIFS('Estimates'!$A$5:$A$2004,$A162,'Estimates'!$B$5:$B$2004,"PPS",'Estimates'!$D$5:$D$2004,'Status'!$G$6,'Estimates'!$H$5:$H$2004,1,'Estimates'!$E$5:$E$2004,'Status'!$E$7,'Estimates'!$F$5:$F$2004,"&lt;&gt;")=0,"",SUMIFS('Estimates'!$F$5:$F$2004,'Estimates'!$A$5:$A$2004,$A162,'Estimates'!$B$5:$B$2004,"PPS",'Estimates'!$D$5:$D$2004,'Status'!$G$6,'Estimates'!$H$5:$H$2004,1,'Estimates'!$E$5:$E$2004,'Status'!$E$7)))))</x:f>
      </x:c>
      <x:c r="M162" s="13" t="str">
        <x:f>IF(AND(ISNUMBER(J162),ISNUMBER(K162)),K162-J162,"")</x:f>
      </x:c>
      <x:c r="N162" s="13" t="str">
        <x:f>IF(AND(ISNUMBER(K162),ISNUMBER(L162)),L162-K162,"")</x:f>
      </x:c>
      <x:c r="O162" s="13" t="str">
        <x:f>IF(AND(COUNT(J162:L162)=3,COUNT('Status'!$E$6:$G$6)=3,'Status'!$E$6&gt;'Status'!$F$6,'Status'!$F$6&gt;'Status'!$G$6,'Status'!$G$6&gt;0),ABS(L162-(K162+(K162-J162)*('Status'!$G$6-'Status'!$F$6)/('Status'!$F$6-'Status'!$E$6))),"")</x:f>
      </x:c>
      <x:c r="P162" s="13" t="str">
        <x:f>IF(AND(COUNT(J162:L162)=3,COUNT('Status'!$E$6:$G$6)=3,'Status'!$E$6&gt;'Status'!$F$6,'Status'!$F$6&gt;'Status'!$G$6,'Status'!$G$6&gt;0),('Status'!$F$6*L162-'Status'!$G$6*K162)/('Status'!$F$6-'Status'!$G$6),"")</x:f>
      </x:c>
      <x:c r="Q162" s="20"/>
      <x:c r="R162" s="13" t="str">
        <x:f>IF(COUNTA($A162)=0,"",IF('Status'!$B$6="MPS 1",IF(ISNUMBER(C162),C162,""),IF('Status'!$B$6="MPS 2",IF(ISNUMBER(D162),D162,""),IF('Status'!$B$6="MPS 3",IF(ISNUMBER(E162),E162,""),IF('Status'!$B$6="MPS extrap",IF(ISNUMBER(I162),I162,""),IF('Status'!$B$6="PPS 1",IF(ISNUMBER(J162),J162,""),IF('Status'!$B$6="PPS 2",IF(ISNUMBER(K162),K162,""),IF('Status'!$B$6="PPS 3",IF(ISNUMBER(L162),L162,""),IF('Status'!$B$6="PPS extrap",IF(ISNUMBER(P162),P162,""),IF('Status'!$B$6="Calibrated",IF(ISNUMBER(Q162),Q162,""),""))))))))))</x:f>
      </x:c>
      <x:c r="S162" s="2" t="str">
        <x:f>IF(COUNTA(A162)=0,"",IF(COUNTIFS('Estimates'!$A$5:$A$2004,A162,'Estimates'!$B$5:$B$2004,"MPS",'Estimates'!$H$5:$H$2004,1)+COUNTIFS('Estimates'!$A$5:$A$2004,A162,'Estimates'!$B$5:$B$2004,"PPS",'Estimates'!$H$5:$H$2004,1)&gt;0,1,0))</x:f>
      </x:c>
      <x:c r="T162" s="2" t="str">
        <x:f>IF(COUNTA(A162)=0,"",IF(COUNTIFS($A$6:$A$165,A162)&gt;1,"Duplicate target",IF(COUNTIFS(C162:E162,"DUP")+COUNTIFS(J162:L162,"DUP")&gt;0,"Duplicate accepted run",IF(COUNTIFS('Estimates'!$A$5:$A$2004,A162,'Estimates'!$H$5:$H$2004,1)-COUNTIFS('Estimates'!$A$5:$A$2004,A162,'Estimates'!$H$5:$H$2004,1,'Estimates'!$F$5:$F$2004,"&lt;&gt;")&gt;0,"Accepted value missing",""))))</x:f>
      </x:c>
    </x:row>
    <x:row r="163">
      <x:c r="A163" s="21"/>
      <x:c r="B163" s="19"/>
      <x:c r="C163" s="13" t="str">
        <x:f>IF(OR(COUNTA($A163)=0,NOT(ISNUMBER('Status'!$E$5))),"",IF(COUNTIFS('Estimates'!$A$5:$A$2004,$A163,'Estimates'!$B$5:$B$2004,"MPS",'Estimates'!$C$5:$C$2004,'Status'!$E$5,'Estimates'!$H$5:$H$2004,1)=0,"",IF(COUNTIFS('Estimates'!$A$5:$A$2004,$A163,'Estimates'!$B$5:$B$2004,"MPS",'Estimates'!$C$5:$C$2004,'Status'!$E$5,'Estimates'!$H$5:$H$2004,1)&gt;1,"DUP",IF(COUNTIFS('Estimates'!$A$5:$A$2004,$A163,'Estimates'!$B$5:$B$2004,"MPS",'Estimates'!$C$5:$C$2004,'Status'!$E$5,'Estimates'!$H$5:$H$2004,1,'Estimates'!$F$5:$F$2004,"&lt;&gt;")=0,"",SUMIFS('Estimates'!$F$5:$F$2004,'Estimates'!$A$5:$A$2004,$A163,'Estimates'!$B$5:$B$2004,"MPS",'Estimates'!$C$5:$C$2004,'Status'!$E$5,'Estimates'!$H$5:$H$2004,1)))))</x:f>
      </x:c>
      <x:c r="D163" s="13" t="str">
        <x:f>IF(OR(COUNTA($A163)=0,NOT(ISNUMBER('Status'!$F$5))),"",IF(COUNTIFS('Estimates'!$A$5:$A$2004,$A163,'Estimates'!$B$5:$B$2004,"MPS",'Estimates'!$C$5:$C$2004,'Status'!$F$5,'Estimates'!$H$5:$H$2004,1)=0,"",IF(COUNTIFS('Estimates'!$A$5:$A$2004,$A163,'Estimates'!$B$5:$B$2004,"MPS",'Estimates'!$C$5:$C$2004,'Status'!$F$5,'Estimates'!$H$5:$H$2004,1)&gt;1,"DUP",IF(COUNTIFS('Estimates'!$A$5:$A$2004,$A163,'Estimates'!$B$5:$B$2004,"MPS",'Estimates'!$C$5:$C$2004,'Status'!$F$5,'Estimates'!$H$5:$H$2004,1,'Estimates'!$F$5:$F$2004,"&lt;&gt;")=0,"",SUMIFS('Estimates'!$F$5:$F$2004,'Estimates'!$A$5:$A$2004,$A163,'Estimates'!$B$5:$B$2004,"MPS",'Estimates'!$C$5:$C$2004,'Status'!$F$5,'Estimates'!$H$5:$H$2004,1)))))</x:f>
      </x:c>
      <x:c r="E163" s="13" t="str">
        <x:f>IF(OR(COUNTA($A163)=0,NOT(ISNUMBER('Status'!$G$5))),"",IF(COUNTIFS('Estimates'!$A$5:$A$2004,$A163,'Estimates'!$B$5:$B$2004,"MPS",'Estimates'!$C$5:$C$2004,'Status'!$G$5,'Estimates'!$H$5:$H$2004,1)=0,"",IF(COUNTIFS('Estimates'!$A$5:$A$2004,$A163,'Estimates'!$B$5:$B$2004,"MPS",'Estimates'!$C$5:$C$2004,'Status'!$G$5,'Estimates'!$H$5:$H$2004,1)&gt;1,"DUP",IF(COUNTIFS('Estimates'!$A$5:$A$2004,$A163,'Estimates'!$B$5:$B$2004,"MPS",'Estimates'!$C$5:$C$2004,'Status'!$G$5,'Estimates'!$H$5:$H$2004,1,'Estimates'!$F$5:$F$2004,"&lt;&gt;")=0,"",SUMIFS('Estimates'!$F$5:$F$2004,'Estimates'!$A$5:$A$2004,$A163,'Estimates'!$B$5:$B$2004,"MPS",'Estimates'!$C$5:$C$2004,'Status'!$G$5,'Estimates'!$H$5:$H$2004,1)))))</x:f>
      </x:c>
      <x:c r="F163" s="13" t="str">
        <x:f>IF(AND(ISNUMBER(C163),ISNUMBER(D163)),D163-C163,"")</x:f>
      </x:c>
      <x:c r="G163" s="13" t="str">
        <x:f>IF(AND(ISNUMBER(D163),ISNUMBER(E163)),E163-D163,"")</x:f>
      </x:c>
      <x:c r="H163" s="13" t="str">
        <x:f>IF(AND(COUNT(C163:E163)=3,COUNT('Status'!$E$5:$G$5)=3,'Status'!$E$5&gt;0,'Status'!$E$5&lt;'Status'!$F$5,'Status'!$F$5&lt;'Status'!$G$5),ABS(E163-(D163+(D163-C163)*((1/'Status'!$G$5)-(1/'Status'!$F$5))/((1/'Status'!$F$5)-(1/'Status'!$E$5)))),"")</x:f>
      </x:c>
      <x:c r="I163" s="13" t="str">
        <x:f>IF(AND(COUNT(C163:E163)=3,COUNT('Status'!$E$5:$G$5)=3,'Status'!$E$5&gt;0,'Status'!$E$5&lt;'Status'!$F$5,'Status'!$F$5&lt;'Status'!$G$5),((1/'Status'!$F$5)*E163-(1/'Status'!$G$5)*D163)/((1/'Status'!$F$5)-(1/'Status'!$G$5)),"")</x:f>
      </x:c>
      <x:c r="J163" s="13" t="str">
        <x:f>IF(OR(COUNTA($A163)=0,NOT(ISNUMBER('Status'!$E$6))),"",IF(COUNTIFS('Estimates'!$A$5:$A$2004,$A163,'Estimates'!$B$5:$B$2004,"PPS",'Estimates'!$D$5:$D$2004,'Status'!$E$6,'Estimates'!$H$5:$H$2004,1,'Estimates'!$E$5:$E$2004,'Status'!$E$7)=0,"",IF(COUNTIFS('Estimates'!$A$5:$A$2004,$A163,'Estimates'!$B$5:$B$2004,"PPS",'Estimates'!$D$5:$D$2004,'Status'!$E$6,'Estimates'!$H$5:$H$2004,1,'Estimates'!$E$5:$E$2004,'Status'!$E$7)&gt;1,"DUP",IF(COUNTIFS('Estimates'!$A$5:$A$2004,$A163,'Estimates'!$B$5:$B$2004,"PPS",'Estimates'!$D$5:$D$2004,'Status'!$E$6,'Estimates'!$H$5:$H$2004,1,'Estimates'!$E$5:$E$2004,'Status'!$E$7,'Estimates'!$F$5:$F$2004,"&lt;&gt;")=0,"",SUMIFS('Estimates'!$F$5:$F$2004,'Estimates'!$A$5:$A$2004,$A163,'Estimates'!$B$5:$B$2004,"PPS",'Estimates'!$D$5:$D$2004,'Status'!$E$6,'Estimates'!$H$5:$H$2004,1,'Estimates'!$E$5:$E$2004,'Status'!$E$7)))))</x:f>
      </x:c>
      <x:c r="K163" s="13" t="str">
        <x:f>IF(OR(COUNTA($A163)=0,NOT(ISNUMBER('Status'!$F$6))),"",IF(COUNTIFS('Estimates'!$A$5:$A$2004,$A163,'Estimates'!$B$5:$B$2004,"PPS",'Estimates'!$D$5:$D$2004,'Status'!$F$6,'Estimates'!$H$5:$H$2004,1,'Estimates'!$E$5:$E$2004,'Status'!$E$7)=0,"",IF(COUNTIFS('Estimates'!$A$5:$A$2004,$A163,'Estimates'!$B$5:$B$2004,"PPS",'Estimates'!$D$5:$D$2004,'Status'!$F$6,'Estimates'!$H$5:$H$2004,1,'Estimates'!$E$5:$E$2004,'Status'!$E$7)&gt;1,"DUP",IF(COUNTIFS('Estimates'!$A$5:$A$2004,$A163,'Estimates'!$B$5:$B$2004,"PPS",'Estimates'!$D$5:$D$2004,'Status'!$F$6,'Estimates'!$H$5:$H$2004,1,'Estimates'!$E$5:$E$2004,'Status'!$E$7,'Estimates'!$F$5:$F$2004,"&lt;&gt;")=0,"",SUMIFS('Estimates'!$F$5:$F$2004,'Estimates'!$A$5:$A$2004,$A163,'Estimates'!$B$5:$B$2004,"PPS",'Estimates'!$D$5:$D$2004,'Status'!$F$6,'Estimates'!$H$5:$H$2004,1,'Estimates'!$E$5:$E$2004,'Status'!$E$7)))))</x:f>
      </x:c>
      <x:c r="L163" s="13" t="str">
        <x:f>IF(OR(COUNTA($A163)=0,NOT(ISNUMBER('Status'!$G$6))),"",IF(COUNTIFS('Estimates'!$A$5:$A$2004,$A163,'Estimates'!$B$5:$B$2004,"PPS",'Estimates'!$D$5:$D$2004,'Status'!$G$6,'Estimates'!$H$5:$H$2004,1,'Estimates'!$E$5:$E$2004,'Status'!$E$7)=0,"",IF(COUNTIFS('Estimates'!$A$5:$A$2004,$A163,'Estimates'!$B$5:$B$2004,"PPS",'Estimates'!$D$5:$D$2004,'Status'!$G$6,'Estimates'!$H$5:$H$2004,1,'Estimates'!$E$5:$E$2004,'Status'!$E$7)&gt;1,"DUP",IF(COUNTIFS('Estimates'!$A$5:$A$2004,$A163,'Estimates'!$B$5:$B$2004,"PPS",'Estimates'!$D$5:$D$2004,'Status'!$G$6,'Estimates'!$H$5:$H$2004,1,'Estimates'!$E$5:$E$2004,'Status'!$E$7,'Estimates'!$F$5:$F$2004,"&lt;&gt;")=0,"",SUMIFS('Estimates'!$F$5:$F$2004,'Estimates'!$A$5:$A$2004,$A163,'Estimates'!$B$5:$B$2004,"PPS",'Estimates'!$D$5:$D$2004,'Status'!$G$6,'Estimates'!$H$5:$H$2004,1,'Estimates'!$E$5:$E$2004,'Status'!$E$7)))))</x:f>
      </x:c>
      <x:c r="M163" s="13" t="str">
        <x:f>IF(AND(ISNUMBER(J163),ISNUMBER(K163)),K163-J163,"")</x:f>
      </x:c>
      <x:c r="N163" s="13" t="str">
        <x:f>IF(AND(ISNUMBER(K163),ISNUMBER(L163)),L163-K163,"")</x:f>
      </x:c>
      <x:c r="O163" s="13" t="str">
        <x:f>IF(AND(COUNT(J163:L163)=3,COUNT('Status'!$E$6:$G$6)=3,'Status'!$E$6&gt;'Status'!$F$6,'Status'!$F$6&gt;'Status'!$G$6,'Status'!$G$6&gt;0),ABS(L163-(K163+(K163-J163)*('Status'!$G$6-'Status'!$F$6)/('Status'!$F$6-'Status'!$E$6))),"")</x:f>
      </x:c>
      <x:c r="P163" s="13" t="str">
        <x:f>IF(AND(COUNT(J163:L163)=3,COUNT('Status'!$E$6:$G$6)=3,'Status'!$E$6&gt;'Status'!$F$6,'Status'!$F$6&gt;'Status'!$G$6,'Status'!$G$6&gt;0),('Status'!$F$6*L163-'Status'!$G$6*K163)/('Status'!$F$6-'Status'!$G$6),"")</x:f>
      </x:c>
      <x:c r="Q163" s="20"/>
      <x:c r="R163" s="13" t="str">
        <x:f>IF(COUNTA($A163)=0,"",IF('Status'!$B$6="MPS 1",IF(ISNUMBER(C163),C163,""),IF('Status'!$B$6="MPS 2",IF(ISNUMBER(D163),D163,""),IF('Status'!$B$6="MPS 3",IF(ISNUMBER(E163),E163,""),IF('Status'!$B$6="MPS extrap",IF(ISNUMBER(I163),I163,""),IF('Status'!$B$6="PPS 1",IF(ISNUMBER(J163),J163,""),IF('Status'!$B$6="PPS 2",IF(ISNUMBER(K163),K163,""),IF('Status'!$B$6="PPS 3",IF(ISNUMBER(L163),L163,""),IF('Status'!$B$6="PPS extrap",IF(ISNUMBER(P163),P163,""),IF('Status'!$B$6="Calibrated",IF(ISNUMBER(Q163),Q163,""),""))))))))))</x:f>
      </x:c>
      <x:c r="S163" s="2" t="str">
        <x:f>IF(COUNTA(A163)=0,"",IF(COUNTIFS('Estimates'!$A$5:$A$2004,A163,'Estimates'!$B$5:$B$2004,"MPS",'Estimates'!$H$5:$H$2004,1)+COUNTIFS('Estimates'!$A$5:$A$2004,A163,'Estimates'!$B$5:$B$2004,"PPS",'Estimates'!$H$5:$H$2004,1)&gt;0,1,0))</x:f>
      </x:c>
      <x:c r="T163" s="2" t="str">
        <x:f>IF(COUNTA(A163)=0,"",IF(COUNTIFS($A$6:$A$165,A163)&gt;1,"Duplicate target",IF(COUNTIFS(C163:E163,"DUP")+COUNTIFS(J163:L163,"DUP")&gt;0,"Duplicate accepted run",IF(COUNTIFS('Estimates'!$A$5:$A$2004,A163,'Estimates'!$H$5:$H$2004,1)-COUNTIFS('Estimates'!$A$5:$A$2004,A163,'Estimates'!$H$5:$H$2004,1,'Estimates'!$F$5:$F$2004,"&lt;&gt;")&gt;0,"Accepted value missing",""))))</x:f>
      </x:c>
    </x:row>
    <x:row r="164">
      <x:c r="A164" s="21"/>
      <x:c r="B164" s="19"/>
      <x:c r="C164" s="13" t="str">
        <x:f>IF(OR(COUNTA($A164)=0,NOT(ISNUMBER('Status'!$E$5))),"",IF(COUNTIFS('Estimates'!$A$5:$A$2004,$A164,'Estimates'!$B$5:$B$2004,"MPS",'Estimates'!$C$5:$C$2004,'Status'!$E$5,'Estimates'!$H$5:$H$2004,1)=0,"",IF(COUNTIFS('Estimates'!$A$5:$A$2004,$A164,'Estimates'!$B$5:$B$2004,"MPS",'Estimates'!$C$5:$C$2004,'Status'!$E$5,'Estimates'!$H$5:$H$2004,1)&gt;1,"DUP",IF(COUNTIFS('Estimates'!$A$5:$A$2004,$A164,'Estimates'!$B$5:$B$2004,"MPS",'Estimates'!$C$5:$C$2004,'Status'!$E$5,'Estimates'!$H$5:$H$2004,1,'Estimates'!$F$5:$F$2004,"&lt;&gt;")=0,"",SUMIFS('Estimates'!$F$5:$F$2004,'Estimates'!$A$5:$A$2004,$A164,'Estimates'!$B$5:$B$2004,"MPS",'Estimates'!$C$5:$C$2004,'Status'!$E$5,'Estimates'!$H$5:$H$2004,1)))))</x:f>
      </x:c>
      <x:c r="D164" s="13" t="str">
        <x:f>IF(OR(COUNTA($A164)=0,NOT(ISNUMBER('Status'!$F$5))),"",IF(COUNTIFS('Estimates'!$A$5:$A$2004,$A164,'Estimates'!$B$5:$B$2004,"MPS",'Estimates'!$C$5:$C$2004,'Status'!$F$5,'Estimates'!$H$5:$H$2004,1)=0,"",IF(COUNTIFS('Estimates'!$A$5:$A$2004,$A164,'Estimates'!$B$5:$B$2004,"MPS",'Estimates'!$C$5:$C$2004,'Status'!$F$5,'Estimates'!$H$5:$H$2004,1)&gt;1,"DUP",IF(COUNTIFS('Estimates'!$A$5:$A$2004,$A164,'Estimates'!$B$5:$B$2004,"MPS",'Estimates'!$C$5:$C$2004,'Status'!$F$5,'Estimates'!$H$5:$H$2004,1,'Estimates'!$F$5:$F$2004,"&lt;&gt;")=0,"",SUMIFS('Estimates'!$F$5:$F$2004,'Estimates'!$A$5:$A$2004,$A164,'Estimates'!$B$5:$B$2004,"MPS",'Estimates'!$C$5:$C$2004,'Status'!$F$5,'Estimates'!$H$5:$H$2004,1)))))</x:f>
      </x:c>
      <x:c r="E164" s="13" t="str">
        <x:f>IF(OR(COUNTA($A164)=0,NOT(ISNUMBER('Status'!$G$5))),"",IF(COUNTIFS('Estimates'!$A$5:$A$2004,$A164,'Estimates'!$B$5:$B$2004,"MPS",'Estimates'!$C$5:$C$2004,'Status'!$G$5,'Estimates'!$H$5:$H$2004,1)=0,"",IF(COUNTIFS('Estimates'!$A$5:$A$2004,$A164,'Estimates'!$B$5:$B$2004,"MPS",'Estimates'!$C$5:$C$2004,'Status'!$G$5,'Estimates'!$H$5:$H$2004,1)&gt;1,"DUP",IF(COUNTIFS('Estimates'!$A$5:$A$2004,$A164,'Estimates'!$B$5:$B$2004,"MPS",'Estimates'!$C$5:$C$2004,'Status'!$G$5,'Estimates'!$H$5:$H$2004,1,'Estimates'!$F$5:$F$2004,"&lt;&gt;")=0,"",SUMIFS('Estimates'!$F$5:$F$2004,'Estimates'!$A$5:$A$2004,$A164,'Estimates'!$B$5:$B$2004,"MPS",'Estimates'!$C$5:$C$2004,'Status'!$G$5,'Estimates'!$H$5:$H$2004,1)))))</x:f>
      </x:c>
      <x:c r="F164" s="13" t="str">
        <x:f>IF(AND(ISNUMBER(C164),ISNUMBER(D164)),D164-C164,"")</x:f>
      </x:c>
      <x:c r="G164" s="13" t="str">
        <x:f>IF(AND(ISNUMBER(D164),ISNUMBER(E164)),E164-D164,"")</x:f>
      </x:c>
      <x:c r="H164" s="13" t="str">
        <x:f>IF(AND(COUNT(C164:E164)=3,COUNT('Status'!$E$5:$G$5)=3,'Status'!$E$5&gt;0,'Status'!$E$5&lt;'Status'!$F$5,'Status'!$F$5&lt;'Status'!$G$5),ABS(E164-(D164+(D164-C164)*((1/'Status'!$G$5)-(1/'Status'!$F$5))/((1/'Status'!$F$5)-(1/'Status'!$E$5)))),"")</x:f>
      </x:c>
      <x:c r="I164" s="13" t="str">
        <x:f>IF(AND(COUNT(C164:E164)=3,COUNT('Status'!$E$5:$G$5)=3,'Status'!$E$5&gt;0,'Status'!$E$5&lt;'Status'!$F$5,'Status'!$F$5&lt;'Status'!$G$5),((1/'Status'!$F$5)*E164-(1/'Status'!$G$5)*D164)/((1/'Status'!$F$5)-(1/'Status'!$G$5)),"")</x:f>
      </x:c>
      <x:c r="J164" s="13" t="str">
        <x:f>IF(OR(COUNTA($A164)=0,NOT(ISNUMBER('Status'!$E$6))),"",IF(COUNTIFS('Estimates'!$A$5:$A$2004,$A164,'Estimates'!$B$5:$B$2004,"PPS",'Estimates'!$D$5:$D$2004,'Status'!$E$6,'Estimates'!$H$5:$H$2004,1,'Estimates'!$E$5:$E$2004,'Status'!$E$7)=0,"",IF(COUNTIFS('Estimates'!$A$5:$A$2004,$A164,'Estimates'!$B$5:$B$2004,"PPS",'Estimates'!$D$5:$D$2004,'Status'!$E$6,'Estimates'!$H$5:$H$2004,1,'Estimates'!$E$5:$E$2004,'Status'!$E$7)&gt;1,"DUP",IF(COUNTIFS('Estimates'!$A$5:$A$2004,$A164,'Estimates'!$B$5:$B$2004,"PPS",'Estimates'!$D$5:$D$2004,'Status'!$E$6,'Estimates'!$H$5:$H$2004,1,'Estimates'!$E$5:$E$2004,'Status'!$E$7,'Estimates'!$F$5:$F$2004,"&lt;&gt;")=0,"",SUMIFS('Estimates'!$F$5:$F$2004,'Estimates'!$A$5:$A$2004,$A164,'Estimates'!$B$5:$B$2004,"PPS",'Estimates'!$D$5:$D$2004,'Status'!$E$6,'Estimates'!$H$5:$H$2004,1,'Estimates'!$E$5:$E$2004,'Status'!$E$7)))))</x:f>
      </x:c>
      <x:c r="K164" s="13" t="str">
        <x:f>IF(OR(COUNTA($A164)=0,NOT(ISNUMBER('Status'!$F$6))),"",IF(COUNTIFS('Estimates'!$A$5:$A$2004,$A164,'Estimates'!$B$5:$B$2004,"PPS",'Estimates'!$D$5:$D$2004,'Status'!$F$6,'Estimates'!$H$5:$H$2004,1,'Estimates'!$E$5:$E$2004,'Status'!$E$7)=0,"",IF(COUNTIFS('Estimates'!$A$5:$A$2004,$A164,'Estimates'!$B$5:$B$2004,"PPS",'Estimates'!$D$5:$D$2004,'Status'!$F$6,'Estimates'!$H$5:$H$2004,1,'Estimates'!$E$5:$E$2004,'Status'!$E$7)&gt;1,"DUP",IF(COUNTIFS('Estimates'!$A$5:$A$2004,$A164,'Estimates'!$B$5:$B$2004,"PPS",'Estimates'!$D$5:$D$2004,'Status'!$F$6,'Estimates'!$H$5:$H$2004,1,'Estimates'!$E$5:$E$2004,'Status'!$E$7,'Estimates'!$F$5:$F$2004,"&lt;&gt;")=0,"",SUMIFS('Estimates'!$F$5:$F$2004,'Estimates'!$A$5:$A$2004,$A164,'Estimates'!$B$5:$B$2004,"PPS",'Estimates'!$D$5:$D$2004,'Status'!$F$6,'Estimates'!$H$5:$H$2004,1,'Estimates'!$E$5:$E$2004,'Status'!$E$7)))))</x:f>
      </x:c>
      <x:c r="L164" s="13" t="str">
        <x:f>IF(OR(COUNTA($A164)=0,NOT(ISNUMBER('Status'!$G$6))),"",IF(COUNTIFS('Estimates'!$A$5:$A$2004,$A164,'Estimates'!$B$5:$B$2004,"PPS",'Estimates'!$D$5:$D$2004,'Status'!$G$6,'Estimates'!$H$5:$H$2004,1,'Estimates'!$E$5:$E$2004,'Status'!$E$7)=0,"",IF(COUNTIFS('Estimates'!$A$5:$A$2004,$A164,'Estimates'!$B$5:$B$2004,"PPS",'Estimates'!$D$5:$D$2004,'Status'!$G$6,'Estimates'!$H$5:$H$2004,1,'Estimates'!$E$5:$E$2004,'Status'!$E$7)&gt;1,"DUP",IF(COUNTIFS('Estimates'!$A$5:$A$2004,$A164,'Estimates'!$B$5:$B$2004,"PPS",'Estimates'!$D$5:$D$2004,'Status'!$G$6,'Estimates'!$H$5:$H$2004,1,'Estimates'!$E$5:$E$2004,'Status'!$E$7,'Estimates'!$F$5:$F$2004,"&lt;&gt;")=0,"",SUMIFS('Estimates'!$F$5:$F$2004,'Estimates'!$A$5:$A$2004,$A164,'Estimates'!$B$5:$B$2004,"PPS",'Estimates'!$D$5:$D$2004,'Status'!$G$6,'Estimates'!$H$5:$H$2004,1,'Estimates'!$E$5:$E$2004,'Status'!$E$7)))))</x:f>
      </x:c>
      <x:c r="M164" s="13" t="str">
        <x:f>IF(AND(ISNUMBER(J164),ISNUMBER(K164)),K164-J164,"")</x:f>
      </x:c>
      <x:c r="N164" s="13" t="str">
        <x:f>IF(AND(ISNUMBER(K164),ISNUMBER(L164)),L164-K164,"")</x:f>
      </x:c>
      <x:c r="O164" s="13" t="str">
        <x:f>IF(AND(COUNT(J164:L164)=3,COUNT('Status'!$E$6:$G$6)=3,'Status'!$E$6&gt;'Status'!$F$6,'Status'!$F$6&gt;'Status'!$G$6,'Status'!$G$6&gt;0),ABS(L164-(K164+(K164-J164)*('Status'!$G$6-'Status'!$F$6)/('Status'!$F$6-'Status'!$E$6))),"")</x:f>
      </x:c>
      <x:c r="P164" s="13" t="str">
        <x:f>IF(AND(COUNT(J164:L164)=3,COUNT('Status'!$E$6:$G$6)=3,'Status'!$E$6&gt;'Status'!$F$6,'Status'!$F$6&gt;'Status'!$G$6,'Status'!$G$6&gt;0),('Status'!$F$6*L164-'Status'!$G$6*K164)/('Status'!$F$6-'Status'!$G$6),"")</x:f>
      </x:c>
      <x:c r="Q164" s="20"/>
      <x:c r="R164" s="13" t="str">
        <x:f>IF(COUNTA($A164)=0,"",IF('Status'!$B$6="MPS 1",IF(ISNUMBER(C164),C164,""),IF('Status'!$B$6="MPS 2",IF(ISNUMBER(D164),D164,""),IF('Status'!$B$6="MPS 3",IF(ISNUMBER(E164),E164,""),IF('Status'!$B$6="MPS extrap",IF(ISNUMBER(I164),I164,""),IF('Status'!$B$6="PPS 1",IF(ISNUMBER(J164),J164,""),IF('Status'!$B$6="PPS 2",IF(ISNUMBER(K164),K164,""),IF('Status'!$B$6="PPS 3",IF(ISNUMBER(L164),L164,""),IF('Status'!$B$6="PPS extrap",IF(ISNUMBER(P164),P164,""),IF('Status'!$B$6="Calibrated",IF(ISNUMBER(Q164),Q164,""),""))))))))))</x:f>
      </x:c>
      <x:c r="S164" s="2" t="str">
        <x:f>IF(COUNTA(A164)=0,"",IF(COUNTIFS('Estimates'!$A$5:$A$2004,A164,'Estimates'!$B$5:$B$2004,"MPS",'Estimates'!$H$5:$H$2004,1)+COUNTIFS('Estimates'!$A$5:$A$2004,A164,'Estimates'!$B$5:$B$2004,"PPS",'Estimates'!$H$5:$H$2004,1)&gt;0,1,0))</x:f>
      </x:c>
      <x:c r="T164" s="2" t="str">
        <x:f>IF(COUNTA(A164)=0,"",IF(COUNTIFS($A$6:$A$165,A164)&gt;1,"Duplicate target",IF(COUNTIFS(C164:E164,"DUP")+COUNTIFS(J164:L164,"DUP")&gt;0,"Duplicate accepted run",IF(COUNTIFS('Estimates'!$A$5:$A$2004,A164,'Estimates'!$H$5:$H$2004,1)-COUNTIFS('Estimates'!$A$5:$A$2004,A164,'Estimates'!$H$5:$H$2004,1,'Estimates'!$F$5:$F$2004,"&lt;&gt;")&gt;0,"Accepted value missing",""))))</x:f>
      </x:c>
    </x:row>
    <x:row r="165">
      <x:c r="A165" s="21"/>
      <x:c r="B165" s="19"/>
      <x:c r="C165" s="13" t="str">
        <x:f>IF(OR(COUNTA($A165)=0,NOT(ISNUMBER('Status'!$E$5))),"",IF(COUNTIFS('Estimates'!$A$5:$A$2004,$A165,'Estimates'!$B$5:$B$2004,"MPS",'Estimates'!$C$5:$C$2004,'Status'!$E$5,'Estimates'!$H$5:$H$2004,1)=0,"",IF(COUNTIFS('Estimates'!$A$5:$A$2004,$A165,'Estimates'!$B$5:$B$2004,"MPS",'Estimates'!$C$5:$C$2004,'Status'!$E$5,'Estimates'!$H$5:$H$2004,1)&gt;1,"DUP",IF(COUNTIFS('Estimates'!$A$5:$A$2004,$A165,'Estimates'!$B$5:$B$2004,"MPS",'Estimates'!$C$5:$C$2004,'Status'!$E$5,'Estimates'!$H$5:$H$2004,1,'Estimates'!$F$5:$F$2004,"&lt;&gt;")=0,"",SUMIFS('Estimates'!$F$5:$F$2004,'Estimates'!$A$5:$A$2004,$A165,'Estimates'!$B$5:$B$2004,"MPS",'Estimates'!$C$5:$C$2004,'Status'!$E$5,'Estimates'!$H$5:$H$2004,1)))))</x:f>
      </x:c>
      <x:c r="D165" s="13" t="str">
        <x:f>IF(OR(COUNTA($A165)=0,NOT(ISNUMBER('Status'!$F$5))),"",IF(COUNTIFS('Estimates'!$A$5:$A$2004,$A165,'Estimates'!$B$5:$B$2004,"MPS",'Estimates'!$C$5:$C$2004,'Status'!$F$5,'Estimates'!$H$5:$H$2004,1)=0,"",IF(COUNTIFS('Estimates'!$A$5:$A$2004,$A165,'Estimates'!$B$5:$B$2004,"MPS",'Estimates'!$C$5:$C$2004,'Status'!$F$5,'Estimates'!$H$5:$H$2004,1)&gt;1,"DUP",IF(COUNTIFS('Estimates'!$A$5:$A$2004,$A165,'Estimates'!$B$5:$B$2004,"MPS",'Estimates'!$C$5:$C$2004,'Status'!$F$5,'Estimates'!$H$5:$H$2004,1,'Estimates'!$F$5:$F$2004,"&lt;&gt;")=0,"",SUMIFS('Estimates'!$F$5:$F$2004,'Estimates'!$A$5:$A$2004,$A165,'Estimates'!$B$5:$B$2004,"MPS",'Estimates'!$C$5:$C$2004,'Status'!$F$5,'Estimates'!$H$5:$H$2004,1)))))</x:f>
      </x:c>
      <x:c r="E165" s="13" t="str">
        <x:f>IF(OR(COUNTA($A165)=0,NOT(ISNUMBER('Status'!$G$5))),"",IF(COUNTIFS('Estimates'!$A$5:$A$2004,$A165,'Estimates'!$B$5:$B$2004,"MPS",'Estimates'!$C$5:$C$2004,'Status'!$G$5,'Estimates'!$H$5:$H$2004,1)=0,"",IF(COUNTIFS('Estimates'!$A$5:$A$2004,$A165,'Estimates'!$B$5:$B$2004,"MPS",'Estimates'!$C$5:$C$2004,'Status'!$G$5,'Estimates'!$H$5:$H$2004,1)&gt;1,"DUP",IF(COUNTIFS('Estimates'!$A$5:$A$2004,$A165,'Estimates'!$B$5:$B$2004,"MPS",'Estimates'!$C$5:$C$2004,'Status'!$G$5,'Estimates'!$H$5:$H$2004,1,'Estimates'!$F$5:$F$2004,"&lt;&gt;")=0,"",SUMIFS('Estimates'!$F$5:$F$2004,'Estimates'!$A$5:$A$2004,$A165,'Estimates'!$B$5:$B$2004,"MPS",'Estimates'!$C$5:$C$2004,'Status'!$G$5,'Estimates'!$H$5:$H$2004,1)))))</x:f>
      </x:c>
      <x:c r="F165" s="13" t="str">
        <x:f>IF(AND(ISNUMBER(C165),ISNUMBER(D165)),D165-C165,"")</x:f>
      </x:c>
      <x:c r="G165" s="13" t="str">
        <x:f>IF(AND(ISNUMBER(D165),ISNUMBER(E165)),E165-D165,"")</x:f>
      </x:c>
      <x:c r="H165" s="13" t="str">
        <x:f>IF(AND(COUNT(C165:E165)=3,COUNT('Status'!$E$5:$G$5)=3,'Status'!$E$5&gt;0,'Status'!$E$5&lt;'Status'!$F$5,'Status'!$F$5&lt;'Status'!$G$5),ABS(E165-(D165+(D165-C165)*((1/'Status'!$G$5)-(1/'Status'!$F$5))/((1/'Status'!$F$5)-(1/'Status'!$E$5)))),"")</x:f>
      </x:c>
      <x:c r="I165" s="13" t="str">
        <x:f>IF(AND(COUNT(C165:E165)=3,COUNT('Status'!$E$5:$G$5)=3,'Status'!$E$5&gt;0,'Status'!$E$5&lt;'Status'!$F$5,'Status'!$F$5&lt;'Status'!$G$5),((1/'Status'!$F$5)*E165-(1/'Status'!$G$5)*D165)/((1/'Status'!$F$5)-(1/'Status'!$G$5)),"")</x:f>
      </x:c>
      <x:c r="J165" s="13" t="str">
        <x:f>IF(OR(COUNTA($A165)=0,NOT(ISNUMBER('Status'!$E$6))),"",IF(COUNTIFS('Estimates'!$A$5:$A$2004,$A165,'Estimates'!$B$5:$B$2004,"PPS",'Estimates'!$D$5:$D$2004,'Status'!$E$6,'Estimates'!$H$5:$H$2004,1,'Estimates'!$E$5:$E$2004,'Status'!$E$7)=0,"",IF(COUNTIFS('Estimates'!$A$5:$A$2004,$A165,'Estimates'!$B$5:$B$2004,"PPS",'Estimates'!$D$5:$D$2004,'Status'!$E$6,'Estimates'!$H$5:$H$2004,1,'Estimates'!$E$5:$E$2004,'Status'!$E$7)&gt;1,"DUP",IF(COUNTIFS('Estimates'!$A$5:$A$2004,$A165,'Estimates'!$B$5:$B$2004,"PPS",'Estimates'!$D$5:$D$2004,'Status'!$E$6,'Estimates'!$H$5:$H$2004,1,'Estimates'!$E$5:$E$2004,'Status'!$E$7,'Estimates'!$F$5:$F$2004,"&lt;&gt;")=0,"",SUMIFS('Estimates'!$F$5:$F$2004,'Estimates'!$A$5:$A$2004,$A165,'Estimates'!$B$5:$B$2004,"PPS",'Estimates'!$D$5:$D$2004,'Status'!$E$6,'Estimates'!$H$5:$H$2004,1,'Estimates'!$E$5:$E$2004,'Status'!$E$7)))))</x:f>
      </x:c>
      <x:c r="K165" s="13" t="str">
        <x:f>IF(OR(COUNTA($A165)=0,NOT(ISNUMBER('Status'!$F$6))),"",IF(COUNTIFS('Estimates'!$A$5:$A$2004,$A165,'Estimates'!$B$5:$B$2004,"PPS",'Estimates'!$D$5:$D$2004,'Status'!$F$6,'Estimates'!$H$5:$H$2004,1,'Estimates'!$E$5:$E$2004,'Status'!$E$7)=0,"",IF(COUNTIFS('Estimates'!$A$5:$A$2004,$A165,'Estimates'!$B$5:$B$2004,"PPS",'Estimates'!$D$5:$D$2004,'Status'!$F$6,'Estimates'!$H$5:$H$2004,1,'Estimates'!$E$5:$E$2004,'Status'!$E$7)&gt;1,"DUP",IF(COUNTIFS('Estimates'!$A$5:$A$2004,$A165,'Estimates'!$B$5:$B$2004,"PPS",'Estimates'!$D$5:$D$2004,'Status'!$F$6,'Estimates'!$H$5:$H$2004,1,'Estimates'!$E$5:$E$2004,'Status'!$E$7,'Estimates'!$F$5:$F$2004,"&lt;&gt;")=0,"",SUMIFS('Estimates'!$F$5:$F$2004,'Estimates'!$A$5:$A$2004,$A165,'Estimates'!$B$5:$B$2004,"PPS",'Estimates'!$D$5:$D$2004,'Status'!$F$6,'Estimates'!$H$5:$H$2004,1,'Estimates'!$E$5:$E$2004,'Status'!$E$7)))))</x:f>
      </x:c>
      <x:c r="L165" s="13" t="str">
        <x:f>IF(OR(COUNTA($A165)=0,NOT(ISNUMBER('Status'!$G$6))),"",IF(COUNTIFS('Estimates'!$A$5:$A$2004,$A165,'Estimates'!$B$5:$B$2004,"PPS",'Estimates'!$D$5:$D$2004,'Status'!$G$6,'Estimates'!$H$5:$H$2004,1,'Estimates'!$E$5:$E$2004,'Status'!$E$7)=0,"",IF(COUNTIFS('Estimates'!$A$5:$A$2004,$A165,'Estimates'!$B$5:$B$2004,"PPS",'Estimates'!$D$5:$D$2004,'Status'!$G$6,'Estimates'!$H$5:$H$2004,1,'Estimates'!$E$5:$E$2004,'Status'!$E$7)&gt;1,"DUP",IF(COUNTIFS('Estimates'!$A$5:$A$2004,$A165,'Estimates'!$B$5:$B$2004,"PPS",'Estimates'!$D$5:$D$2004,'Status'!$G$6,'Estimates'!$H$5:$H$2004,1,'Estimates'!$E$5:$E$2004,'Status'!$E$7,'Estimates'!$F$5:$F$2004,"&lt;&gt;")=0,"",SUMIFS('Estimates'!$F$5:$F$2004,'Estimates'!$A$5:$A$2004,$A165,'Estimates'!$B$5:$B$2004,"PPS",'Estimates'!$D$5:$D$2004,'Status'!$G$6,'Estimates'!$H$5:$H$2004,1,'Estimates'!$E$5:$E$2004,'Status'!$E$7)))))</x:f>
      </x:c>
      <x:c r="M165" s="13" t="str">
        <x:f>IF(AND(ISNUMBER(J165),ISNUMBER(K165)),K165-J165,"")</x:f>
      </x:c>
      <x:c r="N165" s="13" t="str">
        <x:f>IF(AND(ISNUMBER(K165),ISNUMBER(L165)),L165-K165,"")</x:f>
      </x:c>
      <x:c r="O165" s="13" t="str">
        <x:f>IF(AND(COUNT(J165:L165)=3,COUNT('Status'!$E$6:$G$6)=3,'Status'!$E$6&gt;'Status'!$F$6,'Status'!$F$6&gt;'Status'!$G$6,'Status'!$G$6&gt;0),ABS(L165-(K165+(K165-J165)*('Status'!$G$6-'Status'!$F$6)/('Status'!$F$6-'Status'!$E$6))),"")</x:f>
      </x:c>
      <x:c r="P165" s="13" t="str">
        <x:f>IF(AND(COUNT(J165:L165)=3,COUNT('Status'!$E$6:$G$6)=3,'Status'!$E$6&gt;'Status'!$F$6,'Status'!$F$6&gt;'Status'!$G$6,'Status'!$G$6&gt;0),('Status'!$F$6*L165-'Status'!$G$6*K165)/('Status'!$F$6-'Status'!$G$6),"")</x:f>
      </x:c>
      <x:c r="Q165" s="20"/>
      <x:c r="R165" s="13" t="str">
        <x:f>IF(COUNTA($A165)=0,"",IF('Status'!$B$6="MPS 1",IF(ISNUMBER(C165),C165,""),IF('Status'!$B$6="MPS 2",IF(ISNUMBER(D165),D165,""),IF('Status'!$B$6="MPS 3",IF(ISNUMBER(E165),E165,""),IF('Status'!$B$6="MPS extrap",IF(ISNUMBER(I165),I165,""),IF('Status'!$B$6="PPS 1",IF(ISNUMBER(J165),J165,""),IF('Status'!$B$6="PPS 2",IF(ISNUMBER(K165),K165,""),IF('Status'!$B$6="PPS 3",IF(ISNUMBER(L165),L165,""),IF('Status'!$B$6="PPS extrap",IF(ISNUMBER(P165),P165,""),IF('Status'!$B$6="Calibrated",IF(ISNUMBER(Q165),Q165,""),""))))))))))</x:f>
      </x:c>
      <x:c r="S165" s="2" t="str">
        <x:f>IF(COUNTA(A165)=0,"",IF(COUNTIFS('Estimates'!$A$5:$A$2004,A165,'Estimates'!$B$5:$B$2004,"MPS",'Estimates'!$H$5:$H$2004,1)+COUNTIFS('Estimates'!$A$5:$A$2004,A165,'Estimates'!$B$5:$B$2004,"PPS",'Estimates'!$H$5:$H$2004,1)&gt;0,1,0))</x:f>
      </x:c>
      <x:c r="T165" s="2" t="str">
        <x:f>IF(COUNTA(A165)=0,"",IF(COUNTIFS($A$6:$A$165,A165)&gt;1,"Duplicate target",IF(COUNTIFS(C165:E165,"DUP")+COUNTIFS(J165:L165,"DUP")&gt;0,"Duplicate accepted run",IF(COUNTIFS('Estimates'!$A$5:$A$2004,A165,'Estimates'!$H$5:$H$2004,1)-COUNTIFS('Estimates'!$A$5:$A$2004,A165,'Estimates'!$H$5:$H$2004,1,'Estimates'!$F$5:$F$2004,"&lt;&gt;")&gt;0,"Accepted value missing",""))))</x:f>
      </x:c>
    </x:row>
  </x:sheetData>
  <x:conditionalFormatting sqref="C6:E165">
    <x:cfRule type="containsText" dxfId="0" priority="1" operator="containsText" text="DUP"/>
  </x:conditionalFormatting>
  <x:conditionalFormatting sqref="J6:L165">
    <x:cfRule type="containsText" dxfId="1" priority="2" operator="containsText" text="DUP"/>
  </x:conditionalFormatting>
  <x:conditionalFormatting sqref="T6:T165">
    <x:cfRule type="containsText" dxfId="2" priority="3" operator="containsText" text="Duplic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1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Accepted estimates</x:v>
      </x:c>
      <x:c r="B2" s="2"/>
      <x:c r="C2" s="2"/>
      <x:c r="D2" s="2"/>
      <x:c r="E2" s="2"/>
      <x:c r="F2" s="2"/>
      <x:c r="G2" s="2"/>
      <x:c r="H2" s="2"/>
    </x:row>
    <x:row r="3">
      <x:c r="A3" s="22" t="str">
        <x:v>One row per succeeded qubit estimate. Set Accepted to 1; set old rows to 0 after a rerun.</x:v>
      </x:c>
      <x:c r="B3" s="22"/>
      <x:c r="C3" s="22"/>
      <x:c r="D3" s="22"/>
      <x:c r="E3" s="22"/>
      <x:c r="F3" s="22"/>
      <x:c r="G3" s="22"/>
      <x:c r="H3" s="22"/>
    </x:row>
    <x:row r="4" ht="30" customHeight="1">
      <x:c r="A4" s="16" t="str">
        <x:v>Qubit</x:v>
      </x:c>
      <x:c r="B4" s="16" t="str">
        <x:v>Method</x:v>
      </x:c>
      <x:c r="C4" s="16" t="str">
        <x:v>MPS χ</x:v>
      </x:c>
      <x:c r="D4" s="16" t="str">
        <x:v>PPS ε</x:v>
      </x:c>
      <x:c r="E4" s="16" t="str">
        <x:v>PPS transpile</x:v>
      </x:c>
      <x:c r="F4" s="16" t="str">
        <x:v>Estimate</x:v>
      </x:c>
      <x:c r="G4" s="16" t="str">
        <x:v>Job ID</x:v>
      </x:c>
      <x:c r="H4" s="16" t="str">
        <x:v>Accepted 1/0</x:v>
      </x:c>
    </x:row>
    <x:row r="5">
      <x:c r="A5" s="6" t="n">
        <x:v>14</x:v>
      </x:c>
      <x:c r="B5" s="6" t="inlineStr">
        <x:is>
          <x:t>MPS</x:t>
        </x:is>
      </x:c>
      <x:c r="C5" s="6" t="n">
        <x:v>16</x:v>
      </x:c>
      <x:c r="D5" s="11"/>
      <x:c r="E5" s="6"/>
      <x:c r="F5" s="20" t="n">
        <x:v>5.677607201937286e-17</x:v>
      </x:c>
      <x:c r="G5" s="6" t="inlineStr">
        <x:is>
          <x:t>JTyo1vqmMTUHfJ8D</x:t>
        </x:is>
      </x:c>
      <x:c r="H5" s="6" t="n">
        <x:v>1</x:v>
      </x:c>
    </x:row>
    <x:row r="6">
      <x:c r="A6" s="6" t="n">
        <x:v>14</x:v>
      </x:c>
      <x:c r="B6" s="6" t="inlineStr">
        <x:is>
          <x:t>MPS</x:t>
        </x:is>
      </x:c>
      <x:c r="C6" s="6" t="n">
        <x:v>32</x:v>
      </x:c>
      <x:c r="D6" s="11"/>
      <x:c r="E6" s="6"/>
      <x:c r="F6" s="20" t="n">
        <x:v>2.6814766444461247e-10</x:v>
      </x:c>
      <x:c r="G6" s="6" t="inlineStr">
        <x:is>
          <x:t>A0sXMYhBwkXDAXyc</x:t>
        </x:is>
      </x:c>
      <x:c r="H6" s="6" t="n">
        <x:v>1</x:v>
      </x:c>
    </x:row>
    <x:row r="7">
      <x:c r="A7" s="6" t="n">
        <x:v>35</x:v>
      </x:c>
      <x:c r="B7" s="6" t="inlineStr">
        <x:is>
          <x:t>PPS</x:t>
        </x:is>
      </x:c>
      <x:c r="C7" s="6"/>
      <x:c r="D7" s="11" t="n">
        <x:v>0.01</x:v>
      </x:c>
      <x:c r="E7" s="6" t="n">
        <x:v>2</x:v>
      </x:c>
      <x:c r="F7" s="20" t="n">
        <x:v>0</x:v>
      </x:c>
      <x:c r="G7" s="6" t="inlineStr">
        <x:is>
          <x:t>VWoXQeazdczLdx6W</x:t>
        </x:is>
      </x:c>
      <x:c r="H7" s="6" t="n">
        <x:v>1</x:v>
      </x:c>
    </x:row>
    <x:row r="8">
      <x:c r="A8" s="6" t="n">
        <x:v>14</x:v>
      </x:c>
      <x:c r="B8" s="6" t="inlineStr">
        <x:is>
          <x:t>PPS</x:t>
        </x:is>
      </x:c>
      <x:c r="C8" s="6"/>
      <x:c r="D8" s="11" t="n">
        <x:v>0.003</x:v>
      </x:c>
      <x:c r="E8" s="6" t="n">
        <x:v>2</x:v>
      </x:c>
      <x:c r="F8" s="20" t="n">
        <x:v>0</x:v>
      </x:c>
      <x:c r="G8" s="6" t="inlineStr">
        <x:is>
          <x:t>5KUNVC5QHrAymzUx</x:t>
        </x:is>
      </x:c>
      <x:c r="H8" s="6" t="n">
        <x:v>1</x:v>
      </x:c>
    </x:row>
    <x:row r="9">
      <x:c r="A9" s="6" t="n">
        <x:v>14</x:v>
      </x:c>
      <x:c r="B9" s="6" t="inlineStr">
        <x:is>
          <x:t>PPS</x:t>
        </x:is>
      </x:c>
      <x:c r="C9" s="6"/>
      <x:c r="D9" s="11" t="n">
        <x:v>0.001</x:v>
      </x:c>
      <x:c r="E9" s="6" t="n">
        <x:v>2</x:v>
      </x:c>
      <x:c r="F9" s="20" t="n">
        <x:v>0</x:v>
      </x:c>
      <x:c r="G9" s="6" t="inlineStr">
        <x:is>
          <x:t>57pMdPeMAEdc2DgZ</x:t>
        </x:is>
      </x:c>
      <x:c r="H9" s="6" t="n">
        <x:v>1</x:v>
      </x:c>
    </x:row>
    <x:row r="10">
      <x:c r="A10" s="6" t="n">
        <x:v>35</x:v>
      </x:c>
      <x:c r="B10" s="6" t="inlineStr">
        <x:is>
          <x:t>PPS</x:t>
        </x:is>
      </x:c>
      <x:c r="C10" s="6"/>
      <x:c r="D10" s="11" t="n">
        <x:v>0.001</x:v>
      </x:c>
      <x:c r="E10" s="6" t="n">
        <x:v>2</x:v>
      </x:c>
      <x:c r="F10" s="20" t="n">
        <x:v>0</x:v>
      </x:c>
      <x:c r="G10" s="6" t="inlineStr">
        <x:is>
          <x:t>yMEnGFlEcH8I1ZPk</x:t>
        </x:is>
      </x:c>
      <x:c r="H10" s="6" t="n">
        <x:v>1</x:v>
      </x:c>
    </x:row>
    <x:row r="11">
      <x:c r="A11" s="6" t="n">
        <x:v>35</x:v>
      </x:c>
      <x:c r="B11" s="6" t="inlineStr">
        <x:is>
          <x:t>PPS</x:t>
        </x:is>
      </x:c>
      <x:c r="C11" s="6"/>
      <x:c r="D11" s="11" t="n">
        <x:v>0.003</x:v>
      </x:c>
      <x:c r="E11" s="6" t="n">
        <x:v>2</x:v>
      </x:c>
      <x:c r="F11" s="20" t="n">
        <x:v>0</x:v>
      </x:c>
      <x:c r="G11" s="6" t="inlineStr">
        <x:is>
          <x:t>ldnwoH4wloQwKNyt</x:t>
        </x:is>
      </x:c>
      <x:c r="H11" s="6" t="n">
        <x:v>1</x:v>
      </x:c>
    </x:row>
    <x:row r="12">
      <x:c r="A12" s="6" t="n">
        <x:v>0</x:v>
      </x:c>
      <x:c r="B12" s="6" t="inlineStr">
        <x:is>
          <x:t>PPS</x:t>
        </x:is>
      </x:c>
      <x:c r="C12" s="6"/>
      <x:c r="D12" s="11" t="n">
        <x:v>0.001</x:v>
      </x:c>
      <x:c r="E12" s="6" t="n">
        <x:v>2</x:v>
      </x:c>
      <x:c r="F12" s="20" t="n">
        <x:v>0</x:v>
      </x:c>
      <x:c r="G12" s="6" t="inlineStr">
        <x:is>
          <x:t>3Fa0CCXp3ULZsXV0</x:t>
        </x:is>
      </x:c>
      <x:c r="H12" s="6" t="n">
        <x:v>1</x:v>
      </x:c>
    </x:row>
    <x:row r="13">
      <x:c r="A13" s="6" t="n">
        <x:v>2</x:v>
      </x:c>
      <x:c r="B13" s="6" t="inlineStr">
        <x:is>
          <x:t>PPS</x:t>
        </x:is>
      </x:c>
      <x:c r="C13" s="6"/>
      <x:c r="D13" s="11" t="n">
        <x:v>0.001</x:v>
      </x:c>
      <x:c r="E13" s="6" t="n">
        <x:v>2</x:v>
      </x:c>
      <x:c r="F13" s="20" t="n">
        <x:v>0</x:v>
      </x:c>
      <x:c r="G13" s="6" t="inlineStr">
        <x:is>
          <x:t>QO2hqO7jBLNGhfXK</x:t>
        </x:is>
      </x:c>
      <x:c r="H13" s="6" t="n">
        <x:v>1</x:v>
      </x:c>
    </x:row>
    <x:row r="14">
      <x:c r="A14" s="6" t="n">
        <x:v>3</x:v>
      </x:c>
      <x:c r="B14" s="6" t="inlineStr">
        <x:is>
          <x:t>PPS</x:t>
        </x:is>
      </x:c>
      <x:c r="C14" s="6"/>
      <x:c r="D14" s="11" t="n">
        <x:v>0.001</x:v>
      </x:c>
      <x:c r="E14" s="6" t="n">
        <x:v>2</x:v>
      </x:c>
      <x:c r="F14" s="20" t="n">
        <x:v>0</x:v>
      </x:c>
      <x:c r="G14" s="6" t="inlineStr">
        <x:is>
          <x:t>WsaXsAIPdn5VZQXu</x:t>
        </x:is>
      </x:c>
      <x:c r="H14" s="6" t="n">
        <x:v>1</x:v>
      </x:c>
    </x:row>
    <x:row r="15">
      <x:c r="A15" s="6" t="n">
        <x:v>1</x:v>
      </x:c>
      <x:c r="B15" s="6" t="inlineStr">
        <x:is>
          <x:t>PPS</x:t>
        </x:is>
      </x:c>
      <x:c r="C15" s="6"/>
      <x:c r="D15" s="11" t="n">
        <x:v>0.001</x:v>
      </x:c>
      <x:c r="E15" s="6" t="n">
        <x:v>2</x:v>
      </x:c>
      <x:c r="F15" s="20" t="n">
        <x:v>0</x:v>
      </x:c>
      <x:c r="G15" s="6" t="inlineStr">
        <x:is>
          <x:t>ftbLafyEY8mCVrDl</x:t>
        </x:is>
      </x:c>
      <x:c r="H15" s="6" t="n">
        <x:v>1</x:v>
      </x:c>
    </x:row>
    <x:row r="16">
      <x:c r="A16" s="6" t="n">
        <x:v>4</x:v>
      </x:c>
      <x:c r="B16" s="6" t="inlineStr">
        <x:is>
          <x:t>PPS</x:t>
        </x:is>
      </x:c>
      <x:c r="C16" s="6"/>
      <x:c r="D16" s="11" t="n">
        <x:v>0.001</x:v>
      </x:c>
      <x:c r="E16" s="6" t="n">
        <x:v>2</x:v>
      </x:c>
      <x:c r="F16" s="20" t="n">
        <x:v>0</x:v>
      </x:c>
      <x:c r="G16" s="6" t="inlineStr">
        <x:is>
          <x:t>F7a2ojtGm7McNd5z</x:t>
        </x:is>
      </x:c>
      <x:c r="H16" s="6" t="n">
        <x:v>1</x:v>
      </x:c>
    </x:row>
    <x:row r="17">
      <x:c r="A17" s="6" t="n">
        <x:v>5</x:v>
      </x:c>
      <x:c r="B17" s="6" t="inlineStr">
        <x:is>
          <x:t>PPS</x:t>
        </x:is>
      </x:c>
      <x:c r="C17" s="6"/>
      <x:c r="D17" s="11" t="n">
        <x:v>0.001</x:v>
      </x:c>
      <x:c r="E17" s="6" t="n">
        <x:v>2</x:v>
      </x:c>
      <x:c r="F17" s="20" t="n">
        <x:v>0</x:v>
      </x:c>
      <x:c r="G17" s="6" t="inlineStr">
        <x:is>
          <x:t>GXwS55neR4HMNoR9</x:t>
        </x:is>
      </x:c>
      <x:c r="H17" s="6" t="n">
        <x:v>1</x:v>
      </x:c>
    </x:row>
    <x:row r="18">
      <x:c r="A18" s="6" t="n">
        <x:v>6</x:v>
      </x:c>
      <x:c r="B18" s="6" t="inlineStr">
        <x:is>
          <x:t>PPS</x:t>
        </x:is>
      </x:c>
      <x:c r="C18" s="6"/>
      <x:c r="D18" s="11" t="n">
        <x:v>0.001</x:v>
      </x:c>
      <x:c r="E18" s="6" t="n">
        <x:v>2</x:v>
      </x:c>
      <x:c r="F18" s="20" t="n">
        <x:v>0</x:v>
      </x:c>
      <x:c r="G18" s="6" t="inlineStr">
        <x:is>
          <x:t>UWWy66SlnxSKhuZw</x:t>
        </x:is>
      </x:c>
      <x:c r="H18" s="6" t="n">
        <x:v>1</x:v>
      </x:c>
    </x:row>
    <x:row r="19">
      <x:c r="A19" s="6" t="n">
        <x:v>7</x:v>
      </x:c>
      <x:c r="B19" s="6" t="inlineStr">
        <x:is>
          <x:t>PPS</x:t>
        </x:is>
      </x:c>
      <x:c r="C19" s="6"/>
      <x:c r="D19" s="11" t="n">
        <x:v>0.001</x:v>
      </x:c>
      <x:c r="E19" s="6" t="n">
        <x:v>2</x:v>
      </x:c>
      <x:c r="F19" s="20" t="n">
        <x:v>0</x:v>
      </x:c>
      <x:c r="G19" s="6" t="inlineStr">
        <x:is>
          <x:t>AbGjPJRMypzyTDWz</x:t>
        </x:is>
      </x:c>
      <x:c r="H19" s="6" t="n">
        <x:v>1</x:v>
      </x:c>
    </x:row>
    <x:row r="20">
      <x:c r="A20" s="6" t="n">
        <x:v>8</x:v>
      </x:c>
      <x:c r="B20" s="6" t="inlineStr">
        <x:is>
          <x:t>PPS</x:t>
        </x:is>
      </x:c>
      <x:c r="C20" s="6"/>
      <x:c r="D20" s="11" t="n">
        <x:v>0.001</x:v>
      </x:c>
      <x:c r="E20" s="6" t="n">
        <x:v>2</x:v>
      </x:c>
      <x:c r="F20" s="20" t="n">
        <x:v>0</x:v>
      </x:c>
      <x:c r="G20" s="6" t="inlineStr">
        <x:is>
          <x:t>hCuH1WHPxFoAzvEV</x:t>
        </x:is>
      </x:c>
      <x:c r="H20" s="6" t="n">
        <x:v>1</x:v>
      </x:c>
    </x:row>
    <x:row r="21">
      <x:c r="A21" t="n">
        <x:v>10</x:v>
      </x:c>
      <x:c r="B21" t="inlineStr">
        <x:is>
          <x:t>PPS</x:t>
        </x:is>
      </x:c>
      <x:c r="C21"/>
      <x:c r="D21" s="23" t="n">
        <x:v>0.001</x:v>
      </x:c>
      <x:c r="E21" t="n">
        <x:v>2</x:v>
      </x:c>
      <x:c r="F21" s="24" t="n">
        <x:v>0</x:v>
      </x:c>
      <x:c r="G21" t="inlineStr">
        <x:is>
          <x:t>6RDaEaq6jISETpZF</x:t>
        </x:is>
      </x:c>
      <x:c r="H21" t="n">
        <x:v>1</x:v>
      </x:c>
    </x:row>
    <x:row r="22">
      <x:c r="A22" t="n">
        <x:v>11</x:v>
      </x:c>
      <x:c r="B22" t="inlineStr">
        <x:is>
          <x:t>PPS</x:t>
        </x:is>
      </x:c>
      <x:c r="C22"/>
      <x:c r="D22" s="23" t="n">
        <x:v>0.001</x:v>
      </x:c>
      <x:c r="E22" t="n">
        <x:v>2</x:v>
      </x:c>
      <x:c r="F22" s="24" t="n">
        <x:v>0</x:v>
      </x:c>
      <x:c r="G22" t="inlineStr">
        <x:is>
          <x:t>zNNuMMZpbiX8gRa8</x:t>
        </x:is>
      </x:c>
      <x:c r="H22" t="n">
        <x:v>1</x:v>
      </x:c>
    </x:row>
    <x:row r="23">
      <x:c r="A23" t="n">
        <x:v>9</x:v>
      </x:c>
      <x:c r="B23" t="inlineStr">
        <x:is>
          <x:t>PPS</x:t>
        </x:is>
      </x:c>
      <x:c r="C23"/>
      <x:c r="D23" s="23" t="n">
        <x:v>0.001</x:v>
      </x:c>
      <x:c r="E23" t="n">
        <x:v>2</x:v>
      </x:c>
      <x:c r="F23" s="24" t="n">
        <x:v>0</x:v>
      </x:c>
      <x:c r="G23" t="inlineStr">
        <x:is>
          <x:t>vlJvNrpXWdEEGrFq</x:t>
        </x:is>
      </x:c>
      <x:c r="H23" t="n">
        <x:v>1</x:v>
      </x:c>
    </x:row>
    <x:row r="24">
      <x:c r="A24" t="n">
        <x:v>12</x:v>
      </x:c>
      <x:c r="B24" t="inlineStr">
        <x:is>
          <x:t>PPS</x:t>
        </x:is>
      </x:c>
      <x:c r="C24"/>
      <x:c r="D24" s="23" t="n">
        <x:v>0.001</x:v>
      </x:c>
      <x:c r="E24" t="n">
        <x:v>2</x:v>
      </x:c>
      <x:c r="F24" s="24" t="n">
        <x:v>0</x:v>
      </x:c>
      <x:c r="G24" t="inlineStr">
        <x:is>
          <x:t>okgyWjc9gzlbdjeW</x:t>
        </x:is>
      </x:c>
      <x:c r="H24" t="n">
        <x:v>1</x:v>
      </x:c>
    </x:row>
    <x:row r="25">
      <x:c r="A25" t="n">
        <x:v>13</x:v>
      </x:c>
      <x:c r="B25" t="inlineStr">
        <x:is>
          <x:t>PPS</x:t>
        </x:is>
      </x:c>
      <x:c r="C25"/>
      <x:c r="D25" s="23" t="n">
        <x:v>0.001</x:v>
      </x:c>
      <x:c r="E25" t="n">
        <x:v>2</x:v>
      </x:c>
      <x:c r="F25" s="24" t="n">
        <x:v>0</x:v>
      </x:c>
      <x:c r="G25" t="inlineStr">
        <x:is>
          <x:t>ygiSwJEyXmyRM2CI</x:t>
        </x:is>
      </x:c>
      <x:c r="H25" t="n">
        <x:v>1</x:v>
      </x:c>
    </x:row>
    <x:row r="26">
      <x:c r="A26" t="n">
        <x:v>16</x:v>
      </x:c>
      <x:c r="B26" t="inlineStr">
        <x:is>
          <x:t>PPS</x:t>
        </x:is>
      </x:c>
      <x:c r="C26"/>
      <x:c r="D26" s="23" t="n">
        <x:v>0.001</x:v>
      </x:c>
      <x:c r="E26" t="n">
        <x:v>2</x:v>
      </x:c>
      <x:c r="F26" s="24" t="n">
        <x:v>0</x:v>
      </x:c>
      <x:c r="G26" t="inlineStr">
        <x:is>
          <x:t>MHgh3EQQyn1Mz2Za</x:t>
        </x:is>
      </x:c>
      <x:c r="H26" t="n">
        <x:v>1</x:v>
      </x:c>
    </x:row>
    <x:row r="27">
      <x:c r="A27" t="n">
        <x:v>15</x:v>
      </x:c>
      <x:c r="B27" t="inlineStr">
        <x:is>
          <x:t>PPS</x:t>
        </x:is>
      </x:c>
      <x:c r="C27"/>
      <x:c r="D27" s="23" t="n">
        <x:v>0.001</x:v>
      </x:c>
      <x:c r="E27" t="n">
        <x:v>2</x:v>
      </x:c>
      <x:c r="F27" s="24" t="n">
        <x:v>0</x:v>
      </x:c>
      <x:c r="G27" t="inlineStr">
        <x:is>
          <x:t>SqPHwhhGkR40zMPZ</x:t>
        </x:is>
      </x:c>
      <x:c r="H27" t="n">
        <x:v>1</x:v>
      </x:c>
    </x:row>
    <x:row r="28">
      <x:c r="A28" t="n">
        <x:v>17</x:v>
      </x:c>
      <x:c r="B28" t="inlineStr">
        <x:is>
          <x:t>PPS</x:t>
        </x:is>
      </x:c>
      <x:c r="C28"/>
      <x:c r="D28" s="23" t="n">
        <x:v>0.001</x:v>
      </x:c>
      <x:c r="E28" t="n">
        <x:v>2</x:v>
      </x:c>
      <x:c r="F28" s="24" t="n">
        <x:v>0</x:v>
      </x:c>
      <x:c r="G28" t="inlineStr">
        <x:is>
          <x:t>QLDxTZQu8TNsWqqQ</x:t>
        </x:is>
      </x:c>
      <x:c r="H28" t="n">
        <x:v>1</x:v>
      </x:c>
    </x:row>
    <x:row r="29">
      <x:c r="A29" t="n">
        <x:v>18</x:v>
      </x:c>
      <x:c r="B29" t="inlineStr">
        <x:is>
          <x:t>PPS</x:t>
        </x:is>
      </x:c>
      <x:c r="C29"/>
      <x:c r="D29" s="23" t="n">
        <x:v>0.001</x:v>
      </x:c>
      <x:c r="E29" t="n">
        <x:v>2</x:v>
      </x:c>
      <x:c r="F29" s="24" t="n">
        <x:v>0</x:v>
      </x:c>
      <x:c r="G29" t="inlineStr">
        <x:is>
          <x:t>mmJI5I5N4Z4jbfUE</x:t>
        </x:is>
      </x:c>
      <x:c r="H29" t="n">
        <x:v>1</x:v>
      </x:c>
    </x:row>
    <x:row r="30">
      <x:c r="A30" t="n">
        <x:v>19</x:v>
      </x:c>
      <x:c r="B30" t="inlineStr">
        <x:is>
          <x:t>PPS</x:t>
        </x:is>
      </x:c>
      <x:c r="C30"/>
      <x:c r="D30" s="23" t="n">
        <x:v>0.001</x:v>
      </x:c>
      <x:c r="E30" t="n">
        <x:v>2</x:v>
      </x:c>
      <x:c r="F30" s="24" t="n">
        <x:v>0</x:v>
      </x:c>
      <x:c r="G30" t="inlineStr">
        <x:is>
          <x:t>KZe5rgqY79WzqipZ</x:t>
        </x:is>
      </x:c>
      <x:c r="H30" t="n">
        <x:v>1</x:v>
      </x:c>
    </x:row>
    <x:row r="31">
      <x:c r="A31" t="n">
        <x:v>20</x:v>
      </x:c>
      <x:c r="B31" t="inlineStr">
        <x:is>
          <x:t>PPS</x:t>
        </x:is>
      </x:c>
      <x:c r="C31"/>
      <x:c r="D31" s="23" t="n">
        <x:v>0.001</x:v>
      </x:c>
      <x:c r="E31" t="n">
        <x:v>2</x:v>
      </x:c>
      <x:c r="F31" s="24" t="n">
        <x:v>0</x:v>
      </x:c>
      <x:c r="G31" t="inlineStr">
        <x:is>
          <x:t>29lTWPbR0jXsWCma</x:t>
        </x:is>
      </x:c>
      <x:c r="H31" t="n">
        <x:v>1</x:v>
      </x:c>
    </x:row>
    <x:row r="32">
      <x:c r="A32" t="n">
        <x:v>21</x:v>
      </x:c>
      <x:c r="B32" t="inlineStr">
        <x:is>
          <x:t>PPS</x:t>
        </x:is>
      </x:c>
      <x:c r="C32"/>
      <x:c r="D32" s="23" t="n">
        <x:v>0.001</x:v>
      </x:c>
      <x:c r="E32" t="n">
        <x:v>2</x:v>
      </x:c>
      <x:c r="F32" s="24" t="n">
        <x:v>0</x:v>
      </x:c>
      <x:c r="G32" t="inlineStr">
        <x:is>
          <x:t>wIixrGMNC9eHva8E</x:t>
        </x:is>
      </x:c>
      <x:c r="H32" t="n">
        <x:v>1</x:v>
      </x:c>
    </x:row>
    <x:row r="33">
      <x:c r="A33" t="n">
        <x:v>23</x:v>
      </x:c>
      <x:c r="B33" t="inlineStr">
        <x:is>
          <x:t>PPS</x:t>
        </x:is>
      </x:c>
      <x:c r="C33"/>
      <x:c r="D33" s="23" t="n">
        <x:v>0.001</x:v>
      </x:c>
      <x:c r="E33" t="n">
        <x:v>2</x:v>
      </x:c>
      <x:c r="F33" s="24" t="n">
        <x:v>0</x:v>
      </x:c>
      <x:c r="G33" t="inlineStr">
        <x:is>
          <x:t>gMRKkMhl9ubQM5RX</x:t>
        </x:is>
      </x:c>
      <x:c r="H33" t="n">
        <x:v>1</x:v>
      </x:c>
    </x:row>
    <x:row r="34">
      <x:c r="A34" t="n">
        <x:v>22</x:v>
      </x:c>
      <x:c r="B34" t="inlineStr">
        <x:is>
          <x:t>PPS</x:t>
        </x:is>
      </x:c>
      <x:c r="C34"/>
      <x:c r="D34" s="23" t="n">
        <x:v>0.001</x:v>
      </x:c>
      <x:c r="E34" t="n">
        <x:v>2</x:v>
      </x:c>
      <x:c r="F34" s="24" t="n">
        <x:v>0</x:v>
      </x:c>
      <x:c r="G34" t="inlineStr">
        <x:is>
          <x:t>yRuM3XmJhdXCGfpi</x:t>
        </x:is>
      </x:c>
      <x:c r="H34" t="n">
        <x:v>1</x:v>
      </x:c>
    </x:row>
    <x:row r="35">
      <x:c r="A35" t="n">
        <x:v>24</x:v>
      </x:c>
      <x:c r="B35" t="inlineStr">
        <x:is>
          <x:t>PPS</x:t>
        </x:is>
      </x:c>
      <x:c r="C35"/>
      <x:c r="D35" s="23" t="n">
        <x:v>0.001</x:v>
      </x:c>
      <x:c r="E35" t="n">
        <x:v>2</x:v>
      </x:c>
      <x:c r="F35" s="24" t="n">
        <x:v>0</x:v>
      </x:c>
      <x:c r="G35" t="inlineStr">
        <x:is>
          <x:t>LUvo6USDMhGxYTWx</x:t>
        </x:is>
      </x:c>
      <x:c r="H35" t="n">
        <x:v>1</x:v>
      </x:c>
    </x:row>
    <x:row r="36">
      <x:c r="A36" t="n">
        <x:v>25</x:v>
      </x:c>
      <x:c r="B36" t="inlineStr">
        <x:is>
          <x:t>PPS</x:t>
        </x:is>
      </x:c>
      <x:c r="C36"/>
      <x:c r="D36" s="23" t="n">
        <x:v>0.001</x:v>
      </x:c>
      <x:c r="E36" t="n">
        <x:v>2</x:v>
      </x:c>
      <x:c r="F36" s="24" t="n">
        <x:v>0</x:v>
      </x:c>
      <x:c r="G36" t="inlineStr">
        <x:is>
          <x:t>LI9SDfTCJsNYzyPU</x:t>
        </x:is>
      </x:c>
      <x:c r="H36" t="n">
        <x:v>1</x:v>
      </x:c>
    </x:row>
    <x:row r="37">
      <x:c r="A37" t="n">
        <x:v>26</x:v>
      </x:c>
      <x:c r="B37" t="inlineStr">
        <x:is>
          <x:t>PPS</x:t>
        </x:is>
      </x:c>
      <x:c r="C37"/>
      <x:c r="D37" s="23" t="n">
        <x:v>0.001</x:v>
      </x:c>
      <x:c r="E37" t="n">
        <x:v>2</x:v>
      </x:c>
      <x:c r="F37" s="24" t="n">
        <x:v>0</x:v>
      </x:c>
      <x:c r="G37" t="inlineStr">
        <x:is>
          <x:t>bxst9Zs4T1zncfl9</x:t>
        </x:is>
      </x:c>
      <x:c r="H37" t="n">
        <x:v>1</x:v>
      </x:c>
    </x:row>
    <x:row r="38">
      <x:c r="A38" t="n">
        <x:v>27</x:v>
      </x:c>
      <x:c r="B38" t="inlineStr">
        <x:is>
          <x:t>PPS</x:t>
        </x:is>
      </x:c>
      <x:c r="C38"/>
      <x:c r="D38" s="23" t="n">
        <x:v>0.001</x:v>
      </x:c>
      <x:c r="E38" t="n">
        <x:v>2</x:v>
      </x:c>
      <x:c r="F38" s="24" t="n">
        <x:v>0</x:v>
      </x:c>
      <x:c r="G38" t="inlineStr">
        <x:is>
          <x:t>VyJx0oh58hrIiOYT</x:t>
        </x:is>
      </x:c>
      <x:c r="H38" t="n">
        <x:v>1</x:v>
      </x:c>
    </x:row>
    <x:row r="39">
      <x:c r="A39" t="n">
        <x:v>28</x:v>
      </x:c>
      <x:c r="B39" t="inlineStr">
        <x:is>
          <x:t>PPS</x:t>
        </x:is>
      </x:c>
      <x:c r="C39"/>
      <x:c r="D39" s="23" t="n">
        <x:v>0.001</x:v>
      </x:c>
      <x:c r="E39" t="n">
        <x:v>2</x:v>
      </x:c>
      <x:c r="F39" s="24" t="n">
        <x:v>0</x:v>
      </x:c>
      <x:c r="G39" t="inlineStr">
        <x:is>
          <x:t>TRzpjz3HqXUR563J</x:t>
        </x:is>
      </x:c>
      <x:c r="H39" t="n">
        <x:v>1</x:v>
      </x:c>
    </x:row>
    <x:row r="40">
      <x:c r="A40" t="n">
        <x:v>29</x:v>
      </x:c>
      <x:c r="B40" t="inlineStr">
        <x:is>
          <x:t>PPS</x:t>
        </x:is>
      </x:c>
      <x:c r="C40"/>
      <x:c r="D40" s="23" t="n">
        <x:v>0.001</x:v>
      </x:c>
      <x:c r="E40" t="n">
        <x:v>2</x:v>
      </x:c>
      <x:c r="F40" s="24" t="n">
        <x:v>0</x:v>
      </x:c>
      <x:c r="G40" t="inlineStr">
        <x:is>
          <x:t>DW1hBzZzoqgUlAHX</x:t>
        </x:is>
      </x:c>
      <x:c r="H40" t="n">
        <x:v>1</x:v>
      </x:c>
    </x:row>
    <x:row r="41">
      <x:c r="A41" t="n">
        <x:v>30</x:v>
      </x:c>
      <x:c r="B41" t="inlineStr">
        <x:is>
          <x:t>PPS</x:t>
        </x:is>
      </x:c>
      <x:c r="C41"/>
      <x:c r="D41" s="23" t="n">
        <x:v>0.001</x:v>
      </x:c>
      <x:c r="E41" t="n">
        <x:v>2</x:v>
      </x:c>
      <x:c r="F41" s="24" t="n">
        <x:v>0</x:v>
      </x:c>
      <x:c r="G41" t="inlineStr">
        <x:is>
          <x:t>knzZmSYXSxGFopLa</x:t>
        </x:is>
      </x:c>
      <x:c r="H41" t="n">
        <x:v>1</x:v>
      </x:c>
    </x:row>
    <x:row r="42">
      <x:c r="A42" t="n">
        <x:v>31</x:v>
      </x:c>
      <x:c r="B42" t="inlineStr">
        <x:is>
          <x:t>PPS</x:t>
        </x:is>
      </x:c>
      <x:c r="C42"/>
      <x:c r="D42" s="23" t="n">
        <x:v>0.001</x:v>
      </x:c>
      <x:c r="E42" t="n">
        <x:v>2</x:v>
      </x:c>
      <x:c r="F42" s="24" t="n">
        <x:v>0</x:v>
      </x:c>
      <x:c r="G42" t="inlineStr">
        <x:is>
          <x:t>a2OND3HL2pRGZMwI</x:t>
        </x:is>
      </x:c>
      <x:c r="H42" t="n">
        <x:v>1</x:v>
      </x:c>
    </x:row>
    <x:row r="43">
      <x:c r="A43" t="n">
        <x:v>34</x:v>
      </x:c>
      <x:c r="B43" t="inlineStr">
        <x:is>
          <x:t>PPS</x:t>
        </x:is>
      </x:c>
      <x:c r="C43"/>
      <x:c r="D43" s="23" t="n">
        <x:v>0.001</x:v>
      </x:c>
      <x:c r="E43" t="n">
        <x:v>2</x:v>
      </x:c>
      <x:c r="F43" s="24" t="n">
        <x:v>0</x:v>
      </x:c>
      <x:c r="G43" t="inlineStr">
        <x:is>
          <x:t>TxWDBRGxGk8BxjSP</x:t>
        </x:is>
      </x:c>
      <x:c r="H43" t="n">
        <x:v>1</x:v>
      </x:c>
    </x:row>
    <x:row r="44">
      <x:c r="A44" t="n">
        <x:v>32</x:v>
      </x:c>
      <x:c r="B44" t="inlineStr">
        <x:is>
          <x:t>PPS</x:t>
        </x:is>
      </x:c>
      <x:c r="C44"/>
      <x:c r="D44" s="23" t="n">
        <x:v>0.001</x:v>
      </x:c>
      <x:c r="E44" t="n">
        <x:v>2</x:v>
      </x:c>
      <x:c r="F44" s="24" t="n">
        <x:v>0</x:v>
      </x:c>
      <x:c r="G44" t="inlineStr">
        <x:is>
          <x:t>AdwKWZMbERSRsSOR</x:t>
        </x:is>
      </x:c>
      <x:c r="H44" t="n">
        <x:v>1</x:v>
      </x:c>
    </x:row>
    <x:row r="45">
      <x:c r="A45" t="n">
        <x:v>33</x:v>
      </x:c>
      <x:c r="B45" t="inlineStr">
        <x:is>
          <x:t>PPS</x:t>
        </x:is>
      </x:c>
      <x:c r="C45"/>
      <x:c r="D45" s="23" t="n">
        <x:v>0.001</x:v>
      </x:c>
      <x:c r="E45" t="n">
        <x:v>2</x:v>
      </x:c>
      <x:c r="F45" s="24" t="n">
        <x:v>0</x:v>
      </x:c>
      <x:c r="G45" t="inlineStr">
        <x:is>
          <x:t>5B6glGlblG7KcSZw</x:t>
        </x:is>
      </x:c>
      <x:c r="H45" t="n">
        <x:v>1</x:v>
      </x:c>
    </x:row>
    <x:row r="46">
      <x:c r="A46" t="n">
        <x:v>0</x:v>
      </x:c>
      <x:c r="B46" t="inlineStr">
        <x:is>
          <x:t>PPS</x:t>
        </x:is>
      </x:c>
      <x:c r="C46"/>
      <x:c r="D46" s="23" t="n">
        <x:v>0.01</x:v>
      </x:c>
      <x:c r="E46" t="n">
        <x:v>1</x:v>
      </x:c>
      <x:c r="F46" s="24" t="n">
        <x:v>0.012616874436841027</x:v>
      </x:c>
      <x:c r="G46" t="inlineStr">
        <x:is>
          <x:t>t1KWc0kdqiF4LYHU</x:t>
        </x:is>
      </x:c>
      <x:c r="H46" t="n">
        <x:v>1</x:v>
      </x:c>
    </x:row>
    <x:row r="47">
      <x:c r="A47" t="n">
        <x:v>1</x:v>
      </x:c>
      <x:c r="B47" t="inlineStr">
        <x:is>
          <x:t>PPS</x:t>
        </x:is>
      </x:c>
      <x:c r="C47"/>
      <x:c r="D47" s="23" t="n">
        <x:v>0.01</x:v>
      </x:c>
      <x:c r="E47" t="n">
        <x:v>1</x:v>
      </x:c>
      <x:c r="F47" s="24" t="n">
        <x:v>0</x:v>
      </x:c>
      <x:c r="G47" t="inlineStr">
        <x:is>
          <x:t>ypSETIYPMq5bHIoU</x:t>
        </x:is>
      </x:c>
      <x:c r="H47" t="n">
        <x:v>1</x:v>
      </x:c>
    </x:row>
    <x:row r="48">
      <x:c r="A48" t="n">
        <x:v>2</x:v>
      </x:c>
      <x:c r="B48" t="inlineStr">
        <x:is>
          <x:t>PPS</x:t>
        </x:is>
      </x:c>
      <x:c r="C48"/>
      <x:c r="D48" s="23" t="n">
        <x:v>0.01</x:v>
      </x:c>
      <x:c r="E48" t="n">
        <x:v>1</x:v>
      </x:c>
      <x:c r="F48" s="24" t="n">
        <x:v>0</x:v>
      </x:c>
      <x:c r="G48" t="inlineStr">
        <x:is>
          <x:t>eIkOdm5yWQXeKVxx</x:t>
        </x:is>
      </x:c>
      <x:c r="H48" t="n">
        <x:v>1</x:v>
      </x:c>
    </x:row>
    <x:row r="49">
      <x:c r="A49" t="n">
        <x:v>3</x:v>
      </x:c>
      <x:c r="B49" t="inlineStr">
        <x:is>
          <x:t>PPS</x:t>
        </x:is>
      </x:c>
      <x:c r="C49"/>
      <x:c r="D49" s="23" t="n">
        <x:v>0.01</x:v>
      </x:c>
      <x:c r="E49" t="n">
        <x:v>1</x:v>
      </x:c>
      <x:c r="F49" s="24" t="n">
        <x:v>0</x:v>
      </x:c>
      <x:c r="G49" t="inlineStr">
        <x:is>
          <x:t>GidVaJpO0NbWW5to</x:t>
        </x:is>
      </x:c>
      <x:c r="H49" t="n">
        <x:v>1</x:v>
      </x:c>
    </x:row>
    <x:row r="50">
      <x:c r="A50" t="n">
        <x:v>4</x:v>
      </x:c>
      <x:c r="B50" t="inlineStr">
        <x:is>
          <x:t>PPS</x:t>
        </x:is>
      </x:c>
      <x:c r="C50"/>
      <x:c r="D50" s="23" t="n">
        <x:v>0.01</x:v>
      </x:c>
      <x:c r="E50" t="n">
        <x:v>1</x:v>
      </x:c>
      <x:c r="F50" s="24" t="n">
        <x:v>0</x:v>
      </x:c>
      <x:c r="G50" t="inlineStr">
        <x:is>
          <x:t>8HUOcZjgwVU7h1hs</x:t>
        </x:is>
      </x:c>
      <x:c r="H50" t="n">
        <x:v>1</x:v>
      </x:c>
    </x:row>
    <x:row r="51">
      <x:c r="A51" t="n">
        <x:v>5</x:v>
      </x:c>
      <x:c r="B51" t="inlineStr">
        <x:is>
          <x:t>PPS</x:t>
        </x:is>
      </x:c>
      <x:c r="C51"/>
      <x:c r="D51" s="23" t="n">
        <x:v>0.01</x:v>
      </x:c>
      <x:c r="E51" t="n">
        <x:v>1</x:v>
      </x:c>
      <x:c r="F51" s="24" t="n">
        <x:v>0</x:v>
      </x:c>
      <x:c r="G51" t="inlineStr">
        <x:is>
          <x:t>vliLKhKh0RMmzTTZ</x:t>
        </x:is>
      </x:c>
      <x:c r="H51" t="n">
        <x:v>1</x:v>
      </x:c>
    </x:row>
    <x:row r="52">
      <x:c r="A52" t="n">
        <x:v>6</x:v>
      </x:c>
      <x:c r="B52" t="inlineStr">
        <x:is>
          <x:t>PPS</x:t>
        </x:is>
      </x:c>
      <x:c r="C52"/>
      <x:c r="D52" s="23" t="n">
        <x:v>0.01</x:v>
      </x:c>
      <x:c r="E52" t="n">
        <x:v>1</x:v>
      </x:c>
      <x:c r="F52" s="24" t="n">
        <x:v>0</x:v>
      </x:c>
      <x:c r="G52" t="inlineStr">
        <x:is>
          <x:t>7srGukG7zYhFkTik</x:t>
        </x:is>
      </x:c>
      <x:c r="H52" t="n">
        <x:v>1</x:v>
      </x:c>
    </x:row>
    <x:row r="53">
      <x:c r="A53" t="n">
        <x:v>7</x:v>
      </x:c>
      <x:c r="B53" t="inlineStr">
        <x:is>
          <x:t>PPS</x:t>
        </x:is>
      </x:c>
      <x:c r="C53"/>
      <x:c r="D53" s="23" t="n">
        <x:v>0.01</x:v>
      </x:c>
      <x:c r="E53" t="n">
        <x:v>1</x:v>
      </x:c>
      <x:c r="F53" s="24" t="n">
        <x:v>0</x:v>
      </x:c>
      <x:c r="G53" t="inlineStr">
        <x:is>
          <x:t>hVZLs6psZZoXJ7BJ</x:t>
        </x:is>
      </x:c>
      <x:c r="H53" t="n">
        <x:v>1</x:v>
      </x:c>
    </x:row>
    <x:row r="54">
      <x:c r="A54" t="n">
        <x:v>8</x:v>
      </x:c>
      <x:c r="B54" t="inlineStr">
        <x:is>
          <x:t>PPS</x:t>
        </x:is>
      </x:c>
      <x:c r="C54"/>
      <x:c r="D54" s="23" t="n">
        <x:v>0.01</x:v>
      </x:c>
      <x:c r="E54" t="n">
        <x:v>1</x:v>
      </x:c>
      <x:c r="F54" s="24" t="n">
        <x:v>0</x:v>
      </x:c>
      <x:c r="G54" t="inlineStr">
        <x:is>
          <x:t>Q6PIeexdBkfjrYX5</x:t>
        </x:is>
      </x:c>
      <x:c r="H54" t="n">
        <x:v>1</x:v>
      </x:c>
    </x:row>
    <x:row r="55">
      <x:c r="A55" t="n">
        <x:v>9</x:v>
      </x:c>
      <x:c r="B55" t="inlineStr">
        <x:is>
          <x:t>PPS</x:t>
        </x:is>
      </x:c>
      <x:c r="C55"/>
      <x:c r="D55" s="23" t="n">
        <x:v>0.01</x:v>
      </x:c>
      <x:c r="E55" t="n">
        <x:v>1</x:v>
      </x:c>
      <x:c r="F55" s="24" t="n">
        <x:v>0</x:v>
      </x:c>
      <x:c r="G55" t="inlineStr">
        <x:is>
          <x:t>WVvZlSZO13ThSFY7</x:t>
        </x:is>
      </x:c>
      <x:c r="H55" t="n">
        <x:v>1</x:v>
      </x:c>
    </x:row>
    <x:row r="56">
      <x:c r="A56" t="n">
        <x:v>10</x:v>
      </x:c>
      <x:c r="B56" t="inlineStr">
        <x:is>
          <x:t>PPS</x:t>
        </x:is>
      </x:c>
      <x:c r="C56"/>
      <x:c r="D56" s="23" t="n">
        <x:v>0.01</x:v>
      </x:c>
      <x:c r="E56" t="n">
        <x:v>1</x:v>
      </x:c>
      <x:c r="F56" s="24" t="n">
        <x:v>0</x:v>
      </x:c>
      <x:c r="G56" t="inlineStr">
        <x:is>
          <x:t>i4aHbxQfuAeLlCXt</x:t>
        </x:is>
      </x:c>
      <x:c r="H56" t="n">
        <x:v>1</x:v>
      </x:c>
    </x:row>
    <x:row r="57">
      <x:c r="A57" t="n">
        <x:v>11</x:v>
      </x:c>
      <x:c r="B57" t="inlineStr">
        <x:is>
          <x:t>PPS</x:t>
        </x:is>
      </x:c>
      <x:c r="C57"/>
      <x:c r="D57" s="23" t="n">
        <x:v>0.01</x:v>
      </x:c>
      <x:c r="E57" t="n">
        <x:v>1</x:v>
      </x:c>
      <x:c r="F57" s="24" t="n">
        <x:v>0</x:v>
      </x:c>
      <x:c r="G57" t="inlineStr">
        <x:is>
          <x:t>wPJUQSOFzMOCOZhr</x:t>
        </x:is>
      </x:c>
      <x:c r="H57" t="n">
        <x:v>1</x:v>
      </x:c>
    </x:row>
    <x:row r="58">
      <x:c r="A58" t="n">
        <x:v>12</x:v>
      </x:c>
      <x:c r="B58" t="inlineStr">
        <x:is>
          <x:t>PPS</x:t>
        </x:is>
      </x:c>
      <x:c r="C58"/>
      <x:c r="D58" s="23" t="n">
        <x:v>0.01</x:v>
      </x:c>
      <x:c r="E58" t="n">
        <x:v>1</x:v>
      </x:c>
      <x:c r="F58" s="24" t="n">
        <x:v>0</x:v>
      </x:c>
      <x:c r="G58" t="inlineStr">
        <x:is>
          <x:t>a6rZ5E67sXqlhS7f</x:t>
        </x:is>
      </x:c>
      <x:c r="H58" t="n">
        <x:v>1</x:v>
      </x:c>
    </x:row>
    <x:row r="59">
      <x:c r="A59" t="n">
        <x:v>13</x:v>
      </x:c>
      <x:c r="B59" t="inlineStr">
        <x:is>
          <x:t>PPS</x:t>
        </x:is>
      </x:c>
      <x:c r="C59"/>
      <x:c r="D59" s="23" t="n">
        <x:v>0.01</x:v>
      </x:c>
      <x:c r="E59" t="n">
        <x:v>1</x:v>
      </x:c>
      <x:c r="F59" s="24" t="n">
        <x:v>0</x:v>
      </x:c>
      <x:c r="G59" t="inlineStr">
        <x:is>
          <x:t>k8HTbHDDDxYnqutS</x:t>
        </x:is>
      </x:c>
      <x:c r="H59" t="n">
        <x:v>1</x:v>
      </x:c>
    </x:row>
    <x:row r="60">
      <x:c r="A60" t="n">
        <x:v>14</x:v>
      </x:c>
      <x:c r="B60" t="inlineStr">
        <x:is>
          <x:t>PPS</x:t>
        </x:is>
      </x:c>
      <x:c r="C60"/>
      <x:c r="D60" s="23" t="n">
        <x:v>0.01</x:v>
      </x:c>
      <x:c r="E60" t="n">
        <x:v>1</x:v>
      </x:c>
      <x:c r="F60" s="24" t="n">
        <x:v>0</x:v>
      </x:c>
      <x:c r="G60" t="inlineStr">
        <x:is>
          <x:t>jwY3IQfWoSbzrO5j</x:t>
        </x:is>
      </x:c>
      <x:c r="H60" t="n">
        <x:v>1</x:v>
      </x:c>
    </x:row>
    <x:row r="61">
      <x:c r="A61" t="n">
        <x:v>15</x:v>
      </x:c>
      <x:c r="B61" t="inlineStr">
        <x:is>
          <x:t>PPS</x:t>
        </x:is>
      </x:c>
      <x:c r="C61"/>
      <x:c r="D61" s="23" t="n">
        <x:v>0.01</x:v>
      </x:c>
      <x:c r="E61" t="n">
        <x:v>1</x:v>
      </x:c>
      <x:c r="F61" s="24" t="n">
        <x:v>0</x:v>
      </x:c>
      <x:c r="G61" t="inlineStr">
        <x:is>
          <x:t>cGFW5SH6krNhm0Hp</x:t>
        </x:is>
      </x:c>
      <x:c r="H61" t="n">
        <x:v>1</x:v>
      </x:c>
    </x:row>
    <x:row r="62">
      <x:c r="A62" t="n">
        <x:v>16</x:v>
      </x:c>
      <x:c r="B62" t="inlineStr">
        <x:is>
          <x:t>PPS</x:t>
        </x:is>
      </x:c>
      <x:c r="C62"/>
      <x:c r="D62" s="23" t="n">
        <x:v>0.01</x:v>
      </x:c>
      <x:c r="E62" t="n">
        <x:v>1</x:v>
      </x:c>
      <x:c r="F62" s="24" t="n">
        <x:v>0</x:v>
      </x:c>
      <x:c r="G62" t="inlineStr">
        <x:is>
          <x:t>NxfW9cJ9KXhWl4dc</x:t>
        </x:is>
      </x:c>
      <x:c r="H62" t="n">
        <x:v>1</x:v>
      </x:c>
    </x:row>
    <x:row r="63">
      <x:c r="A63" t="n">
        <x:v>17</x:v>
      </x:c>
      <x:c r="B63" t="inlineStr">
        <x:is>
          <x:t>PPS</x:t>
        </x:is>
      </x:c>
      <x:c r="C63"/>
      <x:c r="D63" s="23" t="n">
        <x:v>0.01</x:v>
      </x:c>
      <x:c r="E63" t="n">
        <x:v>1</x:v>
      </x:c>
      <x:c r="F63" s="24" t="n">
        <x:v>0</x:v>
      </x:c>
      <x:c r="G63" t="inlineStr">
        <x:is>
          <x:t>n1N85iIaXz9RpH8e</x:t>
        </x:is>
      </x:c>
      <x:c r="H63" t="n">
        <x:v>1</x:v>
      </x:c>
    </x:row>
    <x:row r="64">
      <x:c r="A64" t="n">
        <x:v>18</x:v>
      </x:c>
      <x:c r="B64" t="inlineStr">
        <x:is>
          <x:t>PPS</x:t>
        </x:is>
      </x:c>
      <x:c r="C64"/>
      <x:c r="D64" s="23" t="n">
        <x:v>0.01</x:v>
      </x:c>
      <x:c r="E64" t="n">
        <x:v>1</x:v>
      </x:c>
      <x:c r="F64" s="24" t="n">
        <x:v>0</x:v>
      </x:c>
      <x:c r="G64" t="inlineStr">
        <x:is>
          <x:t>XelA3iPItjhirBkv</x:t>
        </x:is>
      </x:c>
      <x:c r="H64" t="n">
        <x:v>1</x:v>
      </x:c>
    </x:row>
    <x:row r="65">
      <x:c r="A65" t="n">
        <x:v>19</x:v>
      </x:c>
      <x:c r="B65" t="inlineStr">
        <x:is>
          <x:t>PPS</x:t>
        </x:is>
      </x:c>
      <x:c r="C65"/>
      <x:c r="D65" s="23" t="n">
        <x:v>0.01</x:v>
      </x:c>
      <x:c r="E65" t="n">
        <x:v>1</x:v>
      </x:c>
      <x:c r="F65" s="24" t="n">
        <x:v>0.04568858987055527</x:v>
      </x:c>
      <x:c r="G65" t="inlineStr">
        <x:is>
          <x:t>As1dury1ngykfNJO</x:t>
        </x:is>
      </x:c>
      <x:c r="H65" t="n">
        <x:v>1</x:v>
      </x:c>
    </x:row>
    <x:row r="66">
      <x:c r="A66" t="n">
        <x:v>20</x:v>
      </x:c>
      <x:c r="B66" t="inlineStr">
        <x:is>
          <x:t>PPS</x:t>
        </x:is>
      </x:c>
      <x:c r="C66"/>
      <x:c r="D66" s="23" t="n">
        <x:v>0.01</x:v>
      </x:c>
      <x:c r="E66" t="n">
        <x:v>1</x:v>
      </x:c>
      <x:c r="F66" s="24" t="n">
        <x:v>0</x:v>
      </x:c>
      <x:c r="G66" t="inlineStr">
        <x:is>
          <x:t>qNvEP4bXjIlGL3pz</x:t>
        </x:is>
      </x:c>
      <x:c r="H66" t="n">
        <x:v>1</x:v>
      </x:c>
    </x:row>
    <x:row r="67">
      <x:c r="A67" t="n">
        <x:v>21</x:v>
      </x:c>
      <x:c r="B67" t="inlineStr">
        <x:is>
          <x:t>PPS</x:t>
        </x:is>
      </x:c>
      <x:c r="C67"/>
      <x:c r="D67" s="23" t="n">
        <x:v>0.01</x:v>
      </x:c>
      <x:c r="E67" t="n">
        <x:v>1</x:v>
      </x:c>
      <x:c r="F67" s="24" t="n">
        <x:v>0</x:v>
      </x:c>
      <x:c r="G67" t="inlineStr">
        <x:is>
          <x:t>R06QbnVFPwxIHaxO</x:t>
        </x:is>
      </x:c>
      <x:c r="H67" t="n">
        <x:v>1</x:v>
      </x:c>
    </x:row>
    <x:row r="68">
      <x:c r="A68" t="n">
        <x:v>22</x:v>
      </x:c>
      <x:c r="B68" t="inlineStr">
        <x:is>
          <x:t>PPS</x:t>
        </x:is>
      </x:c>
      <x:c r="C68"/>
      <x:c r="D68" s="23" t="n">
        <x:v>0.01</x:v>
      </x:c>
      <x:c r="E68" t="n">
        <x:v>1</x:v>
      </x:c>
      <x:c r="F68" s="24" t="n">
        <x:v>0</x:v>
      </x:c>
      <x:c r="G68" t="inlineStr">
        <x:is>
          <x:t>Zn17slSh4K7RbHdH</x:t>
        </x:is>
      </x:c>
      <x:c r="H68" t="n">
        <x:v>1</x:v>
      </x:c>
    </x:row>
    <x:row r="69">
      <x:c r="A69" t="n">
        <x:v>23</x:v>
      </x:c>
      <x:c r="B69" t="inlineStr">
        <x:is>
          <x:t>PPS</x:t>
        </x:is>
      </x:c>
      <x:c r="C69"/>
      <x:c r="D69" s="23" t="n">
        <x:v>0.01</x:v>
      </x:c>
      <x:c r="E69" t="n">
        <x:v>1</x:v>
      </x:c>
      <x:c r="F69" s="24" t="n">
        <x:v>0</x:v>
      </x:c>
      <x:c r="G69" t="inlineStr">
        <x:is>
          <x:t>TyLD1Oi4dRf0AwBn</x:t>
        </x:is>
      </x:c>
      <x:c r="H69" t="n">
        <x:v>1</x:v>
      </x:c>
    </x:row>
    <x:row r="70">
      <x:c r="A70" t="n">
        <x:v>24</x:v>
      </x:c>
      <x:c r="B70" t="inlineStr">
        <x:is>
          <x:t>PPS</x:t>
        </x:is>
      </x:c>
      <x:c r="C70"/>
      <x:c r="D70" s="23" t="n">
        <x:v>0.01</x:v>
      </x:c>
      <x:c r="E70" t="n">
        <x:v>1</x:v>
      </x:c>
      <x:c r="F70" s="24" t="n">
        <x:v>0</x:v>
      </x:c>
      <x:c r="G70" t="inlineStr">
        <x:is>
          <x:t>Ww1rVJdTXwwOpa4E</x:t>
        </x:is>
      </x:c>
      <x:c r="H70" t="n">
        <x:v>1</x:v>
      </x:c>
    </x:row>
    <x:row r="71">
      <x:c r="A71" t="n">
        <x:v>25</x:v>
      </x:c>
      <x:c r="B71" t="inlineStr">
        <x:is>
          <x:t>PPS</x:t>
        </x:is>
      </x:c>
      <x:c r="C71"/>
      <x:c r="D71" s="23" t="n">
        <x:v>0.01</x:v>
      </x:c>
      <x:c r="E71" t="n">
        <x:v>1</x:v>
      </x:c>
      <x:c r="F71" s="24" t="n">
        <x:v>0</x:v>
      </x:c>
      <x:c r="G71" t="inlineStr">
        <x:is>
          <x:t>VID5SmfiejGyY3qj</x:t>
        </x:is>
      </x:c>
      <x:c r="H71" t="n">
        <x:v>1</x:v>
      </x:c>
    </x:row>
    <x:row r="72">
      <x:c r="A72" t="n">
        <x:v>26</x:v>
      </x:c>
      <x:c r="B72" t="inlineStr">
        <x:is>
          <x:t>PPS</x:t>
        </x:is>
      </x:c>
      <x:c r="C72"/>
      <x:c r="D72" s="23" t="n">
        <x:v>0.01</x:v>
      </x:c>
      <x:c r="E72" t="n">
        <x:v>1</x:v>
      </x:c>
      <x:c r="F72" s="24" t="n">
        <x:v>-0.020403296779622902</x:v>
      </x:c>
      <x:c r="G72" t="inlineStr">
        <x:is>
          <x:t>AIx7kn4UZc9XuQ8w</x:t>
        </x:is>
      </x:c>
      <x:c r="H72" t="n">
        <x:v>1</x:v>
      </x:c>
    </x:row>
    <x:row r="73">
      <x:c r="A73" t="n">
        <x:v>27</x:v>
      </x:c>
      <x:c r="B73" t="inlineStr">
        <x:is>
          <x:t>PPS</x:t>
        </x:is>
      </x:c>
      <x:c r="C73"/>
      <x:c r="D73" s="23" t="n">
        <x:v>0.01</x:v>
      </x:c>
      <x:c r="E73" t="n">
        <x:v>1</x:v>
      </x:c>
      <x:c r="F73" s="24" t="n">
        <x:v>0</x:v>
      </x:c>
      <x:c r="G73" t="inlineStr">
        <x:is>
          <x:t>hs12y7kDGRU7JdUQ</x:t>
        </x:is>
      </x:c>
      <x:c r="H73" t="n">
        <x:v>1</x:v>
      </x:c>
    </x:row>
    <x:row r="74">
      <x:c r="A74" t="n">
        <x:v>28</x:v>
      </x:c>
      <x:c r="B74" t="inlineStr">
        <x:is>
          <x:t>PPS</x:t>
        </x:is>
      </x:c>
      <x:c r="C74"/>
      <x:c r="D74" s="23" t="n">
        <x:v>0.01</x:v>
      </x:c>
      <x:c r="E74" t="n">
        <x:v>1</x:v>
      </x:c>
      <x:c r="F74" s="24" t="n">
        <x:v>0</x:v>
      </x:c>
      <x:c r="G74" t="inlineStr">
        <x:is>
          <x:t>hQ9zOfRkfTPMpNdr</x:t>
        </x:is>
      </x:c>
      <x:c r="H74" t="n">
        <x:v>1</x:v>
      </x:c>
    </x:row>
    <x:row r="75">
      <x:c r="A75" t="n">
        <x:v>29</x:v>
      </x:c>
      <x:c r="B75" t="inlineStr">
        <x:is>
          <x:t>PPS</x:t>
        </x:is>
      </x:c>
      <x:c r="C75"/>
      <x:c r="D75" s="23" t="n">
        <x:v>0.01</x:v>
      </x:c>
      <x:c r="E75" t="n">
        <x:v>1</x:v>
      </x:c>
      <x:c r="F75" s="24" t="n">
        <x:v>0</x:v>
      </x:c>
      <x:c r="G75" t="inlineStr">
        <x:is>
          <x:t>NLFPpLrcC2CFvH1x</x:t>
        </x:is>
      </x:c>
      <x:c r="H75" t="n">
        <x:v>1</x:v>
      </x:c>
    </x:row>
    <x:row r="76">
      <x:c r="A76" t="n">
        <x:v>30</x:v>
      </x:c>
      <x:c r="B76" t="inlineStr">
        <x:is>
          <x:t>PPS</x:t>
        </x:is>
      </x:c>
      <x:c r="C76"/>
      <x:c r="D76" s="23" t="n">
        <x:v>0.01</x:v>
      </x:c>
      <x:c r="E76" t="n">
        <x:v>1</x:v>
      </x:c>
      <x:c r="F76" s="24" t="n">
        <x:v>0</x:v>
      </x:c>
      <x:c r="G76" t="inlineStr">
        <x:is>
          <x:t>7KhJ8jKNAlp3wHXO</x:t>
        </x:is>
      </x:c>
      <x:c r="H76" t="n">
        <x:v>1</x:v>
      </x:c>
    </x:row>
    <x:row r="77">
      <x:c r="A77" t="n">
        <x:v>31</x:v>
      </x:c>
      <x:c r="B77" t="inlineStr">
        <x:is>
          <x:t>PPS</x:t>
        </x:is>
      </x:c>
      <x:c r="C77"/>
      <x:c r="D77" s="23" t="n">
        <x:v>0.01</x:v>
      </x:c>
      <x:c r="E77" t="n">
        <x:v>1</x:v>
      </x:c>
      <x:c r="F77" s="24" t="n">
        <x:v>0</x:v>
      </x:c>
      <x:c r="G77" t="inlineStr">
        <x:is>
          <x:t>fC94y9H3uqyZvV3l</x:t>
        </x:is>
      </x:c>
      <x:c r="H77" t="n">
        <x:v>1</x:v>
      </x:c>
    </x:row>
    <x:row r="78">
      <x:c r="A78" t="n">
        <x:v>32</x:v>
      </x:c>
      <x:c r="B78" t="inlineStr">
        <x:is>
          <x:t>PPS</x:t>
        </x:is>
      </x:c>
      <x:c r="C78"/>
      <x:c r="D78" s="23" t="n">
        <x:v>0.01</x:v>
      </x:c>
      <x:c r="E78" t="n">
        <x:v>1</x:v>
      </x:c>
      <x:c r="F78" s="24" t="n">
        <x:v>0</x:v>
      </x:c>
      <x:c r="G78" t="inlineStr">
        <x:is>
          <x:t>TX2AgPWlGy37ZETm</x:t>
        </x:is>
      </x:c>
      <x:c r="H78" t="n">
        <x:v>1</x:v>
      </x:c>
    </x:row>
    <x:row r="79">
      <x:c r="A79" t="n">
        <x:v>33</x:v>
      </x:c>
      <x:c r="B79" t="inlineStr">
        <x:is>
          <x:t>PPS</x:t>
        </x:is>
      </x:c>
      <x:c r="C79"/>
      <x:c r="D79" s="23" t="n">
        <x:v>0.01</x:v>
      </x:c>
      <x:c r="E79" t="n">
        <x:v>1</x:v>
      </x:c>
      <x:c r="F79" s="24" t="n">
        <x:v>0</x:v>
      </x:c>
      <x:c r="G79" t="inlineStr">
        <x:is>
          <x:t>s4CHMC0Q4IqBROPC</x:t>
        </x:is>
      </x:c>
      <x:c r="H79" t="n">
        <x:v>1</x:v>
      </x:c>
    </x:row>
    <x:row r="80">
      <x:c r="A80" t="n">
        <x:v>35</x:v>
      </x:c>
      <x:c r="B80" t="inlineStr">
        <x:is>
          <x:t>PPS</x:t>
        </x:is>
      </x:c>
      <x:c r="C80"/>
      <x:c r="D80" s="23" t="n">
        <x:v>0.01</x:v>
      </x:c>
      <x:c r="E80" t="n">
        <x:v>1</x:v>
      </x:c>
      <x:c r="F80" s="24" t="n">
        <x:v>0</x:v>
      </x:c>
      <x:c r="G80" t="inlineStr">
        <x:is>
          <x:t>OVc9pnVIH7BJ5SAw</x:t>
        </x:is>
      </x:c>
      <x:c r="H80" t="n">
        <x:v>1</x:v>
      </x:c>
    </x:row>
    <x:row r="81">
      <x:c r="A81" t="n">
        <x:v>34</x:v>
      </x:c>
      <x:c r="B81" t="inlineStr">
        <x:is>
          <x:t>PPS</x:t>
        </x:is>
      </x:c>
      <x:c r="C81"/>
      <x:c r="D81" s="23" t="n">
        <x:v>0.01</x:v>
      </x:c>
      <x:c r="E81" t="n">
        <x:v>1</x:v>
      </x:c>
      <x:c r="F81" s="24" t="n">
        <x:v>0</x:v>
      </x:c>
      <x:c r="G81" t="inlineStr">
        <x:is>
          <x:t>Xjf9SJ97KNQ6cMiY</x:t>
        </x:is>
      </x:c>
      <x:c r="H81" t="n">
        <x:v>1</x:v>
      </x:c>
    </x:row>
    <x:row r="82">
      <x:c r="A82" t="n">
        <x:v>0</x:v>
      </x:c>
      <x:c r="B82" t="inlineStr">
        <x:is>
          <x:t>PPS</x:t>
        </x:is>
      </x:c>
      <x:c r="C82"/>
      <x:c r="D82" s="23" t="n">
        <x:v>0.001</x:v>
      </x:c>
      <x:c r="E82" t="n">
        <x:v>1</x:v>
      </x:c>
      <x:c r="F82" s="24" t="n">
        <x:v>-0.07229195955602603</x:v>
      </x:c>
      <x:c r="G82" t="inlineStr">
        <x:is>
          <x:t>Y4w6ODhOvQaEMEBE</x:t>
        </x:is>
      </x:c>
      <x:c r="H82" t="n">
        <x:v>1</x:v>
      </x:c>
    </x:row>
    <x:row r="83">
      <x:c r="A83" t="n">
        <x:v>1</x:v>
      </x:c>
      <x:c r="B83" t="inlineStr">
        <x:is>
          <x:t>PPS</x:t>
        </x:is>
      </x:c>
      <x:c r="C83"/>
      <x:c r="D83" s="23" t="n">
        <x:v>0.001</x:v>
      </x:c>
      <x:c r="E83" t="n">
        <x:v>1</x:v>
      </x:c>
      <x:c r="F83" s="24" t="n">
        <x:v>0.009595883983312898</x:v>
      </x:c>
      <x:c r="G83" t="inlineStr">
        <x:is>
          <x:t>nEUBAvmXYZJCPz6T</x:t>
        </x:is>
      </x:c>
      <x:c r="H83" t="n">
        <x:v>1</x:v>
      </x:c>
    </x:row>
    <x:row r="84">
      <x:c r="A84" t="n">
        <x:v>2</x:v>
      </x:c>
      <x:c r="B84" t="inlineStr">
        <x:is>
          <x:t>PPS</x:t>
        </x:is>
      </x:c>
      <x:c r="C84"/>
      <x:c r="D84" s="23" t="n">
        <x:v>0.001</x:v>
      </x:c>
      <x:c r="E84" t="n">
        <x:v>1</x:v>
      </x:c>
      <x:c r="F84" s="24" t="n">
        <x:v>0</x:v>
      </x:c>
      <x:c r="G84" t="inlineStr">
        <x:is>
          <x:t>Ad1g5x7Rz5rKutyM</x:t>
        </x:is>
      </x:c>
      <x:c r="H84" t="n">
        <x:v>1</x:v>
      </x:c>
    </x:row>
    <x:row r="85">
      <x:c r="A85" t="n">
        <x:v>3</x:v>
      </x:c>
      <x:c r="B85" t="inlineStr">
        <x:is>
          <x:t>PPS</x:t>
        </x:is>
      </x:c>
      <x:c r="C85"/>
      <x:c r="D85" s="23" t="n">
        <x:v>0.001</x:v>
      </x:c>
      <x:c r="E85" t="n">
        <x:v>1</x:v>
      </x:c>
      <x:c r="F85" s="24" t="n">
        <x:v>-0.04000233981544665</x:v>
      </x:c>
      <x:c r="G85" t="inlineStr">
        <x:is>
          <x:t>SPBvCC2VMTvlYFpr</x:t>
        </x:is>
      </x:c>
      <x:c r="H85" t="n">
        <x:v>1</x:v>
      </x:c>
    </x:row>
    <x:row r="86">
      <x:c r="A86" t="n">
        <x:v>4</x:v>
      </x:c>
      <x:c r="B86" t="inlineStr">
        <x:is>
          <x:t>PPS</x:t>
        </x:is>
      </x:c>
      <x:c r="C86"/>
      <x:c r="D86" s="23" t="n">
        <x:v>0.001</x:v>
      </x:c>
      <x:c r="E86" t="n">
        <x:v>1</x:v>
      </x:c>
      <x:c r="F86" s="24" t="n">
        <x:v>-0.01571540365033924</x:v>
      </x:c>
      <x:c r="G86" t="inlineStr">
        <x:is>
          <x:t>aBVZQHy2oOfRp25c</x:t>
        </x:is>
      </x:c>
      <x:c r="H86" t="n">
        <x:v>1</x:v>
      </x:c>
    </x:row>
    <x:row r="87">
      <x:c r="A87" t="n">
        <x:v>5</x:v>
      </x:c>
      <x:c r="B87" t="inlineStr">
        <x:is>
          <x:t>PPS</x:t>
        </x:is>
      </x:c>
      <x:c r="C87"/>
      <x:c r="D87" s="23" t="n">
        <x:v>0.001</x:v>
      </x:c>
      <x:c r="E87" t="n">
        <x:v>1</x:v>
      </x:c>
      <x:c r="F87" s="24" t="n">
        <x:v>0.00168191378938334</x:v>
      </x:c>
      <x:c r="G87" t="inlineStr">
        <x:is>
          <x:t>ryM49NQEjsPWQxGt</x:t>
        </x:is>
      </x:c>
      <x:c r="H87" t="n">
        <x:v>1</x:v>
      </x:c>
    </x:row>
    <x:row r="88">
      <x:c r="A88" t="n">
        <x:v>6</x:v>
      </x:c>
      <x:c r="B88" t="inlineStr">
        <x:is>
          <x:t>PPS</x:t>
        </x:is>
      </x:c>
      <x:c r="C88"/>
      <x:c r="D88" s="23" t="n">
        <x:v>0.001</x:v>
      </x:c>
      <x:c r="E88" t="n">
        <x:v>1</x:v>
      </x:c>
      <x:c r="F88" s="24" t="n">
        <x:v>0</x:v>
      </x:c>
      <x:c r="G88" t="inlineStr">
        <x:is>
          <x:t>ERSm3Ge7UepkJty7</x:t>
        </x:is>
      </x:c>
      <x:c r="H88" t="n">
        <x:v>1</x:v>
      </x:c>
    </x:row>
    <x:row r="89">
      <x:c r="A89" t="n">
        <x:v>7</x:v>
      </x:c>
      <x:c r="B89" t="inlineStr">
        <x:is>
          <x:t>PPS</x:t>
        </x:is>
      </x:c>
      <x:c r="C89"/>
      <x:c r="D89" s="23" t="n">
        <x:v>0.001</x:v>
      </x:c>
      <x:c r="E89" t="n">
        <x:v>1</x:v>
      </x:c>
      <x:c r="F89" s="24" t="n">
        <x:v>-0.03607776529546388</x:v>
      </x:c>
      <x:c r="G89" t="inlineStr">
        <x:is>
          <x:t>qSvQCkye2uT5bioE</x:t>
        </x:is>
      </x:c>
      <x:c r="H89" t="n">
        <x:v>1</x:v>
      </x:c>
    </x:row>
    <x:row r="90">
      <x:c r="A90" t="n">
        <x:v>8</x:v>
      </x:c>
      <x:c r="B90" t="inlineStr">
        <x:is>
          <x:t>PPS</x:t>
        </x:is>
      </x:c>
      <x:c r="C90"/>
      <x:c r="D90" s="23" t="n">
        <x:v>0.001</x:v>
      </x:c>
      <x:c r="E90" t="n">
        <x:v>1</x:v>
      </x:c>
      <x:c r="F90" s="24" t="n">
        <x:v>0.04348408046300303</x:v>
      </x:c>
      <x:c r="G90" t="inlineStr">
        <x:is>
          <x:t>AOBSFCYfBLwjRIUC</x:t>
        </x:is>
      </x:c>
      <x:c r="H90" t="n">
        <x:v>1</x:v>
      </x:c>
    </x:row>
    <x:row r="91">
      <x:c r="A91" t="n">
        <x:v>9</x:v>
      </x:c>
      <x:c r="B91" t="inlineStr">
        <x:is>
          <x:t>PPS</x:t>
        </x:is>
      </x:c>
      <x:c r="C91"/>
      <x:c r="D91" s="23" t="n">
        <x:v>0.001</x:v>
      </x:c>
      <x:c r="E91" t="n">
        <x:v>1</x:v>
      </x:c>
      <x:c r="F91" s="24" t="n">
        <x:v>-0.009462324060440643</x:v>
      </x:c>
      <x:c r="G91" t="inlineStr">
        <x:is>
          <x:t>X5npAZ6zkZNTh0GN</x:t>
        </x:is>
      </x:c>
      <x:c r="H91" t="n">
        <x:v>1</x:v>
      </x:c>
    </x:row>
    <x:row r="92">
      <x:c r="A92" t="n">
        <x:v>10</x:v>
      </x:c>
      <x:c r="B92" t="inlineStr">
        <x:is>
          <x:t>PPS</x:t>
        </x:is>
      </x:c>
      <x:c r="C92"/>
      <x:c r="D92" s="23" t="n">
        <x:v>0.001</x:v>
      </x:c>
      <x:c r="E92" t="n">
        <x:v>1</x:v>
      </x:c>
      <x:c r="F92" s="24" t="n">
        <x:v>0.006326630804735615</x:v>
      </x:c>
      <x:c r="G92" t="inlineStr">
        <x:is>
          <x:t>VwZ1ihwSNXC5UROj</x:t>
        </x:is>
      </x:c>
      <x:c r="H92" t="n">
        <x:v>1</x:v>
      </x:c>
    </x:row>
    <x:row r="93">
      <x:c r="A93" t="n">
        <x:v>11</x:v>
      </x:c>
      <x:c r="B93" t="inlineStr">
        <x:is>
          <x:t>PPS</x:t>
        </x:is>
      </x:c>
      <x:c r="C93"/>
      <x:c r="D93" s="23" t="n">
        <x:v>0.001</x:v>
      </x:c>
      <x:c r="E93" t="n">
        <x:v>1</x:v>
      </x:c>
      <x:c r="F93" s="24" t="n">
        <x:v>0</x:v>
      </x:c>
      <x:c r="G93" t="inlineStr">
        <x:is>
          <x:t>uq9niTD7ua3Hd7HP</x:t>
        </x:is>
      </x:c>
      <x:c r="H93" t="n">
        <x:v>1</x:v>
      </x:c>
    </x:row>
    <x:row r="94">
      <x:c r="A94" t="n">
        <x:v>12</x:v>
      </x:c>
      <x:c r="B94" t="inlineStr">
        <x:is>
          <x:t>PPS</x:t>
        </x:is>
      </x:c>
      <x:c r="C94"/>
      <x:c r="D94" s="23" t="n">
        <x:v>0.001</x:v>
      </x:c>
      <x:c r="E94" t="n">
        <x:v>1</x:v>
      </x:c>
      <x:c r="F94" s="24" t="n">
        <x:v>0.0049138863208217426</x:v>
      </x:c>
      <x:c r="G94" t="inlineStr">
        <x:is>
          <x:t>0HOBApq09oRK27tw</x:t>
        </x:is>
      </x:c>
      <x:c r="H94" t="n">
        <x:v>1</x:v>
      </x:c>
    </x:row>
    <x:row r="95">
      <x:c r="A95" t="n">
        <x:v>13</x:v>
      </x:c>
      <x:c r="B95" t="inlineStr">
        <x:is>
          <x:t>PPS</x:t>
        </x:is>
      </x:c>
      <x:c r="C95"/>
      <x:c r="D95" s="23" t="n">
        <x:v>0.001</x:v>
      </x:c>
      <x:c r="E95" t="n">
        <x:v>1</x:v>
      </x:c>
      <x:c r="F95" s="24" t="n">
        <x:v>0.015452748238028724</x:v>
      </x:c>
      <x:c r="G95" t="inlineStr">
        <x:is>
          <x:t>8MT0rFxHFwm6yP6C</x:t>
        </x:is>
      </x:c>
      <x:c r="H95" t="n">
        <x:v>1</x:v>
      </x:c>
    </x:row>
    <x:row r="96">
      <x:c r="A96" t="n">
        <x:v>15</x:v>
      </x:c>
      <x:c r="B96" t="inlineStr">
        <x:is>
          <x:t>PPS</x:t>
        </x:is>
      </x:c>
      <x:c r="C96"/>
      <x:c r="D96" s="23" t="n">
        <x:v>0.001</x:v>
      </x:c>
      <x:c r="E96" t="n">
        <x:v>1</x:v>
      </x:c>
      <x:c r="F96" s="24" t="n">
        <x:v>-0.0050381798300501565</x:v>
      </x:c>
      <x:c r="G96" t="inlineStr">
        <x:is>
          <x:t>8PSxvOeSy3Shxn0K</x:t>
        </x:is>
      </x:c>
      <x:c r="H96" t="n">
        <x:v>1</x:v>
      </x:c>
    </x:row>
    <x:row r="97">
      <x:c r="A97" t="n">
        <x:v>16</x:v>
      </x:c>
      <x:c r="B97" t="inlineStr">
        <x:is>
          <x:t>PPS</x:t>
        </x:is>
      </x:c>
      <x:c r="C97"/>
      <x:c r="D97" s="23" t="n">
        <x:v>0.001</x:v>
      </x:c>
      <x:c r="E97" t="n">
        <x:v>1</x:v>
      </x:c>
      <x:c r="F97" s="24" t="n">
        <x:v>-0.031116192868522075</x:v>
      </x:c>
      <x:c r="G97" t="inlineStr">
        <x:is>
          <x:t>wrb9mPZ5GHyZhS8I</x:t>
        </x:is>
      </x:c>
      <x:c r="H97" t="n">
        <x:v>1</x:v>
      </x:c>
    </x:row>
    <x:row r="98">
      <x:c r="A98" t="n">
        <x:v>17</x:v>
      </x:c>
      <x:c r="B98" t="inlineStr">
        <x:is>
          <x:t>PPS</x:t>
        </x:is>
      </x:c>
      <x:c r="C98"/>
      <x:c r="D98" s="23" t="n">
        <x:v>0.001</x:v>
      </x:c>
      <x:c r="E98" t="n">
        <x:v>1</x:v>
      </x:c>
      <x:c r="F98" s="24" t="n">
        <x:v>0</x:v>
      </x:c>
      <x:c r="G98" t="inlineStr">
        <x:is>
          <x:t>tGiKo8iq60FLkMvB</x:t>
        </x:is>
      </x:c>
      <x:c r="H98" t="n">
        <x:v>1</x:v>
      </x:c>
    </x:row>
    <x:row r="99">
      <x:c r="A99" t="n">
        <x:v>19</x:v>
      </x:c>
      <x:c r="B99" t="inlineStr">
        <x:is>
          <x:t>PPS</x:t>
        </x:is>
      </x:c>
      <x:c r="C99"/>
      <x:c r="D99" s="23" t="n">
        <x:v>0.001</x:v>
      </x:c>
      <x:c r="E99" t="n">
        <x:v>1</x:v>
      </x:c>
      <x:c r="F99" s="24" t="n">
        <x:v>-0.13462112177002544</x:v>
      </x:c>
      <x:c r="G99" t="inlineStr">
        <x:is>
          <x:t>VFhkjBkMd3ySlz9R</x:t>
        </x:is>
      </x:c>
      <x:c r="H99" t="n">
        <x:v>1</x:v>
      </x:c>
    </x:row>
    <x:row r="100">
      <x:c r="A100" t="n">
        <x:v>14</x:v>
      </x:c>
      <x:c r="B100" t="inlineStr">
        <x:is>
          <x:t>PPS</x:t>
        </x:is>
      </x:c>
      <x:c r="C100"/>
      <x:c r="D100" s="23" t="n">
        <x:v>0.001</x:v>
      </x:c>
      <x:c r="E100" t="n">
        <x:v>1</x:v>
      </x:c>
      <x:c r="F100" s="24" t="n">
        <x:v>0</x:v>
      </x:c>
      <x:c r="G100" t="inlineStr">
        <x:is>
          <x:t>NcPzuUkOexQBB7F1</x:t>
        </x:is>
      </x:c>
      <x:c r="H100" t="n">
        <x:v>1</x:v>
      </x:c>
    </x:row>
    <x:row r="101">
      <x:c r="A101" t="n">
        <x:v>20</x:v>
      </x:c>
      <x:c r="B101" t="inlineStr">
        <x:is>
          <x:t>PPS</x:t>
        </x:is>
      </x:c>
      <x:c r="C101"/>
      <x:c r="D101" s="23" t="n">
        <x:v>0.001</x:v>
      </x:c>
      <x:c r="E101" t="n">
        <x:v>1</x:v>
      </x:c>
      <x:c r="F101" s="24" t="n">
        <x:v>0</x:v>
      </x:c>
      <x:c r="G101" t="inlineStr">
        <x:is>
          <x:t>6VfhLjzsWWCMgZDK</x:t>
        </x:is>
      </x:c>
      <x:c r="H101" t="n">
        <x:v>1</x:v>
      </x:c>
    </x:row>
    <x:row r="102">
      <x:c r="A102" t="n">
        <x:v>18</x:v>
      </x:c>
      <x:c r="B102" t="inlineStr">
        <x:is>
          <x:t>PPS</x:t>
        </x:is>
      </x:c>
      <x:c r="C102"/>
      <x:c r="D102" s="23" t="n">
        <x:v>0.001</x:v>
      </x:c>
      <x:c r="E102" t="n">
        <x:v>1</x:v>
      </x:c>
      <x:c r="F102" s="24" t="n">
        <x:v>0.016110657686442494</x:v>
      </x:c>
      <x:c r="G102" t="inlineStr">
        <x:is>
          <x:t>86l9MYnYbru84AoB</x:t>
        </x:is>
      </x:c>
      <x:c r="H102" t="n">
        <x:v>1</x:v>
      </x:c>
    </x:row>
    <x:row r="103">
      <x:c r="A103" t="n">
        <x:v>21</x:v>
      </x:c>
      <x:c r="B103" t="inlineStr">
        <x:is>
          <x:t>PPS</x:t>
        </x:is>
      </x:c>
      <x:c r="C103"/>
      <x:c r="D103" s="23" t="n">
        <x:v>0.001</x:v>
      </x:c>
      <x:c r="E103" t="n">
        <x:v>1</x:v>
      </x:c>
      <x:c r="F103" s="24" t="n">
        <x:v>-0.01428996393027554</x:v>
      </x:c>
      <x:c r="G103" t="inlineStr">
        <x:is>
          <x:t>sJJUOvfbfm1Zp16y</x:t>
        </x:is>
      </x:c>
      <x:c r="H103" t="n">
        <x:v>1</x:v>
      </x:c>
    </x:row>
    <x:row r="104">
      <x:c r="A104" t="n">
        <x:v>22</x:v>
      </x:c>
      <x:c r="B104" t="inlineStr">
        <x:is>
          <x:t>PPS</x:t>
        </x:is>
      </x:c>
      <x:c r="C104"/>
      <x:c r="D104" s="23" t="n">
        <x:v>0.001</x:v>
      </x:c>
      <x:c r="E104" t="n">
        <x:v>1</x:v>
      </x:c>
      <x:c r="F104" s="24" t="n">
        <x:v>-0.0014242683382372308</x:v>
      </x:c>
      <x:c r="G104" t="inlineStr">
        <x:is>
          <x:t>qEDGDFiIfE6yjGa4</x:t>
        </x:is>
      </x:c>
      <x:c r="H104" t="n">
        <x:v>1</x:v>
      </x:c>
    </x:row>
    <x:row r="105">
      <x:c r="A105" t="n">
        <x:v>23</x:v>
      </x:c>
      <x:c r="B105" t="inlineStr">
        <x:is>
          <x:t>PPS</x:t>
        </x:is>
      </x:c>
      <x:c r="C105"/>
      <x:c r="D105" s="23" t="n">
        <x:v>0.001</x:v>
      </x:c>
      <x:c r="E105" t="n">
        <x:v>1</x:v>
      </x:c>
      <x:c r="F105" s="24" t="n">
        <x:v>-0.007664271539504675</x:v>
      </x:c>
      <x:c r="G105" t="inlineStr">
        <x:is>
          <x:t>eiW2qPvO35DpISjc</x:t>
        </x:is>
      </x:c>
      <x:c r="H105" t="n">
        <x:v>1</x:v>
      </x:c>
    </x:row>
    <x:row r="106">
      <x:c r="A106" t="n">
        <x:v>24</x:v>
      </x:c>
      <x:c r="B106" t="inlineStr">
        <x:is>
          <x:t>PPS</x:t>
        </x:is>
      </x:c>
      <x:c r="C106"/>
      <x:c r="D106" s="23" t="n">
        <x:v>0.001</x:v>
      </x:c>
      <x:c r="E106" t="n">
        <x:v>1</x:v>
      </x:c>
      <x:c r="F106" s="24" t="n">
        <x:v>-0.04062759029013222</x:v>
      </x:c>
      <x:c r="G106" t="inlineStr">
        <x:is>
          <x:t>r38tyhYg2WmTnMW9</x:t>
        </x:is>
      </x:c>
      <x:c r="H106" t="n">
        <x:v>1</x:v>
      </x:c>
    </x:row>
    <x:row r="107">
      <x:c r="A107" t="n">
        <x:v>25</x:v>
      </x:c>
      <x:c r="B107" t="inlineStr">
        <x:is>
          <x:t>PPS</x:t>
        </x:is>
      </x:c>
      <x:c r="C107"/>
      <x:c r="D107" s="23" t="n">
        <x:v>0.001</x:v>
      </x:c>
      <x:c r="E107" t="n">
        <x:v>1</x:v>
      </x:c>
      <x:c r="F107" s="24" t="n">
        <x:v>0</x:v>
      </x:c>
      <x:c r="G107" t="inlineStr">
        <x:is>
          <x:t>BsMHkFTGLD9d9GAJ</x:t>
        </x:is>
      </x:c>
      <x:c r="H107" t="n">
        <x:v>1</x:v>
      </x:c>
    </x:row>
    <x:row r="108">
      <x:c r="A108" t="n">
        <x:v>26</x:v>
      </x:c>
      <x:c r="B108" t="inlineStr">
        <x:is>
          <x:t>PPS</x:t>
        </x:is>
      </x:c>
      <x:c r="C108"/>
      <x:c r="D108" s="23" t="n">
        <x:v>0.001</x:v>
      </x:c>
      <x:c r="E108" t="n">
        <x:v>1</x:v>
      </x:c>
      <x:c r="F108" s="24" t="n">
        <x:v>-0.02744199505252309</x:v>
      </x:c>
      <x:c r="G108" t="inlineStr">
        <x:is>
          <x:t>9Frr61ojnCphHFyJ</x:t>
        </x:is>
      </x:c>
      <x:c r="H108" t="n">
        <x:v>1</x:v>
      </x:c>
    </x:row>
    <x:row r="109">
      <x:c r="A109" t="n">
        <x:v>27</x:v>
      </x:c>
      <x:c r="B109" t="inlineStr">
        <x:is>
          <x:t>PPS</x:t>
        </x:is>
      </x:c>
      <x:c r="C109"/>
      <x:c r="D109" s="23" t="n">
        <x:v>0.001</x:v>
      </x:c>
      <x:c r="E109" t="n">
        <x:v>1</x:v>
      </x:c>
      <x:c r="F109" s="24" t="n">
        <x:v>0</x:v>
      </x:c>
      <x:c r="G109" t="inlineStr">
        <x:is>
          <x:t>pnFJSuOFmEU0LsYm</x:t>
        </x:is>
      </x:c>
      <x:c r="H109" t="n">
        <x:v>1</x:v>
      </x:c>
    </x:row>
    <x:row r="110">
      <x:c r="A110" t="n">
        <x:v>28</x:v>
      </x:c>
      <x:c r="B110" t="inlineStr">
        <x:is>
          <x:t>PPS</x:t>
        </x:is>
      </x:c>
      <x:c r="C110"/>
      <x:c r="D110" s="23" t="n">
        <x:v>0.001</x:v>
      </x:c>
      <x:c r="E110" t="n">
        <x:v>1</x:v>
      </x:c>
      <x:c r="F110" s="24" t="n">
        <x:v>-0.0077258653410061185</x:v>
      </x:c>
      <x:c r="G110" t="inlineStr">
        <x:is>
          <x:t>skMT13Tu7LKivH1k</x:t>
        </x:is>
      </x:c>
      <x:c r="H110" t="n">
        <x:v>1</x:v>
      </x:c>
    </x:row>
    <x:row r="111">
      <x:c r="A111" t="n">
        <x:v>29</x:v>
      </x:c>
      <x:c r="B111" t="inlineStr">
        <x:is>
          <x:t>PPS</x:t>
        </x:is>
      </x:c>
      <x:c r="C111"/>
      <x:c r="D111" s="23" t="n">
        <x:v>0.001</x:v>
      </x:c>
      <x:c r="E111" t="n">
        <x:v>1</x:v>
      </x:c>
      <x:c r="F111" s="24" t="n">
        <x:v>0.0060577937171113145</x:v>
      </x:c>
      <x:c r="G111" t="inlineStr">
        <x:is>
          <x:t>jgcO3PBceBZssFOa</x:t>
        </x:is>
      </x:c>
      <x:c r="H111" t="n">
        <x:v>1</x:v>
      </x:c>
    </x:row>
    <x:row r="112">
      <x:c r="A112" t="n">
        <x:v>30</x:v>
      </x:c>
      <x:c r="B112" t="inlineStr">
        <x:is>
          <x:t>PPS</x:t>
        </x:is>
      </x:c>
      <x:c r="C112"/>
      <x:c r="D112" s="23" t="n">
        <x:v>0.001</x:v>
      </x:c>
      <x:c r="E112" t="n">
        <x:v>1</x:v>
      </x:c>
      <x:c r="F112" s="24" t="n">
        <x:v>-0.07270821827192533</x:v>
      </x:c>
      <x:c r="G112" t="inlineStr">
        <x:is>
          <x:t>fQHUiJVqzCKTvqLf</x:t>
        </x:is>
      </x:c>
      <x:c r="H112" t="n">
        <x:v>1</x:v>
      </x:c>
    </x:row>
    <x:row r="113">
      <x:c r="A113" t="n">
        <x:v>31</x:v>
      </x:c>
      <x:c r="B113" t="inlineStr">
        <x:is>
          <x:t>PPS</x:t>
        </x:is>
      </x:c>
      <x:c r="C113"/>
      <x:c r="D113" s="23" t="n">
        <x:v>0.001</x:v>
      </x:c>
      <x:c r="E113" t="n">
        <x:v>1</x:v>
      </x:c>
      <x:c r="F113" s="24" t="n">
        <x:v>0.029009245614353297</x:v>
      </x:c>
      <x:c r="G113" t="inlineStr">
        <x:is>
          <x:t>MYqmvLBMVcrlG0Cb</x:t>
        </x:is>
      </x:c>
      <x:c r="H113" t="n">
        <x:v>1</x:v>
      </x:c>
    </x:row>
    <x:row r="114">
      <x:c r="A114" t="n">
        <x:v>32</x:v>
      </x:c>
      <x:c r="B114" t="inlineStr">
        <x:is>
          <x:t>PPS</x:t>
        </x:is>
      </x:c>
      <x:c r="C114"/>
      <x:c r="D114" s="23" t="n">
        <x:v>0.001</x:v>
      </x:c>
      <x:c r="E114" t="n">
        <x:v>1</x:v>
      </x:c>
      <x:c r="F114" s="24" t="n">
        <x:v>0</x:v>
      </x:c>
      <x:c r="G114" t="inlineStr">
        <x:is>
          <x:t>mFyyYycRDyDXNKpv</x:t>
        </x:is>
      </x:c>
      <x:c r="H114" t="n">
        <x:v>1</x:v>
      </x:c>
    </x:row>
    <x:row r="115">
      <x:c r="A115" t="n">
        <x:v>33</x:v>
      </x:c>
      <x:c r="B115" t="inlineStr">
        <x:is>
          <x:t>PPS</x:t>
        </x:is>
      </x:c>
      <x:c r="C115"/>
      <x:c r="D115" s="23" t="n">
        <x:v>0.001</x:v>
      </x:c>
      <x:c r="E115" t="n">
        <x:v>1</x:v>
      </x:c>
      <x:c r="F115" s="24" t="n">
        <x:v>-0.0023628022286292143</x:v>
      </x:c>
      <x:c r="G115" t="inlineStr">
        <x:is>
          <x:t>XS6SEyUZjqKUZ8rU</x:t>
        </x:is>
      </x:c>
      <x:c r="H115" t="n">
        <x:v>1</x:v>
      </x:c>
    </x:row>
    <x:row r="116">
      <x:c r="A116" t="n">
        <x:v>34</x:v>
      </x:c>
      <x:c r="B116" t="inlineStr">
        <x:is>
          <x:t>PPS</x:t>
        </x:is>
      </x:c>
      <x:c r="C116"/>
      <x:c r="D116" s="23" t="n">
        <x:v>0.001</x:v>
      </x:c>
      <x:c r="E116" t="n">
        <x:v>1</x:v>
      </x:c>
      <x:c r="F116" s="24" t="n">
        <x:v>0.06810824014251035</x:v>
      </x:c>
      <x:c r="G116" t="inlineStr">
        <x:is>
          <x:t>v9QKDiIrng4vCTBE</x:t>
        </x:is>
      </x:c>
      <x:c r="H116" t="n">
        <x:v>1</x:v>
      </x:c>
    </x:row>
    <x:row r="117">
      <x:c r="A117" t="n">
        <x:v>35</x:v>
      </x:c>
      <x:c r="B117" t="inlineStr">
        <x:is>
          <x:t>PPS</x:t>
        </x:is>
      </x:c>
      <x:c r="C117"/>
      <x:c r="D117" s="23" t="n">
        <x:v>0.001</x:v>
      </x:c>
      <x:c r="E117" t="n">
        <x:v>1</x:v>
      </x:c>
      <x:c r="F117" s="24" t="n">
        <x:v>-0.03219780603650362</x:v>
      </x:c>
      <x:c r="G117" t="inlineStr">
        <x:is>
          <x:t>6hJPFIOc3t9GSd2a</x:t>
        </x:is>
      </x:c>
      <x:c r="H117" t="n">
        <x:v>1</x:v>
      </x:c>
    </x:row>
    <x:row r="118">
      <x:c r="A118" t="n">
        <x:v>0</x:v>
      </x:c>
      <x:c r="B118" t="inlineStr">
        <x:is>
          <x:t>PPS</x:t>
        </x:is>
      </x:c>
      <x:c r="C118"/>
      <x:c r="D118" s="23" t="n">
        <x:v>0.0003</x:v>
      </x:c>
      <x:c r="E118" t="n">
        <x:v>1</x:v>
      </x:c>
      <x:c r="F118" s="24" t="n">
        <x:v>-0.1477495661062709</x:v>
      </x:c>
      <x:c r="G118" t="inlineStr">
        <x:is>
          <x:t>qshrSZgtvfgQIjXp</x:t>
        </x:is>
      </x:c>
      <x:c r="H118" t="n">
        <x:v>1</x:v>
      </x:c>
    </x:row>
    <x:row r="119">
      <x:c r="A119" t="n">
        <x:v>1</x:v>
      </x:c>
      <x:c r="B119" t="inlineStr">
        <x:is>
          <x:t>PPS</x:t>
        </x:is>
      </x:c>
      <x:c r="C119"/>
      <x:c r="D119" s="23" t="n">
        <x:v>0.0003</x:v>
      </x:c>
      <x:c r="E119" t="n">
        <x:v>1</x:v>
      </x:c>
      <x:c r="F119" s="24" t="n">
        <x:v>0.03703531630655743</x:v>
      </x:c>
      <x:c r="G119" t="inlineStr">
        <x:is>
          <x:t>pq78lQeYluBKOPk6</x:t>
        </x:is>
      </x:c>
      <x:c r="H119" t="n">
        <x:v>1</x:v>
      </x:c>
    </x:row>
    <x:row r="120">
      <x:c r="A120" t="n">
        <x:v>4</x:v>
      </x:c>
      <x:c r="B120" t="inlineStr">
        <x:is>
          <x:t>PPS</x:t>
        </x:is>
      </x:c>
      <x:c r="C120"/>
      <x:c r="D120" s="23" t="n">
        <x:v>0.0003</x:v>
      </x:c>
      <x:c r="E120" t="n">
        <x:v>1</x:v>
      </x:c>
      <x:c r="F120" s="24" t="n">
        <x:v>-0.06000096030870204</x:v>
      </x:c>
      <x:c r="G120" t="inlineStr">
        <x:is>
          <x:t>XmyDsExYueEA65tO</x:t>
        </x:is>
      </x:c>
      <x:c r="H120" t="n">
        <x:v>1</x:v>
      </x:c>
    </x:row>
    <x:row r="121">
      <x:c r="A121" t="n">
        <x:v>3</x:v>
      </x:c>
      <x:c r="B121" t="inlineStr">
        <x:is>
          <x:t>PPS</x:t>
        </x:is>
      </x:c>
      <x:c r="C121"/>
      <x:c r="D121" s="23" t="n">
        <x:v>0.0003</x:v>
      </x:c>
      <x:c r="E121" t="n">
        <x:v>1</x:v>
      </x:c>
      <x:c r="F121" s="24" t="n">
        <x:v>-0.06757391111894274</x:v>
      </x:c>
      <x:c r="G121" t="inlineStr">
        <x:is>
          <x:t>ZCnWrUSVmlZ9TUu3</x:t>
        </x:is>
      </x:c>
      <x:c r="H121" t="n">
        <x:v>1</x:v>
      </x:c>
    </x:row>
    <x:row r="122">
      <x:c r="A122" t="n">
        <x:v>2</x:v>
      </x:c>
      <x:c r="B122" t="inlineStr">
        <x:is>
          <x:t>PPS</x:t>
        </x:is>
      </x:c>
      <x:c r="C122"/>
      <x:c r="D122" s="23" t="n">
        <x:v>0.0003</x:v>
      </x:c>
      <x:c r="E122" t="n">
        <x:v>1</x:v>
      </x:c>
      <x:c r="F122" s="24" t="n">
        <x:v>-0.003916018676355947</x:v>
      </x:c>
      <x:c r="G122" t="inlineStr">
        <x:is>
          <x:t>1RgWVOPi9shaq3CA</x:t>
        </x:is>
      </x:c>
      <x:c r="H122" t="n">
        <x:v>1</x:v>
      </x:c>
    </x:row>
    <x:row r="123">
      <x:c r="A123" t="n">
        <x:v>5</x:v>
      </x:c>
      <x:c r="B123" t="inlineStr">
        <x:is>
          <x:t>PPS</x:t>
        </x:is>
      </x:c>
      <x:c r="C123"/>
      <x:c r="D123" s="23" t="n">
        <x:v>0.0003</x:v>
      </x:c>
      <x:c r="E123" t="n">
        <x:v>1</x:v>
      </x:c>
      <x:c r="F123" s="24" t="n">
        <x:v>-0.005726703093379734</x:v>
      </x:c>
      <x:c r="G123" t="inlineStr">
        <x:is>
          <x:t>MkzeQNrsoHK0vBcS</x:t>
        </x:is>
      </x:c>
      <x:c r="H123" t="n">
        <x:v>1</x:v>
      </x:c>
    </x:row>
    <x:row r="124">
      <x:c r="A124" t="n">
        <x:v>7</x:v>
      </x:c>
      <x:c r="B124" t="inlineStr">
        <x:is>
          <x:t>PPS</x:t>
        </x:is>
      </x:c>
      <x:c r="C124"/>
      <x:c r="D124" s="23" t="n">
        <x:v>0.0003</x:v>
      </x:c>
      <x:c r="E124" t="n">
        <x:v>1</x:v>
      </x:c>
      <x:c r="F124" s="24" t="n">
        <x:v>-0.09602565643265631</x:v>
      </x:c>
      <x:c r="G124" t="inlineStr">
        <x:is>
          <x:t>7IlgoRTVfWIAJ5H7</x:t>
        </x:is>
      </x:c>
      <x:c r="H124" t="n">
        <x:v>1</x:v>
      </x:c>
    </x:row>
    <x:row r="125">
      <x:c r="A125" t="n">
        <x:v>8</x:v>
      </x:c>
      <x:c r="B125" t="inlineStr">
        <x:is>
          <x:t>PPS</x:t>
        </x:is>
      </x:c>
      <x:c r="C125"/>
      <x:c r="D125" s="23" t="n">
        <x:v>0.0003</x:v>
      </x:c>
      <x:c r="E125" t="n">
        <x:v>1</x:v>
      </x:c>
      <x:c r="F125" s="24" t="n">
        <x:v>0.06588414569529719</x:v>
      </x:c>
      <x:c r="G125" t="inlineStr">
        <x:is>
          <x:t>rpaanZY5TI0tr6hG</x:t>
        </x:is>
      </x:c>
      <x:c r="H125" t="n">
        <x:v>1</x:v>
      </x:c>
    </x:row>
    <x:row r="126">
      <x:c r="A126" t="n">
        <x:v>6</x:v>
      </x:c>
      <x:c r="B126" t="inlineStr">
        <x:is>
          <x:t>PPS</x:t>
        </x:is>
      </x:c>
      <x:c r="C126"/>
      <x:c r="D126" s="23" t="n">
        <x:v>0.0003</x:v>
      </x:c>
      <x:c r="E126" t="n">
        <x:v>1</x:v>
      </x:c>
      <x:c r="F126" s="24" t="n">
        <x:v>0</x:v>
      </x:c>
      <x:c r="G126" t="inlineStr">
        <x:is>
          <x:t>CiEwvwAd8giNpvY6</x:t>
        </x:is>
      </x:c>
      <x:c r="H126" t="n">
        <x:v>1</x:v>
      </x:c>
    </x:row>
    <x:row r="127">
      <x:c r="A127" t="n">
        <x:v>9</x:v>
      </x:c>
      <x:c r="B127" t="inlineStr">
        <x:is>
          <x:t>PPS</x:t>
        </x:is>
      </x:c>
      <x:c r="C127"/>
      <x:c r="D127" s="23" t="n">
        <x:v>0.0003</x:v>
      </x:c>
      <x:c r="E127" t="n">
        <x:v>1</x:v>
      </x:c>
      <x:c r="F127" s="24" t="n">
        <x:v>0.000888166005816233</x:v>
      </x:c>
      <x:c r="G127" t="inlineStr">
        <x:is>
          <x:t>6VfJ4RZfMeMAyHhV</x:t>
        </x:is>
      </x:c>
      <x:c r="H127" t="n">
        <x:v>1</x:v>
      </x:c>
    </x:row>
    <x:row r="128">
      <x:c r="A128" t="n">
        <x:v>10</x:v>
      </x:c>
      <x:c r="B128" t="inlineStr">
        <x:is>
          <x:t>PPS</x:t>
        </x:is>
      </x:c>
      <x:c r="C128"/>
      <x:c r="D128" s="23" t="n">
        <x:v>0.0003</x:v>
      </x:c>
      <x:c r="E128" t="n">
        <x:v>1</x:v>
      </x:c>
      <x:c r="F128" s="24" t="n">
        <x:v>0.020681492242753174</x:v>
      </x:c>
      <x:c r="G128" t="inlineStr">
        <x:is>
          <x:t>6Tvq6iXx5fQDPtS7</x:t>
        </x:is>
      </x:c>
      <x:c r="H128" t="n">
        <x:v>1</x:v>
      </x:c>
    </x:row>
    <x:row r="129">
      <x:c r="A129" t="n">
        <x:v>11</x:v>
      </x:c>
      <x:c r="B129" t="inlineStr">
        <x:is>
          <x:t>PPS</x:t>
        </x:is>
      </x:c>
      <x:c r="C129"/>
      <x:c r="D129" s="23" t="n">
        <x:v>0.0003</x:v>
      </x:c>
      <x:c r="E129" t="n">
        <x:v>1</x:v>
      </x:c>
      <x:c r="F129" s="24" t="n">
        <x:v>0.0017982867912669758</x:v>
      </x:c>
      <x:c r="G129" t="inlineStr">
        <x:is>
          <x:t>h5XC7bKzcm1m9i1g</x:t>
        </x:is>
      </x:c>
      <x:c r="H129" t="n">
        <x:v>1</x:v>
      </x:c>
    </x:row>
    <x:row r="130">
      <x:c r="A130" t="n">
        <x:v>12</x:v>
      </x:c>
      <x:c r="B130" t="inlineStr">
        <x:is>
          <x:t>PPS</x:t>
        </x:is>
      </x:c>
      <x:c r="C130"/>
      <x:c r="D130" s="23" t="n">
        <x:v>0.0003</x:v>
      </x:c>
      <x:c r="E130" t="n">
        <x:v>1</x:v>
      </x:c>
      <x:c r="F130" s="24" t="n">
        <x:v>0.027874627585989055</x:v>
      </x:c>
      <x:c r="G130" t="inlineStr">
        <x:is>
          <x:t>0Q134qy5kcWo64x3</x:t>
        </x:is>
      </x:c>
      <x:c r="H130" t="n">
        <x:v>1</x:v>
      </x:c>
    </x:row>
    <x:row r="131">
      <x:c r="A131" t="n">
        <x:v>13</x:v>
      </x:c>
      <x:c r="B131" t="inlineStr">
        <x:is>
          <x:t>PPS</x:t>
        </x:is>
      </x:c>
      <x:c r="C131"/>
      <x:c r="D131" s="23" t="n">
        <x:v>0.0003</x:v>
      </x:c>
      <x:c r="E131" t="n">
        <x:v>1</x:v>
      </x:c>
      <x:c r="F131" s="24" t="n">
        <x:v>0.1063288386867453</x:v>
      </x:c>
      <x:c r="G131" t="inlineStr">
        <x:is>
          <x:t>xLQbFAzDRnimqWC7</x:t>
        </x:is>
      </x:c>
      <x:c r="H131" t="n">
        <x:v>1</x:v>
      </x:c>
    </x:row>
    <x:row r="132">
      <x:c r="A132" t="n">
        <x:v>16</x:v>
      </x:c>
      <x:c r="B132" t="inlineStr">
        <x:is>
          <x:t>PPS</x:t>
        </x:is>
      </x:c>
      <x:c r="C132"/>
      <x:c r="D132" s="23" t="n">
        <x:v>0.0003</x:v>
      </x:c>
      <x:c r="E132" t="n">
        <x:v>1</x:v>
      </x:c>
      <x:c r="F132" s="24" t="n">
        <x:v>-0.05709917022579811</x:v>
      </x:c>
      <x:c r="G132" t="inlineStr">
        <x:is>
          <x:t>Ni4hjUFjMoSBSv0F</x:t>
        </x:is>
      </x:c>
      <x:c r="H132" t="n">
        <x:v>1</x:v>
      </x:c>
    </x:row>
    <x:row r="133">
      <x:c r="A133" t="n">
        <x:v>14</x:v>
      </x:c>
      <x:c r="B133" t="inlineStr">
        <x:is>
          <x:t>PPS</x:t>
        </x:is>
      </x:c>
      <x:c r="C133"/>
      <x:c r="D133" s="23" t="n">
        <x:v>0.0003</x:v>
      </x:c>
      <x:c r="E133" t="n">
        <x:v>1</x:v>
      </x:c>
      <x:c r="F133" s="24" t="n">
        <x:v>0</x:v>
      </x:c>
      <x:c r="G133" t="inlineStr">
        <x:is>
          <x:t>kyZfkqc4EugHF1Qy</x:t>
        </x:is>
      </x:c>
      <x:c r="H133" t="n">
        <x:v>1</x:v>
      </x:c>
    </x:row>
    <x:row r="134">
      <x:c r="A134" t="n">
        <x:v>18</x:v>
      </x:c>
      <x:c r="B134" t="inlineStr">
        <x:is>
          <x:t>PPS</x:t>
        </x:is>
      </x:c>
      <x:c r="C134"/>
      <x:c r="D134" s="23" t="n">
        <x:v>0.0003</x:v>
      </x:c>
      <x:c r="E134" t="n">
        <x:v>1</x:v>
      </x:c>
      <x:c r="F134" s="24" t="n">
        <x:v>0.043311353679846544</x:v>
      </x:c>
      <x:c r="G134" t="inlineStr">
        <x:is>
          <x:t>0sfVew43WK3hExe8</x:t>
        </x:is>
      </x:c>
      <x:c r="H134" t="n">
        <x:v>1</x:v>
      </x:c>
    </x:row>
    <x:row r="135">
      <x:c r="A135" t="n">
        <x:v>15</x:v>
      </x:c>
      <x:c r="B135" t="inlineStr">
        <x:is>
          <x:t>PPS</x:t>
        </x:is>
      </x:c>
      <x:c r="C135"/>
      <x:c r="D135" s="23" t="n">
        <x:v>0.0003</x:v>
      </x:c>
      <x:c r="E135" t="n">
        <x:v>1</x:v>
      </x:c>
      <x:c r="F135" s="24" t="n">
        <x:v>-0.010273516444137954</x:v>
      </x:c>
      <x:c r="G135" t="inlineStr">
        <x:is>
          <x:t>xDuIP0UybFYZQdex</x:t>
        </x:is>
      </x:c>
      <x:c r="H135" t="n">
        <x:v>1</x:v>
      </x:c>
    </x:row>
    <x:row r="136">
      <x:c r="A136" t="n">
        <x:v>19</x:v>
      </x:c>
      <x:c r="B136" t="inlineStr">
        <x:is>
          <x:t>PPS</x:t>
        </x:is>
      </x:c>
      <x:c r="C136"/>
      <x:c r="D136" s="23" t="n">
        <x:v>0.0003</x:v>
      </x:c>
      <x:c r="E136" t="n">
        <x:v>1</x:v>
      </x:c>
      <x:c r="F136" s="24" t="n">
        <x:v>-0.24652080455317593</x:v>
      </x:c>
      <x:c r="G136" t="inlineStr">
        <x:is>
          <x:t>sUiezSQ3TghGtO2M</x:t>
        </x:is>
      </x:c>
      <x:c r="H136" t="n">
        <x:v>1</x:v>
      </x:c>
    </x:row>
    <x:row r="137">
      <x:c r="A137" t="n">
        <x:v>17</x:v>
      </x:c>
      <x:c r="B137" t="inlineStr">
        <x:is>
          <x:t>PPS</x:t>
        </x:is>
      </x:c>
      <x:c r="C137"/>
      <x:c r="D137" s="23" t="n">
        <x:v>0.0003</x:v>
      </x:c>
      <x:c r="E137" t="n">
        <x:v>1</x:v>
      </x:c>
      <x:c r="F137" s="24" t="n">
        <x:v>-0.004225909616978752</x:v>
      </x:c>
      <x:c r="G137" t="inlineStr">
        <x:is>
          <x:t>46wvXnW5dUXKLMmM</x:t>
        </x:is>
      </x:c>
      <x:c r="H137" t="n">
        <x:v>1</x:v>
      </x:c>
    </x:row>
    <x:row r="138">
      <x:c r="A138" t="n">
        <x:v>22</x:v>
      </x:c>
      <x:c r="B138" t="inlineStr">
        <x:is>
          <x:t>PPS</x:t>
        </x:is>
      </x:c>
      <x:c r="C138"/>
      <x:c r="D138" s="23" t="n">
        <x:v>0.0003</x:v>
      </x:c>
      <x:c r="E138" t="n">
        <x:v>1</x:v>
      </x:c>
      <x:c r="F138" s="24" t="n">
        <x:v>-0.025599058405307247</x:v>
      </x:c>
      <x:c r="G138" t="inlineStr">
        <x:is>
          <x:t>rJIz44rVFk7Ycmay</x:t>
        </x:is>
      </x:c>
      <x:c r="H138" t="n">
        <x:v>1</x:v>
      </x:c>
    </x:row>
    <x:row r="139">
      <x:c r="A139" t="n">
        <x:v>20</x:v>
      </x:c>
      <x:c r="B139" t="inlineStr">
        <x:is>
          <x:t>PPS</x:t>
        </x:is>
      </x:c>
      <x:c r="C139"/>
      <x:c r="D139" s="23" t="n">
        <x:v>0.0003</x:v>
      </x:c>
      <x:c r="E139" t="n">
        <x:v>1</x:v>
      </x:c>
      <x:c r="F139" s="24" t="n">
        <x:v>0</x:v>
      </x:c>
      <x:c r="G139" t="inlineStr">
        <x:is>
          <x:t>hdAj4XHwOlwXiSTQ</x:t>
        </x:is>
      </x:c>
      <x:c r="H139" t="n">
        <x:v>1</x:v>
      </x:c>
    </x:row>
    <x:row r="140">
      <x:c r="A140" t="n">
        <x:v>23</x:v>
      </x:c>
      <x:c r="B140" t="inlineStr">
        <x:is>
          <x:t>PPS</x:t>
        </x:is>
      </x:c>
      <x:c r="C140"/>
      <x:c r="D140" s="23" t="n">
        <x:v>0.0003</x:v>
      </x:c>
      <x:c r="E140" t="n">
        <x:v>1</x:v>
      </x:c>
      <x:c r="F140" s="24" t="n">
        <x:v>-0.03173986587621531</x:v>
      </x:c>
      <x:c r="G140" t="inlineStr">
        <x:is>
          <x:t>MliZPMm25a5mgKRG</x:t>
        </x:is>
      </x:c>
      <x:c r="H140" t="n">
        <x:v>1</x:v>
      </x:c>
    </x:row>
    <x:row r="141">
      <x:c r="A141" t="n">
        <x:v>21</x:v>
      </x:c>
      <x:c r="B141" t="inlineStr">
        <x:is>
          <x:t>PPS</x:t>
        </x:is>
      </x:c>
      <x:c r="C141"/>
      <x:c r="D141" s="23" t="n">
        <x:v>0.0003</x:v>
      </x:c>
      <x:c r="E141" t="n">
        <x:v>1</x:v>
      </x:c>
      <x:c r="F141" s="24" t="n">
        <x:v>-0.03266108159266539</x:v>
      </x:c>
      <x:c r="G141" t="inlineStr">
        <x:is>
          <x:t>UxGbZolmyPNVYGU2</x:t>
        </x:is>
      </x:c>
      <x:c r="H141" t="n">
        <x:v>1</x:v>
      </x:c>
    </x:row>
    <x:row r="142">
      <x:c r="A142" t="n">
        <x:v>24</x:v>
      </x:c>
      <x:c r="B142" t="inlineStr">
        <x:is>
          <x:t>PPS</x:t>
        </x:is>
      </x:c>
      <x:c r="C142"/>
      <x:c r="D142" s="23" t="n">
        <x:v>0.0003</x:v>
      </x:c>
      <x:c r="E142" t="n">
        <x:v>1</x:v>
      </x:c>
      <x:c r="F142" s="24" t="n">
        <x:v>-0.1309184975058934</x:v>
      </x:c>
      <x:c r="G142" t="inlineStr">
        <x:is>
          <x:t>m1P3f92CrCN5yFep</x:t>
        </x:is>
      </x:c>
      <x:c r="H142" t="n">
        <x:v>1</x:v>
      </x:c>
    </x:row>
    <x:row r="143">
      <x:c r="A143" t="n">
        <x:v>25</x:v>
      </x:c>
      <x:c r="B143" t="inlineStr">
        <x:is>
          <x:t>PPS</x:t>
        </x:is>
      </x:c>
      <x:c r="C143"/>
      <x:c r="D143" s="23" t="n">
        <x:v>0.0003</x:v>
      </x:c>
      <x:c r="E143" t="n">
        <x:v>1</x:v>
      </x:c>
      <x:c r="F143" s="24" t="n">
        <x:v>-0.011732577949638865</x:v>
      </x:c>
      <x:c r="G143" t="inlineStr">
        <x:is>
          <x:t>zDHIlEUdQt3SQTes</x:t>
        </x:is>
      </x:c>
      <x:c r="H143" t="n">
        <x:v>1</x:v>
      </x:c>
    </x:row>
    <x:row r="144">
      <x:c r="A144" t="n">
        <x:v>28</x:v>
      </x:c>
      <x:c r="B144" t="inlineStr">
        <x:is>
          <x:t>PPS</x:t>
        </x:is>
      </x:c>
      <x:c r="C144"/>
      <x:c r="D144" s="23" t="n">
        <x:v>0.0003</x:v>
      </x:c>
      <x:c r="E144" t="n">
        <x:v>1</x:v>
      </x:c>
      <x:c r="F144" s="24" t="n">
        <x:v>0.02120304467564733</x:v>
      </x:c>
      <x:c r="G144" t="inlineStr">
        <x:is>
          <x:t>o3Z0Wqig7SSQ1Suq</x:t>
        </x:is>
      </x:c>
      <x:c r="H144" t="n">
        <x:v>1</x:v>
      </x:c>
    </x:row>
    <x:row r="145">
      <x:c r="A145" t="n">
        <x:v>27</x:v>
      </x:c>
      <x:c r="B145" t="inlineStr">
        <x:is>
          <x:t>PPS</x:t>
        </x:is>
      </x:c>
      <x:c r="C145"/>
      <x:c r="D145" s="23" t="n">
        <x:v>0.0003</x:v>
      </x:c>
      <x:c r="E145" t="n">
        <x:v>1</x:v>
      </x:c>
      <x:c r="F145" s="24" t="n">
        <x:v>0.003114021640745833</x:v>
      </x:c>
      <x:c r="G145" t="inlineStr">
        <x:is>
          <x:t>RsdSZRM4UpFcV7Pl</x:t>
        </x:is>
      </x:c>
      <x:c r="H145" t="n">
        <x:v>1</x:v>
      </x:c>
    </x:row>
    <x:row r="146">
      <x:c r="A146" t="n">
        <x:v>26</x:v>
      </x:c>
      <x:c r="B146" t="inlineStr">
        <x:is>
          <x:t>PPS</x:t>
        </x:is>
      </x:c>
      <x:c r="C146"/>
      <x:c r="D146" s="23" t="n">
        <x:v>0.0003</x:v>
      </x:c>
      <x:c r="E146" t="n">
        <x:v>1</x:v>
      </x:c>
      <x:c r="F146" s="24" t="n">
        <x:v>-0.03694225384440482</x:v>
      </x:c>
      <x:c r="G146" t="inlineStr">
        <x:is>
          <x:t>ddGivPWkPbztXlju</x:t>
        </x:is>
      </x:c>
      <x:c r="H146" t="n">
        <x:v>1</x:v>
      </x:c>
    </x:row>
    <x:row r="147">
      <x:c r="A147" t="n">
        <x:v>29</x:v>
      </x:c>
      <x:c r="B147" t="inlineStr">
        <x:is>
          <x:t>PPS</x:t>
        </x:is>
      </x:c>
      <x:c r="C147"/>
      <x:c r="D147" s="23" t="n">
        <x:v>0.0003</x:v>
      </x:c>
      <x:c r="E147" t="n">
        <x:v>1</x:v>
      </x:c>
      <x:c r="F147" s="24" t="n">
        <x:v>0.029352585369782677</x:v>
      </x:c>
      <x:c r="G147" t="inlineStr">
        <x:is>
          <x:t>IkbRs6EGrxrrNCtN</x:t>
        </x:is>
      </x:c>
      <x:c r="H147" t="n">
        <x:v>1</x:v>
      </x:c>
    </x:row>
    <x:row r="148">
      <x:c r="A148" t="n">
        <x:v>30</x:v>
      </x:c>
      <x:c r="B148" t="inlineStr">
        <x:is>
          <x:t>PPS</x:t>
        </x:is>
      </x:c>
      <x:c r="C148"/>
      <x:c r="D148" s="23" t="n">
        <x:v>0.0003</x:v>
      </x:c>
      <x:c r="E148" t="n">
        <x:v>1</x:v>
      </x:c>
      <x:c r="F148" s="24" t="n">
        <x:v>-0.08888565390903744</x:v>
      </x:c>
      <x:c r="G148" t="inlineStr">
        <x:is>
          <x:t>bTrqg25xGagvpzC9</x:t>
        </x:is>
      </x:c>
      <x:c r="H148" t="n">
        <x:v>1</x:v>
      </x:c>
    </x:row>
    <x:row r="149">
      <x:c r="A149" t="n">
        <x:v>31</x:v>
      </x:c>
      <x:c r="B149" t="inlineStr">
        <x:is>
          <x:t>PPS</x:t>
        </x:is>
      </x:c>
      <x:c r="C149"/>
      <x:c r="D149" s="23" t="n">
        <x:v>0.0003</x:v>
      </x:c>
      <x:c r="E149" t="n">
        <x:v>1</x:v>
      </x:c>
      <x:c r="F149" s="24" t="n">
        <x:v>-0.07608670029015258</x:v>
      </x:c>
      <x:c r="G149" t="inlineStr">
        <x:is>
          <x:t>mNKoqrIXkpEiPmoO</x:t>
        </x:is>
      </x:c>
      <x:c r="H149" t="n">
        <x:v>1</x:v>
      </x:c>
    </x:row>
    <x:row r="150">
      <x:c r="A150" t="n">
        <x:v>33</x:v>
      </x:c>
      <x:c r="B150" t="inlineStr">
        <x:is>
          <x:t>PPS</x:t>
        </x:is>
      </x:c>
      <x:c r="C150"/>
      <x:c r="D150" s="23" t="n">
        <x:v>0.0003</x:v>
      </x:c>
      <x:c r="E150" t="n">
        <x:v>1</x:v>
      </x:c>
      <x:c r="F150" s="24" t="n">
        <x:v>0.0005012298911431072</x:v>
      </x:c>
      <x:c r="G150" t="inlineStr">
        <x:is>
          <x:t>2K3rN9Bjo3CYrimu</x:t>
        </x:is>
      </x:c>
      <x:c r="H150" t="n">
        <x:v>1</x:v>
      </x:c>
    </x:row>
    <x:row r="151">
      <x:c r="A151" t="n">
        <x:v>32</x:v>
      </x:c>
      <x:c r="B151" t="inlineStr">
        <x:is>
          <x:t>PPS</x:t>
        </x:is>
      </x:c>
      <x:c r="C151"/>
      <x:c r="D151" s="23" t="n">
        <x:v>0.0003</x:v>
      </x:c>
      <x:c r="E151" t="n">
        <x:v>1</x:v>
      </x:c>
      <x:c r="F151" s="24" t="n">
        <x:v>-0.011047109679535969</x:v>
      </x:c>
      <x:c r="G151" t="inlineStr">
        <x:is>
          <x:t>k20flzKiZ6hbC8kF</x:t>
        </x:is>
      </x:c>
      <x:c r="H151" t="n">
        <x:v>1</x:v>
      </x:c>
    </x:row>
    <x:row r="152">
      <x:c r="A152" t="n">
        <x:v>35</x:v>
      </x:c>
      <x:c r="B152" t="inlineStr">
        <x:is>
          <x:t>PPS</x:t>
        </x:is>
      </x:c>
      <x:c r="C152"/>
      <x:c r="D152" s="23" t="n">
        <x:v>0.0003</x:v>
      </x:c>
      <x:c r="E152" t="n">
        <x:v>1</x:v>
      </x:c>
      <x:c r="F152" s="24" t="n">
        <x:v>-0.09179265206347978</x:v>
      </x:c>
      <x:c r="G152" t="inlineStr">
        <x:is>
          <x:t>6ZWjpjGXIQ5XDJfn</x:t>
        </x:is>
      </x:c>
      <x:c r="H152" t="n">
        <x:v>1</x:v>
      </x:c>
    </x:row>
    <x:row r="153">
      <x:c r="A153" t="n">
        <x:v>34</x:v>
      </x:c>
      <x:c r="B153" t="inlineStr">
        <x:is>
          <x:t>PPS</x:t>
        </x:is>
      </x:c>
      <x:c r="C153"/>
      <x:c r="D153" s="23" t="n">
        <x:v>0.0003</x:v>
      </x:c>
      <x:c r="E153" t="n">
        <x:v>1</x:v>
      </x:c>
      <x:c r="F153" s="24" t="n">
        <x:v>0.17130285233153927</x:v>
      </x:c>
      <x:c r="G153" t="inlineStr">
        <x:is>
          <x:t>z6d18lbfRbuv8Xtl</x:t>
        </x:is>
      </x:c>
      <x:c r="H153" t="n">
        <x:v>1</x:v>
      </x:c>
    </x:row>
    <x:row r="154">
      <x:c r="D154" s="23"/>
      <x:c r="F154" s="24"/>
    </x:row>
    <x:row r="155">
      <x:c r="D155" s="23"/>
      <x:c r="F155" s="24"/>
    </x:row>
    <x:row r="156">
      <x:c r="D156" s="23"/>
      <x:c r="F156" s="24"/>
    </x:row>
    <x:row r="157">
      <x:c r="D157" s="23"/>
      <x:c r="F157" s="24"/>
    </x:row>
    <x:row r="158">
      <x:c r="D158" s="23"/>
      <x:c r="F158" s="24"/>
    </x:row>
    <x:row r="159">
      <x:c r="D159" s="23"/>
      <x:c r="F159" s="24"/>
    </x:row>
    <x:row r="160">
      <x:c r="D160" s="23"/>
      <x:c r="F160" s="24"/>
    </x:row>
    <x:row r="161">
      <x:c r="D161" s="23"/>
      <x:c r="F161" s="24"/>
    </x:row>
    <x:row r="162">
      <x:c r="D162" s="23"/>
      <x:c r="F162" s="24"/>
    </x:row>
    <x:row r="163">
      <x:c r="D163" s="23"/>
      <x:c r="F163" s="24"/>
    </x:row>
    <x:row r="164">
      <x:c r="D164" s="23"/>
      <x:c r="F164" s="24"/>
    </x:row>
    <x:row r="165">
      <x:c r="D165" s="23"/>
      <x:c r="F165" s="24"/>
    </x:row>
    <x:row r="166">
      <x:c r="D166" s="23"/>
      <x:c r="F166" s="24"/>
    </x:row>
    <x:row r="167">
      <x:c r="D167" s="23"/>
      <x:c r="F167" s="24"/>
    </x:row>
    <x:row r="168">
      <x:c r="D168" s="23"/>
      <x:c r="F168" s="24"/>
    </x:row>
    <x:row r="169">
      <x:c r="D169" s="23"/>
      <x:c r="F169" s="24"/>
    </x:row>
    <x:row r="170">
      <x:c r="D170" s="23"/>
      <x:c r="F170" s="24"/>
    </x:row>
    <x:row r="171">
      <x:c r="D171" s="23"/>
      <x:c r="F171" s="24"/>
    </x:row>
    <x:row r="172">
      <x:c r="D172" s="23"/>
      <x:c r="F172" s="24"/>
    </x:row>
    <x:row r="173">
      <x:c r="D173" s="23"/>
      <x:c r="F173" s="24"/>
    </x:row>
    <x:row r="174">
      <x:c r="D174" s="23"/>
      <x:c r="F174" s="24"/>
    </x:row>
    <x:row r="175">
      <x:c r="D175" s="23"/>
      <x:c r="F175" s="24"/>
    </x:row>
    <x:row r="176">
      <x:c r="D176" s="23"/>
      <x:c r="F176" s="24"/>
    </x:row>
    <x:row r="177">
      <x:c r="D177" s="23"/>
      <x:c r="F177" s="24"/>
    </x:row>
    <x:row r="178">
      <x:c r="D178" s="23"/>
      <x:c r="F178" s="24"/>
    </x:row>
    <x:row r="179">
      <x:c r="D179" s="23"/>
      <x:c r="F179" s="24"/>
    </x:row>
    <x:row r="180">
      <x:c r="D180" s="23"/>
      <x:c r="F180" s="24"/>
    </x:row>
    <x:row r="181">
      <x:c r="D181" s="23"/>
      <x:c r="F181" s="24"/>
    </x:row>
    <x:row r="182">
      <x:c r="D182" s="23"/>
      <x:c r="F182" s="24"/>
    </x:row>
    <x:row r="183">
      <x:c r="D183" s="23"/>
      <x:c r="F183" s="24"/>
    </x:row>
    <x:row r="184">
      <x:c r="D184" s="23"/>
      <x:c r="F184" s="24"/>
    </x:row>
    <x:row r="185">
      <x:c r="D185" s="23"/>
      <x:c r="F185" s="24"/>
    </x:row>
    <x:row r="186">
      <x:c r="D186" s="23"/>
      <x:c r="F186" s="24"/>
    </x:row>
    <x:row r="187">
      <x:c r="D187" s="23"/>
      <x:c r="F187" s="24"/>
    </x:row>
    <x:row r="188">
      <x:c r="D188" s="23"/>
      <x:c r="F188" s="24"/>
    </x:row>
    <x:row r="189">
      <x:c r="D189" s="23"/>
      <x:c r="F189" s="24"/>
    </x:row>
    <x:row r="190">
      <x:c r="D190" s="23"/>
      <x:c r="F190" s="24"/>
    </x:row>
    <x:row r="191">
      <x:c r="D191" s="23"/>
      <x:c r="F191" s="24"/>
    </x:row>
    <x:row r="192">
      <x:c r="D192" s="23"/>
      <x:c r="F192" s="24"/>
    </x:row>
    <x:row r="193">
      <x:c r="D193" s="23"/>
      <x:c r="F193" s="24"/>
    </x:row>
    <x:row r="194">
      <x:c r="D194" s="23"/>
      <x:c r="F194" s="24"/>
    </x:row>
    <x:row r="195">
      <x:c r="D195" s="23"/>
      <x:c r="F195" s="24"/>
    </x:row>
    <x:row r="196">
      <x:c r="D196" s="23"/>
      <x:c r="F196" s="24"/>
    </x:row>
    <x:row r="197">
      <x:c r="D197" s="23"/>
      <x:c r="F197" s="24"/>
    </x:row>
    <x:row r="198">
      <x:c r="D198" s="23"/>
      <x:c r="F198" s="24"/>
    </x:row>
    <x:row r="199">
      <x:c r="D199" s="23"/>
      <x:c r="F199" s="24"/>
    </x:row>
    <x:row r="200">
      <x:c r="D200" s="23"/>
      <x:c r="F200" s="24"/>
    </x:row>
    <x:row r="201">
      <x:c r="D201" s="23"/>
      <x:c r="F201" s="24"/>
    </x:row>
    <x:row r="202">
      <x:c r="D202" s="23"/>
      <x:c r="F202" s="24"/>
    </x:row>
    <x:row r="203">
      <x:c r="D203" s="23"/>
      <x:c r="F203" s="24"/>
    </x:row>
    <x:row r="204">
      <x:c r="D204" s="23"/>
      <x:c r="F204" s="24"/>
    </x:row>
    <x:row r="205">
      <x:c r="D205" s="23"/>
      <x:c r="F205" s="24"/>
    </x:row>
    <x:row r="206">
      <x:c r="D206" s="23"/>
      <x:c r="F206" s="24"/>
    </x:row>
    <x:row r="207">
      <x:c r="D207" s="23"/>
      <x:c r="F207" s="24"/>
    </x:row>
    <x:row r="208">
      <x:c r="D208" s="23"/>
      <x:c r="F208" s="24"/>
    </x:row>
    <x:row r="209">
      <x:c r="D209" s="23"/>
      <x:c r="F209" s="24"/>
    </x:row>
    <x:row r="210">
      <x:c r="D210" s="23"/>
      <x:c r="F210" s="24"/>
    </x:row>
    <x:row r="211">
      <x:c r="D211" s="23"/>
      <x:c r="F211" s="24"/>
    </x:row>
    <x:row r="212">
      <x:c r="D212" s="23"/>
      <x:c r="F212" s="24"/>
    </x:row>
    <x:row r="213">
      <x:c r="D213" s="23"/>
      <x:c r="F213" s="24"/>
    </x:row>
    <x:row r="214">
      <x:c r="D214" s="23"/>
      <x:c r="F214" s="24"/>
    </x:row>
    <x:row r="215">
      <x:c r="D215" s="23"/>
      <x:c r="F215" s="24"/>
    </x:row>
    <x:row r="216">
      <x:c r="D216" s="23"/>
      <x:c r="F216" s="24"/>
    </x:row>
    <x:row r="217">
      <x:c r="D217" s="23"/>
      <x:c r="F217" s="24"/>
    </x:row>
    <x:row r="218">
      <x:c r="D218" s="23"/>
      <x:c r="F218" s="24"/>
    </x:row>
    <x:row r="219">
      <x:c r="D219" s="23"/>
      <x:c r="F219" s="24"/>
    </x:row>
    <x:row r="220">
      <x:c r="D220" s="23"/>
      <x:c r="F220" s="24"/>
    </x:row>
    <x:row r="221">
      <x:c r="D221" s="23"/>
      <x:c r="F221" s="24"/>
    </x:row>
    <x:row r="222">
      <x:c r="D222" s="23"/>
      <x:c r="F222" s="24"/>
    </x:row>
    <x:row r="223">
      <x:c r="D223" s="23"/>
      <x:c r="F223" s="24"/>
    </x:row>
    <x:row r="224">
      <x:c r="D224" s="23"/>
      <x:c r="F224" s="24"/>
    </x:row>
    <x:row r="225">
      <x:c r="D225" s="23"/>
      <x:c r="F225" s="24"/>
    </x:row>
    <x:row r="226">
      <x:c r="D226" s="23"/>
      <x:c r="F226" s="24"/>
    </x:row>
    <x:row r="227">
      <x:c r="D227" s="23"/>
      <x:c r="F227" s="24"/>
    </x:row>
    <x:row r="228">
      <x:c r="D228" s="23"/>
      <x:c r="F228" s="24"/>
    </x:row>
    <x:row r="229">
      <x:c r="D229" s="23"/>
      <x:c r="F229" s="24"/>
    </x:row>
    <x:row r="230">
      <x:c r="D230" s="23"/>
      <x:c r="F230" s="24"/>
    </x:row>
    <x:row r="231">
      <x:c r="D231" s="23"/>
      <x:c r="F231" s="24"/>
    </x:row>
    <x:row r="232">
      <x:c r="D232" s="23"/>
      <x:c r="F232" s="24"/>
    </x:row>
    <x:row r="233">
      <x:c r="D233" s="23"/>
      <x:c r="F233" s="24"/>
    </x:row>
    <x:row r="234">
      <x:c r="D234" s="23"/>
      <x:c r="F234" s="24"/>
    </x:row>
    <x:row r="235">
      <x:c r="D235" s="23"/>
      <x:c r="F235" s="24"/>
    </x:row>
    <x:row r="236">
      <x:c r="D236" s="23"/>
      <x:c r="F236" s="24"/>
    </x:row>
    <x:row r="237">
      <x:c r="D237" s="23"/>
      <x:c r="F237" s="24"/>
    </x:row>
    <x:row r="238">
      <x:c r="D238" s="23"/>
      <x:c r="F238" s="24"/>
    </x:row>
    <x:row r="239">
      <x:c r="D239" s="23"/>
      <x:c r="F239" s="24"/>
    </x:row>
    <x:row r="240">
      <x:c r="D240" s="23"/>
      <x:c r="F240" s="24"/>
    </x:row>
    <x:row r="241">
      <x:c r="D241" s="23"/>
      <x:c r="F241" s="24"/>
    </x:row>
    <x:row r="242">
      <x:c r="D242" s="23"/>
      <x:c r="F242" s="24"/>
    </x:row>
    <x:row r="243">
      <x:c r="D243" s="23"/>
      <x:c r="F243" s="24"/>
    </x:row>
    <x:row r="244">
      <x:c r="D244" s="23"/>
      <x:c r="F244" s="24"/>
    </x:row>
    <x:row r="245">
      <x:c r="D245" s="23"/>
      <x:c r="F245" s="24"/>
    </x:row>
    <x:row r="246">
      <x:c r="D246" s="23"/>
      <x:c r="F246" s="24"/>
    </x:row>
    <x:row r="247">
      <x:c r="D247" s="23"/>
      <x:c r="F247" s="24"/>
    </x:row>
    <x:row r="248">
      <x:c r="D248" s="23"/>
      <x:c r="F248" s="24"/>
    </x:row>
    <x:row r="249">
      <x:c r="D249" s="23"/>
      <x:c r="F249" s="24"/>
    </x:row>
    <x:row r="250">
      <x:c r="D250" s="23"/>
      <x:c r="F250" s="24"/>
    </x:row>
    <x:row r="251">
      <x:c r="D251" s="23"/>
      <x:c r="F251" s="24"/>
    </x:row>
    <x:row r="252">
      <x:c r="D252" s="23"/>
      <x:c r="F252" s="24"/>
    </x:row>
    <x:row r="253">
      <x:c r="D253" s="23"/>
      <x:c r="F253" s="24"/>
    </x:row>
    <x:row r="254">
      <x:c r="D254" s="23"/>
      <x:c r="F254" s="24"/>
    </x:row>
    <x:row r="255">
      <x:c r="D255" s="23"/>
      <x:c r="F255" s="24"/>
    </x:row>
    <x:row r="256">
      <x:c r="D256" s="23"/>
      <x:c r="F256" s="24"/>
    </x:row>
    <x:row r="257">
      <x:c r="D257" s="23"/>
      <x:c r="F257" s="24"/>
    </x:row>
    <x:row r="258">
      <x:c r="D258" s="23"/>
      <x:c r="F258" s="24"/>
    </x:row>
    <x:row r="259">
      <x:c r="D259" s="23"/>
      <x:c r="F259" s="24"/>
    </x:row>
    <x:row r="260">
      <x:c r="D260" s="23"/>
      <x:c r="F260" s="24"/>
    </x:row>
    <x:row r="261">
      <x:c r="D261" s="23"/>
      <x:c r="F261" s="24"/>
    </x:row>
    <x:row r="262">
      <x:c r="D262" s="23"/>
      <x:c r="F262" s="24"/>
    </x:row>
    <x:row r="263">
      <x:c r="D263" s="23"/>
      <x:c r="F263" s="24"/>
    </x:row>
    <x:row r="264">
      <x:c r="D264" s="23"/>
      <x:c r="F264" s="24"/>
    </x:row>
    <x:row r="265">
      <x:c r="D265" s="23"/>
      <x:c r="F265" s="24"/>
    </x:row>
    <x:row r="266">
      <x:c r="D266" s="23"/>
      <x:c r="F266" s="24"/>
    </x:row>
    <x:row r="267">
      <x:c r="D267" s="23"/>
      <x:c r="F267" s="24"/>
    </x:row>
    <x:row r="268">
      <x:c r="D268" s="23"/>
      <x:c r="F268" s="24"/>
    </x:row>
    <x:row r="269">
      <x:c r="D269" s="23"/>
      <x:c r="F269" s="24"/>
    </x:row>
    <x:row r="270">
      <x:c r="D270" s="23"/>
      <x:c r="F270" s="24"/>
    </x:row>
    <x:row r="271">
      <x:c r="D271" s="23"/>
      <x:c r="F271" s="24"/>
    </x:row>
    <x:row r="272">
      <x:c r="D272" s="23"/>
      <x:c r="F272" s="24"/>
    </x:row>
    <x:row r="273">
      <x:c r="D273" s="23"/>
      <x:c r="F273" s="24"/>
    </x:row>
    <x:row r="274">
      <x:c r="D274" s="23"/>
      <x:c r="F274" s="24"/>
    </x:row>
    <x:row r="275">
      <x:c r="D275" s="23"/>
      <x:c r="F275" s="24"/>
    </x:row>
    <x:row r="276">
      <x:c r="D276" s="23"/>
      <x:c r="F276" s="24"/>
    </x:row>
    <x:row r="277">
      <x:c r="D277" s="23"/>
      <x:c r="F277" s="24"/>
    </x:row>
    <x:row r="278">
      <x:c r="D278" s="23"/>
      <x:c r="F278" s="24"/>
    </x:row>
    <x:row r="279">
      <x:c r="D279" s="23"/>
      <x:c r="F279" s="24"/>
    </x:row>
    <x:row r="280">
      <x:c r="D280" s="23"/>
      <x:c r="F280" s="24"/>
    </x:row>
    <x:row r="281">
      <x:c r="D281" s="23"/>
      <x:c r="F281" s="24"/>
    </x:row>
    <x:row r="282">
      <x:c r="D282" s="23"/>
      <x:c r="F282" s="24"/>
    </x:row>
    <x:row r="283">
      <x:c r="D283" s="23"/>
      <x:c r="F283" s="24"/>
    </x:row>
    <x:row r="284">
      <x:c r="D284" s="23"/>
      <x:c r="F284" s="24"/>
    </x:row>
    <x:row r="285">
      <x:c r="D285" s="23"/>
      <x:c r="F285" s="24"/>
    </x:row>
    <x:row r="286">
      <x:c r="D286" s="23"/>
      <x:c r="F286" s="24"/>
    </x:row>
    <x:row r="287">
      <x:c r="D287" s="23"/>
      <x:c r="F287" s="24"/>
    </x:row>
    <x:row r="288">
      <x:c r="D288" s="23"/>
      <x:c r="F288" s="24"/>
    </x:row>
    <x:row r="289">
      <x:c r="D289" s="23"/>
      <x:c r="F289" s="24"/>
    </x:row>
    <x:row r="290">
      <x:c r="D290" s="23"/>
      <x:c r="F290" s="24"/>
    </x:row>
    <x:row r="291">
      <x:c r="D291" s="23"/>
      <x:c r="F291" s="24"/>
    </x:row>
    <x:row r="292">
      <x:c r="D292" s="23"/>
      <x:c r="F292" s="24"/>
    </x:row>
    <x:row r="293">
      <x:c r="D293" s="23"/>
      <x:c r="F293" s="24"/>
    </x:row>
    <x:row r="294">
      <x:c r="D294" s="23"/>
      <x:c r="F294" s="24"/>
    </x:row>
    <x:row r="295">
      <x:c r="D295" s="23"/>
      <x:c r="F295" s="24"/>
    </x:row>
    <x:row r="296">
      <x:c r="D296" s="23"/>
      <x:c r="F296" s="24"/>
    </x:row>
    <x:row r="297">
      <x:c r="D297" s="23"/>
      <x:c r="F297" s="24"/>
    </x:row>
    <x:row r="298">
      <x:c r="D298" s="23"/>
      <x:c r="F298" s="24"/>
    </x:row>
    <x:row r="299">
      <x:c r="D299" s="23"/>
      <x:c r="F299" s="24"/>
    </x:row>
    <x:row r="300">
      <x:c r="D300" s="23"/>
      <x:c r="F300" s="24"/>
    </x:row>
    <x:row r="301">
      <x:c r="D301" s="23"/>
      <x:c r="F301" s="24"/>
    </x:row>
    <x:row r="302">
      <x:c r="D302" s="23"/>
      <x:c r="F302" s="24"/>
    </x:row>
    <x:row r="303">
      <x:c r="D303" s="23"/>
      <x:c r="F303" s="24"/>
    </x:row>
    <x:row r="304">
      <x:c r="D304" s="23"/>
      <x:c r="F304" s="24"/>
    </x:row>
    <x:row r="305">
      <x:c r="D305" s="23"/>
      <x:c r="F305" s="24"/>
    </x:row>
    <x:row r="306">
      <x:c r="D306" s="23"/>
      <x:c r="F306" s="24"/>
    </x:row>
    <x:row r="307">
      <x:c r="D307" s="23"/>
      <x:c r="F307" s="24"/>
    </x:row>
    <x:row r="308">
      <x:c r="D308" s="23"/>
      <x:c r="F308" s="24"/>
    </x:row>
    <x:row r="309">
      <x:c r="D309" s="23"/>
      <x:c r="F309" s="24"/>
    </x:row>
    <x:row r="310">
      <x:c r="D310" s="23"/>
      <x:c r="F310" s="24"/>
    </x:row>
    <x:row r="311">
      <x:c r="D311" s="23"/>
      <x:c r="F311" s="24"/>
    </x:row>
    <x:row r="312">
      <x:c r="D312" s="23"/>
      <x:c r="F312" s="24"/>
    </x:row>
    <x:row r="313">
      <x:c r="D313" s="23"/>
      <x:c r="F313" s="24"/>
    </x:row>
    <x:row r="314">
      <x:c r="D314" s="23"/>
      <x:c r="F314" s="24"/>
    </x:row>
    <x:row r="315">
      <x:c r="D315" s="23"/>
      <x:c r="F315" s="24"/>
    </x:row>
    <x:row r="316">
      <x:c r="D316" s="23"/>
      <x:c r="F316" s="24"/>
    </x:row>
    <x:row r="317">
      <x:c r="D317" s="23"/>
      <x:c r="F317" s="24"/>
    </x:row>
    <x:row r="318">
      <x:c r="D318" s="23"/>
      <x:c r="F318" s="24"/>
    </x:row>
    <x:row r="319">
      <x:c r="D319" s="23"/>
      <x:c r="F319" s="24"/>
    </x:row>
    <x:row r="320">
      <x:c r="D320" s="23"/>
      <x:c r="F320" s="24"/>
    </x:row>
    <x:row r="321">
      <x:c r="D321" s="23"/>
      <x:c r="F321" s="24"/>
    </x:row>
    <x:row r="322">
      <x:c r="D322" s="23"/>
      <x:c r="F322" s="24"/>
    </x:row>
    <x:row r="323">
      <x:c r="D323" s="23"/>
      <x:c r="F323" s="24"/>
    </x:row>
    <x:row r="324">
      <x:c r="D324" s="23"/>
      <x:c r="F324" s="24"/>
    </x:row>
    <x:row r="325">
      <x:c r="D325" s="23"/>
      <x:c r="F325" s="24"/>
    </x:row>
    <x:row r="326">
      <x:c r="D326" s="23"/>
      <x:c r="F326" s="24"/>
    </x:row>
    <x:row r="327">
      <x:c r="D327" s="23"/>
      <x:c r="F327" s="24"/>
    </x:row>
    <x:row r="328">
      <x:c r="D328" s="23"/>
      <x:c r="F328" s="24"/>
    </x:row>
    <x:row r="329">
      <x:c r="D329" s="23"/>
      <x:c r="F329" s="24"/>
    </x:row>
    <x:row r="330">
      <x:c r="D330" s="23"/>
      <x:c r="F330" s="24"/>
    </x:row>
    <x:row r="331">
      <x:c r="D331" s="23"/>
      <x:c r="F331" s="24"/>
    </x:row>
    <x:row r="332">
      <x:c r="D332" s="23"/>
      <x:c r="F332" s="24"/>
    </x:row>
    <x:row r="333">
      <x:c r="D333" s="23"/>
      <x:c r="F333" s="24"/>
    </x:row>
    <x:row r="334">
      <x:c r="D334" s="23"/>
      <x:c r="F334" s="24"/>
    </x:row>
    <x:row r="335">
      <x:c r="D335" s="23"/>
      <x:c r="F335" s="24"/>
    </x:row>
    <x:row r="336">
      <x:c r="D336" s="23"/>
      <x:c r="F336" s="24"/>
    </x:row>
    <x:row r="337">
      <x:c r="D337" s="23"/>
      <x:c r="F337" s="24"/>
    </x:row>
    <x:row r="338">
      <x:c r="D338" s="23"/>
      <x:c r="F338" s="24"/>
    </x:row>
    <x:row r="339">
      <x:c r="D339" s="23"/>
      <x:c r="F339" s="24"/>
    </x:row>
    <x:row r="340">
      <x:c r="D340" s="23"/>
      <x:c r="F340" s="24"/>
    </x:row>
    <x:row r="341">
      <x:c r="D341" s="23"/>
      <x:c r="F341" s="24"/>
    </x:row>
    <x:row r="342">
      <x:c r="D342" s="23"/>
      <x:c r="F342" s="24"/>
    </x:row>
    <x:row r="343">
      <x:c r="D343" s="23"/>
      <x:c r="F343" s="24"/>
    </x:row>
    <x:row r="344">
      <x:c r="D344" s="23"/>
      <x:c r="F344" s="24"/>
    </x:row>
    <x:row r="345">
      <x:c r="D345" s="23"/>
      <x:c r="F345" s="24"/>
    </x:row>
    <x:row r="346">
      <x:c r="D346" s="23"/>
      <x:c r="F346" s="24"/>
    </x:row>
    <x:row r="347">
      <x:c r="D347" s="23"/>
      <x:c r="F347" s="24"/>
    </x:row>
    <x:row r="348">
      <x:c r="D348" s="23"/>
      <x:c r="F348" s="24"/>
    </x:row>
    <x:row r="349">
      <x:c r="D349" s="23"/>
      <x:c r="F349" s="24"/>
    </x:row>
    <x:row r="350">
      <x:c r="D350" s="23"/>
      <x:c r="F350" s="24"/>
    </x:row>
    <x:row r="351">
      <x:c r="D351" s="23"/>
      <x:c r="F351" s="24"/>
    </x:row>
    <x:row r="352">
      <x:c r="D352" s="23"/>
      <x:c r="F352" s="24"/>
    </x:row>
    <x:row r="353">
      <x:c r="D353" s="23"/>
      <x:c r="F353" s="24"/>
    </x:row>
    <x:row r="354">
      <x:c r="D354" s="23"/>
      <x:c r="F354" s="24"/>
    </x:row>
    <x:row r="355">
      <x:c r="D355" s="23"/>
      <x:c r="F355" s="24"/>
    </x:row>
    <x:row r="356">
      <x:c r="D356" s="23"/>
      <x:c r="F356" s="24"/>
    </x:row>
    <x:row r="357">
      <x:c r="D357" s="23"/>
      <x:c r="F357" s="24"/>
    </x:row>
    <x:row r="358">
      <x:c r="D358" s="23"/>
      <x:c r="F358" s="24"/>
    </x:row>
    <x:row r="359">
      <x:c r="D359" s="23"/>
      <x:c r="F359" s="24"/>
    </x:row>
    <x:row r="360">
      <x:c r="D360" s="23"/>
      <x:c r="F360" s="24"/>
    </x:row>
    <x:row r="361">
      <x:c r="D361" s="23"/>
      <x:c r="F361" s="24"/>
    </x:row>
    <x:row r="362">
      <x:c r="D362" s="23"/>
      <x:c r="F362" s="24"/>
    </x:row>
    <x:row r="363">
      <x:c r="D363" s="23"/>
      <x:c r="F363" s="24"/>
    </x:row>
    <x:row r="364">
      <x:c r="D364" s="23"/>
      <x:c r="F364" s="24"/>
    </x:row>
    <x:row r="365">
      <x:c r="D365" s="23"/>
      <x:c r="F365" s="24"/>
    </x:row>
    <x:row r="366">
      <x:c r="D366" s="23"/>
      <x:c r="F366" s="24"/>
    </x:row>
    <x:row r="367">
      <x:c r="D367" s="23"/>
      <x:c r="F367" s="24"/>
    </x:row>
    <x:row r="368">
      <x:c r="D368" s="23"/>
      <x:c r="F368" s="24"/>
    </x:row>
    <x:row r="369">
      <x:c r="D369" s="23"/>
      <x:c r="F369" s="24"/>
    </x:row>
    <x:row r="370">
      <x:c r="D370" s="23"/>
      <x:c r="F370" s="24"/>
    </x:row>
    <x:row r="371">
      <x:c r="D371" s="23"/>
      <x:c r="F371" s="24"/>
    </x:row>
    <x:row r="372">
      <x:c r="D372" s="23"/>
      <x:c r="F372" s="24"/>
    </x:row>
    <x:row r="373">
      <x:c r="D373" s="23"/>
      <x:c r="F373" s="24"/>
    </x:row>
    <x:row r="374">
      <x:c r="D374" s="23"/>
      <x:c r="F374" s="24"/>
    </x:row>
    <x:row r="375">
      <x:c r="D375" s="23"/>
      <x:c r="F375" s="24"/>
    </x:row>
    <x:row r="376">
      <x:c r="D376" s="23"/>
      <x:c r="F376" s="24"/>
    </x:row>
    <x:row r="377">
      <x:c r="D377" s="23"/>
      <x:c r="F377" s="24"/>
    </x:row>
    <x:row r="378">
      <x:c r="D378" s="23"/>
      <x:c r="F378" s="24"/>
    </x:row>
    <x:row r="379">
      <x:c r="D379" s="23"/>
      <x:c r="F379" s="24"/>
    </x:row>
    <x:row r="380">
      <x:c r="D380" s="23"/>
      <x:c r="F380" s="24"/>
    </x:row>
    <x:row r="381">
      <x:c r="D381" s="23"/>
      <x:c r="F381" s="24"/>
    </x:row>
    <x:row r="382">
      <x:c r="D382" s="23"/>
      <x:c r="F382" s="24"/>
    </x:row>
    <x:row r="383">
      <x:c r="D383" s="23"/>
      <x:c r="F383" s="24"/>
    </x:row>
    <x:row r="384">
      <x:c r="D384" s="23"/>
      <x:c r="F384" s="24"/>
    </x:row>
    <x:row r="385">
      <x:c r="D385" s="23"/>
      <x:c r="F385" s="24"/>
    </x:row>
    <x:row r="386">
      <x:c r="D386" s="23"/>
      <x:c r="F386" s="24"/>
    </x:row>
    <x:row r="387">
      <x:c r="D387" s="23"/>
      <x:c r="F387" s="24"/>
    </x:row>
    <x:row r="388">
      <x:c r="D388" s="23"/>
      <x:c r="F388" s="24"/>
    </x:row>
    <x:row r="389">
      <x:c r="D389" s="23"/>
      <x:c r="F389" s="24"/>
    </x:row>
    <x:row r="390">
      <x:c r="D390" s="23"/>
      <x:c r="F390" s="24"/>
    </x:row>
    <x:row r="391">
      <x:c r="D391" s="23"/>
      <x:c r="F391" s="24"/>
    </x:row>
    <x:row r="392">
      <x:c r="D392" s="23"/>
      <x:c r="F392" s="24"/>
    </x:row>
    <x:row r="393">
      <x:c r="D393" s="23"/>
      <x:c r="F393" s="24"/>
    </x:row>
    <x:row r="394">
      <x:c r="D394" s="23"/>
      <x:c r="F394" s="24"/>
    </x:row>
    <x:row r="395">
      <x:c r="D395" s="23"/>
      <x:c r="F395" s="24"/>
    </x:row>
    <x:row r="396">
      <x:c r="D396" s="23"/>
      <x:c r="F396" s="24"/>
    </x:row>
    <x:row r="397">
      <x:c r="D397" s="23"/>
      <x:c r="F397" s="24"/>
    </x:row>
    <x:row r="398">
      <x:c r="D398" s="23"/>
      <x:c r="F398" s="24"/>
    </x:row>
    <x:row r="399">
      <x:c r="D399" s="23"/>
      <x:c r="F399" s="24"/>
    </x:row>
    <x:row r="400">
      <x:c r="D400" s="23"/>
      <x:c r="F400" s="24"/>
    </x:row>
    <x:row r="401">
      <x:c r="D401" s="23"/>
      <x:c r="F401" s="24"/>
    </x:row>
    <x:row r="402">
      <x:c r="D402" s="23"/>
      <x:c r="F402" s="24"/>
    </x:row>
    <x:row r="403">
      <x:c r="D403" s="23"/>
      <x:c r="F403" s="24"/>
    </x:row>
    <x:row r="404">
      <x:c r="D404" s="23"/>
      <x:c r="F404" s="24"/>
    </x:row>
    <x:row r="405">
      <x:c r="D405" s="23"/>
      <x:c r="F405" s="24"/>
    </x:row>
    <x:row r="406">
      <x:c r="D406" s="23"/>
      <x:c r="F406" s="24"/>
    </x:row>
    <x:row r="407">
      <x:c r="D407" s="23"/>
      <x:c r="F407" s="24"/>
    </x:row>
    <x:row r="408">
      <x:c r="D408" s="23"/>
      <x:c r="F408" s="24"/>
    </x:row>
    <x:row r="409">
      <x:c r="D409" s="23"/>
      <x:c r="F409" s="24"/>
    </x:row>
    <x:row r="410">
      <x:c r="D410" s="23"/>
      <x:c r="F410" s="24"/>
    </x:row>
    <x:row r="411">
      <x:c r="D411" s="23"/>
      <x:c r="F411" s="24"/>
    </x:row>
    <x:row r="412">
      <x:c r="D412" s="23"/>
      <x:c r="F412" s="24"/>
    </x:row>
    <x:row r="413">
      <x:c r="D413" s="23"/>
      <x:c r="F413" s="24"/>
    </x:row>
    <x:row r="414">
      <x:c r="D414" s="23"/>
      <x:c r="F414" s="24"/>
    </x:row>
    <x:row r="415">
      <x:c r="D415" s="23"/>
      <x:c r="F415" s="24"/>
    </x:row>
    <x:row r="416">
      <x:c r="D416" s="23"/>
      <x:c r="F416" s="24"/>
    </x:row>
    <x:row r="417">
      <x:c r="D417" s="23"/>
      <x:c r="F417" s="24"/>
    </x:row>
    <x:row r="418">
      <x:c r="D418" s="23"/>
      <x:c r="F418" s="24"/>
    </x:row>
    <x:row r="419">
      <x:c r="D419" s="23"/>
      <x:c r="F419" s="24"/>
    </x:row>
    <x:row r="420">
      <x:c r="D420" s="23"/>
      <x:c r="F420" s="24"/>
    </x:row>
    <x:row r="421">
      <x:c r="D421" s="23"/>
      <x:c r="F421" s="24"/>
    </x:row>
    <x:row r="422">
      <x:c r="D422" s="23"/>
      <x:c r="F422" s="24"/>
    </x:row>
    <x:row r="423">
      <x:c r="D423" s="23"/>
      <x:c r="F423" s="24"/>
    </x:row>
    <x:row r="424">
      <x:c r="D424" s="23"/>
      <x:c r="F424" s="24"/>
    </x:row>
    <x:row r="425">
      <x:c r="D425" s="23"/>
      <x:c r="F425" s="24"/>
    </x:row>
    <x:row r="426">
      <x:c r="D426" s="23"/>
      <x:c r="F426" s="24"/>
    </x:row>
    <x:row r="427">
      <x:c r="D427" s="23"/>
      <x:c r="F427" s="24"/>
    </x:row>
    <x:row r="428">
      <x:c r="D428" s="23"/>
      <x:c r="F428" s="24"/>
    </x:row>
    <x:row r="429">
      <x:c r="D429" s="23"/>
      <x:c r="F429" s="24"/>
    </x:row>
    <x:row r="430">
      <x:c r="D430" s="23"/>
      <x:c r="F430" s="24"/>
    </x:row>
    <x:row r="431">
      <x:c r="D431" s="23"/>
      <x:c r="F431" s="24"/>
    </x:row>
    <x:row r="432">
      <x:c r="D432" s="23"/>
      <x:c r="F432" s="24"/>
    </x:row>
    <x:row r="433">
      <x:c r="D433" s="23"/>
      <x:c r="F433" s="24"/>
    </x:row>
    <x:row r="434">
      <x:c r="D434" s="23"/>
      <x:c r="F434" s="24"/>
    </x:row>
    <x:row r="435">
      <x:c r="D435" s="23"/>
      <x:c r="F435" s="24"/>
    </x:row>
    <x:row r="436">
      <x:c r="D436" s="23"/>
      <x:c r="F436" s="24"/>
    </x:row>
    <x:row r="437">
      <x:c r="D437" s="23"/>
      <x:c r="F437" s="24"/>
    </x:row>
    <x:row r="438">
      <x:c r="D438" s="23"/>
      <x:c r="F438" s="24"/>
    </x:row>
    <x:row r="439">
      <x:c r="D439" s="23"/>
      <x:c r="F439" s="24"/>
    </x:row>
    <x:row r="440">
      <x:c r="D440" s="23"/>
      <x:c r="F440" s="24"/>
    </x:row>
    <x:row r="441">
      <x:c r="D441" s="23"/>
      <x:c r="F441" s="24"/>
    </x:row>
    <x:row r="442">
      <x:c r="D442" s="23"/>
      <x:c r="F442" s="24"/>
    </x:row>
    <x:row r="443">
      <x:c r="D443" s="23"/>
      <x:c r="F443" s="24"/>
    </x:row>
    <x:row r="444">
      <x:c r="D444" s="23"/>
      <x:c r="F444" s="24"/>
    </x:row>
    <x:row r="445">
      <x:c r="D445" s="23"/>
      <x:c r="F445" s="24"/>
    </x:row>
    <x:row r="446">
      <x:c r="D446" s="23"/>
      <x:c r="F446" s="24"/>
    </x:row>
    <x:row r="447">
      <x:c r="D447" s="23"/>
      <x:c r="F447" s="24"/>
    </x:row>
    <x:row r="448">
      <x:c r="D448" s="23"/>
      <x:c r="F448" s="24"/>
    </x:row>
    <x:row r="449">
      <x:c r="D449" s="23"/>
      <x:c r="F449" s="24"/>
    </x:row>
    <x:row r="450">
      <x:c r="D450" s="23"/>
      <x:c r="F450" s="24"/>
    </x:row>
    <x:row r="451">
      <x:c r="D451" s="23"/>
      <x:c r="F451" s="24"/>
    </x:row>
    <x:row r="452">
      <x:c r="D452" s="23"/>
      <x:c r="F452" s="24"/>
    </x:row>
    <x:row r="453">
      <x:c r="D453" s="23"/>
      <x:c r="F453" s="24"/>
    </x:row>
    <x:row r="454">
      <x:c r="D454" s="23"/>
      <x:c r="F454" s="24"/>
    </x:row>
    <x:row r="455">
      <x:c r="D455" s="23"/>
      <x:c r="F455" s="24"/>
    </x:row>
    <x:row r="456">
      <x:c r="D456" s="23"/>
      <x:c r="F456" s="24"/>
    </x:row>
    <x:row r="457">
      <x:c r="D457" s="23"/>
      <x:c r="F457" s="24"/>
    </x:row>
    <x:row r="458">
      <x:c r="D458" s="23"/>
      <x:c r="F458" s="24"/>
    </x:row>
    <x:row r="459">
      <x:c r="D459" s="23"/>
      <x:c r="F459" s="24"/>
    </x:row>
    <x:row r="460">
      <x:c r="D460" s="23"/>
      <x:c r="F460" s="24"/>
    </x:row>
    <x:row r="461">
      <x:c r="D461" s="23"/>
      <x:c r="F461" s="24"/>
    </x:row>
    <x:row r="462">
      <x:c r="D462" s="23"/>
      <x:c r="F462" s="24"/>
    </x:row>
    <x:row r="463">
      <x:c r="D463" s="23"/>
      <x:c r="F463" s="24"/>
    </x:row>
    <x:row r="464">
      <x:c r="D464" s="23"/>
      <x:c r="F464" s="24"/>
    </x:row>
    <x:row r="465">
      <x:c r="D465" s="23"/>
      <x:c r="F465" s="24"/>
    </x:row>
    <x:row r="466">
      <x:c r="D466" s="23"/>
      <x:c r="F466" s="24"/>
    </x:row>
    <x:row r="467">
      <x:c r="D467" s="23"/>
      <x:c r="F467" s="24"/>
    </x:row>
    <x:row r="468">
      <x:c r="D468" s="23"/>
      <x:c r="F468" s="24"/>
    </x:row>
    <x:row r="469">
      <x:c r="D469" s="23"/>
      <x:c r="F469" s="24"/>
    </x:row>
    <x:row r="470">
      <x:c r="D470" s="23"/>
      <x:c r="F470" s="24"/>
    </x:row>
    <x:row r="471">
      <x:c r="D471" s="23"/>
      <x:c r="F471" s="24"/>
    </x:row>
    <x:row r="472">
      <x:c r="D472" s="23"/>
      <x:c r="F472" s="24"/>
    </x:row>
    <x:row r="473">
      <x:c r="D473" s="23"/>
      <x:c r="F473" s="24"/>
    </x:row>
    <x:row r="474">
      <x:c r="D474" s="23"/>
      <x:c r="F474" s="24"/>
    </x:row>
    <x:row r="475">
      <x:c r="D475" s="23"/>
      <x:c r="F475" s="24"/>
    </x:row>
    <x:row r="476">
      <x:c r="D476" s="23"/>
      <x:c r="F476" s="24"/>
    </x:row>
    <x:row r="477">
      <x:c r="D477" s="23"/>
      <x:c r="F477" s="24"/>
    </x:row>
    <x:row r="478">
      <x:c r="D478" s="23"/>
      <x:c r="F478" s="24"/>
    </x:row>
    <x:row r="479">
      <x:c r="D479" s="23"/>
      <x:c r="F479" s="24"/>
    </x:row>
    <x:row r="480">
      <x:c r="D480" s="23"/>
      <x:c r="F480" s="24"/>
    </x:row>
    <x:row r="481">
      <x:c r="D481" s="23"/>
      <x:c r="F481" s="24"/>
    </x:row>
    <x:row r="482">
      <x:c r="D482" s="23"/>
      <x:c r="F482" s="24"/>
    </x:row>
    <x:row r="483">
      <x:c r="D483" s="23"/>
      <x:c r="F483" s="24"/>
    </x:row>
    <x:row r="484">
      <x:c r="D484" s="23"/>
      <x:c r="F484" s="24"/>
    </x:row>
    <x:row r="485">
      <x:c r="D485" s="23"/>
      <x:c r="F485" s="24"/>
    </x:row>
    <x:row r="486">
      <x:c r="D486" s="23"/>
      <x:c r="F486" s="24"/>
    </x:row>
    <x:row r="487">
      <x:c r="D487" s="23"/>
      <x:c r="F487" s="24"/>
    </x:row>
    <x:row r="488">
      <x:c r="D488" s="23"/>
      <x:c r="F488" s="24"/>
    </x:row>
    <x:row r="489">
      <x:c r="D489" s="23"/>
      <x:c r="F489" s="24"/>
    </x:row>
    <x:row r="490">
      <x:c r="D490" s="23"/>
      <x:c r="F490" s="24"/>
    </x:row>
    <x:row r="491">
      <x:c r="D491" s="23"/>
      <x:c r="F491" s="24"/>
    </x:row>
    <x:row r="492">
      <x:c r="D492" s="23"/>
      <x:c r="F492" s="24"/>
    </x:row>
    <x:row r="493">
      <x:c r="D493" s="23"/>
      <x:c r="F493" s="24"/>
    </x:row>
    <x:row r="494">
      <x:c r="D494" s="23"/>
      <x:c r="F494" s="24"/>
    </x:row>
    <x:row r="495">
      <x:c r="D495" s="23"/>
      <x:c r="F495" s="24"/>
    </x:row>
    <x:row r="496">
      <x:c r="D496" s="23"/>
      <x:c r="F496" s="24"/>
    </x:row>
    <x:row r="497">
      <x:c r="D497" s="23"/>
      <x:c r="F497" s="24"/>
    </x:row>
    <x:row r="498">
      <x:c r="D498" s="23"/>
      <x:c r="F498" s="24"/>
    </x:row>
    <x:row r="499">
      <x:c r="D499" s="23"/>
      <x:c r="F499" s="24"/>
    </x:row>
    <x:row r="500">
      <x:c r="D500" s="23"/>
      <x:c r="F500" s="24"/>
    </x:row>
    <x:row r="501">
      <x:c r="D501" s="23"/>
      <x:c r="F501" s="24"/>
    </x:row>
    <x:row r="502">
      <x:c r="D502" s="23"/>
      <x:c r="F502" s="24"/>
    </x:row>
    <x:row r="503">
      <x:c r="D503" s="23"/>
      <x:c r="F503" s="24"/>
    </x:row>
    <x:row r="504">
      <x:c r="D504" s="23"/>
      <x:c r="F504" s="24"/>
    </x:row>
    <x:row r="505">
      <x:c r="D505" s="23"/>
      <x:c r="F505" s="24"/>
    </x:row>
    <x:row r="506">
      <x:c r="D506" s="23"/>
      <x:c r="F506" s="24"/>
    </x:row>
    <x:row r="507">
      <x:c r="D507" s="23"/>
      <x:c r="F507" s="24"/>
    </x:row>
    <x:row r="508">
      <x:c r="D508" s="23"/>
      <x:c r="F508" s="24"/>
    </x:row>
    <x:row r="509">
      <x:c r="D509" s="23"/>
      <x:c r="F509" s="24"/>
    </x:row>
    <x:row r="510">
      <x:c r="D510" s="23"/>
      <x:c r="F510" s="24"/>
    </x:row>
    <x:row r="511">
      <x:c r="D511" s="23"/>
      <x:c r="F511" s="24"/>
    </x:row>
    <x:row r="512">
      <x:c r="D512" s="23"/>
      <x:c r="F512" s="24"/>
    </x:row>
    <x:row r="513">
      <x:c r="D513" s="23"/>
      <x:c r="F513" s="24"/>
    </x:row>
    <x:row r="514">
      <x:c r="D514" s="23"/>
      <x:c r="F514" s="24"/>
    </x:row>
    <x:row r="515">
      <x:c r="D515" s="23"/>
      <x:c r="F515" s="24"/>
    </x:row>
    <x:row r="516">
      <x:c r="D516" s="23"/>
      <x:c r="F516" s="24"/>
    </x:row>
    <x:row r="517">
      <x:c r="D517" s="23"/>
      <x:c r="F517" s="24"/>
    </x:row>
    <x:row r="518">
      <x:c r="D518" s="23"/>
      <x:c r="F518" s="24"/>
    </x:row>
    <x:row r="519">
      <x:c r="D519" s="23"/>
      <x:c r="F519" s="24"/>
    </x:row>
    <x:row r="520">
      <x:c r="D520" s="23"/>
      <x:c r="F520" s="24"/>
    </x:row>
    <x:row r="521">
      <x:c r="D521" s="23"/>
      <x:c r="F521" s="24"/>
    </x:row>
    <x:row r="522">
      <x:c r="D522" s="23"/>
      <x:c r="F522" s="24"/>
    </x:row>
    <x:row r="523">
      <x:c r="D523" s="23"/>
      <x:c r="F523" s="24"/>
    </x:row>
    <x:row r="524">
      <x:c r="D524" s="23"/>
      <x:c r="F524" s="24"/>
    </x:row>
    <x:row r="525">
      <x:c r="D525" s="23"/>
      <x:c r="F525" s="24"/>
    </x:row>
    <x:row r="526">
      <x:c r="D526" s="23"/>
      <x:c r="F526" s="24"/>
    </x:row>
    <x:row r="527">
      <x:c r="D527" s="23"/>
      <x:c r="F527" s="24"/>
    </x:row>
    <x:row r="528">
      <x:c r="D528" s="23"/>
      <x:c r="F528" s="24"/>
    </x:row>
    <x:row r="529">
      <x:c r="D529" s="23"/>
      <x:c r="F529" s="24"/>
    </x:row>
    <x:row r="530">
      <x:c r="D530" s="23"/>
      <x:c r="F530" s="24"/>
    </x:row>
    <x:row r="531">
      <x:c r="D531" s="23"/>
      <x:c r="F531" s="24"/>
    </x:row>
    <x:row r="532">
      <x:c r="D532" s="23"/>
      <x:c r="F532" s="24"/>
    </x:row>
    <x:row r="533">
      <x:c r="D533" s="23"/>
      <x:c r="F533" s="24"/>
    </x:row>
    <x:row r="534">
      <x:c r="D534" s="23"/>
      <x:c r="F534" s="24"/>
    </x:row>
    <x:row r="535">
      <x:c r="D535" s="23"/>
      <x:c r="F535" s="24"/>
    </x:row>
    <x:row r="536">
      <x:c r="D536" s="23"/>
      <x:c r="F536" s="24"/>
    </x:row>
    <x:row r="537">
      <x:c r="D537" s="23"/>
      <x:c r="F537" s="24"/>
    </x:row>
    <x:row r="538">
      <x:c r="D538" s="23"/>
      <x:c r="F538" s="24"/>
    </x:row>
    <x:row r="539">
      <x:c r="D539" s="23"/>
      <x:c r="F539" s="24"/>
    </x:row>
    <x:row r="540">
      <x:c r="D540" s="23"/>
      <x:c r="F540" s="24"/>
    </x:row>
    <x:row r="541">
      <x:c r="D541" s="23"/>
      <x:c r="F541" s="24"/>
    </x:row>
    <x:row r="542">
      <x:c r="D542" s="23"/>
      <x:c r="F542" s="24"/>
    </x:row>
    <x:row r="543">
      <x:c r="D543" s="23"/>
      <x:c r="F543" s="24"/>
    </x:row>
    <x:row r="544">
      <x:c r="D544" s="23"/>
      <x:c r="F544" s="24"/>
    </x:row>
    <x:row r="545">
      <x:c r="D545" s="23"/>
      <x:c r="F545" s="24"/>
    </x:row>
    <x:row r="546">
      <x:c r="D546" s="23"/>
      <x:c r="F546" s="24"/>
    </x:row>
    <x:row r="547">
      <x:c r="D547" s="23"/>
      <x:c r="F547" s="24"/>
    </x:row>
    <x:row r="548">
      <x:c r="D548" s="23"/>
      <x:c r="F548" s="24"/>
    </x:row>
    <x:row r="549">
      <x:c r="D549" s="23"/>
      <x:c r="F549" s="24"/>
    </x:row>
    <x:row r="550">
      <x:c r="D550" s="23"/>
      <x:c r="F550" s="24"/>
    </x:row>
    <x:row r="551">
      <x:c r="D551" s="23"/>
      <x:c r="F551" s="24"/>
    </x:row>
    <x:row r="552">
      <x:c r="D552" s="23"/>
      <x:c r="F552" s="24"/>
    </x:row>
    <x:row r="553">
      <x:c r="D553" s="23"/>
      <x:c r="F553" s="24"/>
    </x:row>
    <x:row r="554">
      <x:c r="D554" s="23"/>
      <x:c r="F554" s="24"/>
    </x:row>
    <x:row r="555">
      <x:c r="D555" s="23"/>
      <x:c r="F555" s="24"/>
    </x:row>
    <x:row r="556">
      <x:c r="D556" s="23"/>
      <x:c r="F556" s="24"/>
    </x:row>
    <x:row r="557">
      <x:c r="D557" s="23"/>
      <x:c r="F557" s="24"/>
    </x:row>
    <x:row r="558">
      <x:c r="D558" s="23"/>
      <x:c r="F558" s="24"/>
    </x:row>
    <x:row r="559">
      <x:c r="D559" s="23"/>
      <x:c r="F559" s="24"/>
    </x:row>
    <x:row r="560">
      <x:c r="D560" s="23"/>
      <x:c r="F560" s="24"/>
    </x:row>
    <x:row r="561">
      <x:c r="D561" s="23"/>
      <x:c r="F561" s="24"/>
    </x:row>
    <x:row r="562">
      <x:c r="D562" s="23"/>
      <x:c r="F562" s="24"/>
    </x:row>
    <x:row r="563">
      <x:c r="D563" s="23"/>
      <x:c r="F563" s="24"/>
    </x:row>
    <x:row r="564">
      <x:c r="D564" s="23"/>
      <x:c r="F564" s="24"/>
    </x:row>
    <x:row r="565">
      <x:c r="D565" s="23"/>
      <x:c r="F565" s="24"/>
    </x:row>
    <x:row r="566">
      <x:c r="D566" s="23"/>
      <x:c r="F566" s="24"/>
    </x:row>
    <x:row r="567">
      <x:c r="D567" s="23"/>
      <x:c r="F567" s="24"/>
    </x:row>
    <x:row r="568">
      <x:c r="D568" s="23"/>
      <x:c r="F568" s="24"/>
    </x:row>
    <x:row r="569">
      <x:c r="D569" s="23"/>
      <x:c r="F569" s="24"/>
    </x:row>
    <x:row r="570">
      <x:c r="D570" s="23"/>
      <x:c r="F570" s="24"/>
    </x:row>
    <x:row r="571">
      <x:c r="D571" s="23"/>
      <x:c r="F571" s="24"/>
    </x:row>
    <x:row r="572">
      <x:c r="D572" s="23"/>
      <x:c r="F572" s="24"/>
    </x:row>
    <x:row r="573">
      <x:c r="D573" s="23"/>
      <x:c r="F573" s="24"/>
    </x:row>
    <x:row r="574">
      <x:c r="D574" s="23"/>
      <x:c r="F574" s="24"/>
    </x:row>
    <x:row r="575">
      <x:c r="D575" s="23"/>
      <x:c r="F575" s="24"/>
    </x:row>
    <x:row r="576">
      <x:c r="D576" s="23"/>
      <x:c r="F576" s="24"/>
    </x:row>
    <x:row r="577">
      <x:c r="D577" s="23"/>
      <x:c r="F577" s="24"/>
    </x:row>
    <x:row r="578">
      <x:c r="D578" s="23"/>
      <x:c r="F578" s="24"/>
    </x:row>
    <x:row r="579">
      <x:c r="D579" s="23"/>
      <x:c r="F579" s="24"/>
    </x:row>
    <x:row r="580">
      <x:c r="D580" s="23"/>
      <x:c r="F580" s="24"/>
    </x:row>
    <x:row r="581">
      <x:c r="D581" s="23"/>
      <x:c r="F581" s="24"/>
    </x:row>
    <x:row r="582">
      <x:c r="D582" s="23"/>
      <x:c r="F582" s="24"/>
    </x:row>
    <x:row r="583">
      <x:c r="D583" s="23"/>
      <x:c r="F583" s="24"/>
    </x:row>
    <x:row r="584">
      <x:c r="D584" s="23"/>
      <x:c r="F584" s="24"/>
    </x:row>
    <x:row r="585">
      <x:c r="D585" s="23"/>
      <x:c r="F585" s="24"/>
    </x:row>
    <x:row r="586">
      <x:c r="D586" s="23"/>
      <x:c r="F586" s="24"/>
    </x:row>
    <x:row r="587">
      <x:c r="D587" s="23"/>
      <x:c r="F587" s="24"/>
    </x:row>
    <x:row r="588">
      <x:c r="D588" s="23"/>
      <x:c r="F588" s="24"/>
    </x:row>
    <x:row r="589">
      <x:c r="D589" s="23"/>
      <x:c r="F589" s="24"/>
    </x:row>
    <x:row r="590">
      <x:c r="D590" s="23"/>
      <x:c r="F590" s="24"/>
    </x:row>
    <x:row r="591">
      <x:c r="D591" s="23"/>
      <x:c r="F591" s="24"/>
    </x:row>
    <x:row r="592">
      <x:c r="D592" s="23"/>
      <x:c r="F592" s="24"/>
    </x:row>
    <x:row r="593">
      <x:c r="D593" s="23"/>
      <x:c r="F593" s="24"/>
    </x:row>
    <x:row r="594">
      <x:c r="D594" s="23"/>
      <x:c r="F594" s="24"/>
    </x:row>
    <x:row r="595">
      <x:c r="D595" s="23"/>
      <x:c r="F595" s="24"/>
    </x:row>
    <x:row r="596">
      <x:c r="D596" s="23"/>
      <x:c r="F596" s="24"/>
    </x:row>
    <x:row r="597">
      <x:c r="D597" s="23"/>
      <x:c r="F597" s="24"/>
    </x:row>
    <x:row r="598">
      <x:c r="D598" s="23"/>
      <x:c r="F598" s="24"/>
    </x:row>
    <x:row r="599">
      <x:c r="D599" s="23"/>
      <x:c r="F599" s="24"/>
    </x:row>
    <x:row r="600">
      <x:c r="D600" s="23"/>
      <x:c r="F600" s="24"/>
    </x:row>
    <x:row r="601">
      <x:c r="D601" s="23"/>
      <x:c r="F601" s="24"/>
    </x:row>
    <x:row r="602">
      <x:c r="D602" s="23"/>
      <x:c r="F602" s="24"/>
    </x:row>
    <x:row r="603">
      <x:c r="D603" s="23"/>
      <x:c r="F603" s="24"/>
    </x:row>
    <x:row r="604">
      <x:c r="D604" s="23"/>
      <x:c r="F604" s="24"/>
    </x:row>
    <x:row r="605">
      <x:c r="D605" s="23"/>
      <x:c r="F605" s="24"/>
    </x:row>
    <x:row r="606">
      <x:c r="D606" s="23"/>
      <x:c r="F606" s="24"/>
    </x:row>
    <x:row r="607">
      <x:c r="D607" s="23"/>
      <x:c r="F607" s="24"/>
    </x:row>
    <x:row r="608">
      <x:c r="D608" s="23"/>
      <x:c r="F608" s="24"/>
    </x:row>
    <x:row r="609">
      <x:c r="D609" s="23"/>
      <x:c r="F609" s="24"/>
    </x:row>
    <x:row r="610">
      <x:c r="D610" s="23"/>
      <x:c r="F610" s="24"/>
    </x:row>
    <x:row r="611">
      <x:c r="D611" s="23"/>
      <x:c r="F611" s="24"/>
    </x:row>
    <x:row r="612">
      <x:c r="D612" s="23"/>
      <x:c r="F612" s="24"/>
    </x:row>
    <x:row r="613">
      <x:c r="D613" s="23"/>
      <x:c r="F613" s="24"/>
    </x:row>
    <x:row r="614">
      <x:c r="D614" s="23"/>
      <x:c r="F614" s="24"/>
    </x:row>
    <x:row r="615">
      <x:c r="D615" s="23"/>
      <x:c r="F615" s="24"/>
    </x:row>
    <x:row r="616">
      <x:c r="D616" s="23"/>
      <x:c r="F616" s="24"/>
    </x:row>
    <x:row r="617">
      <x:c r="D617" s="23"/>
      <x:c r="F617" s="24"/>
    </x:row>
    <x:row r="618">
      <x:c r="D618" s="23"/>
      <x:c r="F618" s="24"/>
    </x:row>
    <x:row r="619">
      <x:c r="D619" s="23"/>
      <x:c r="F619" s="24"/>
    </x:row>
    <x:row r="620">
      <x:c r="D620" s="23"/>
      <x:c r="F620" s="24"/>
    </x:row>
    <x:row r="621">
      <x:c r="D621" s="23"/>
      <x:c r="F621" s="24"/>
    </x:row>
    <x:row r="622">
      <x:c r="D622" s="23"/>
      <x:c r="F622" s="24"/>
    </x:row>
    <x:row r="623">
      <x:c r="D623" s="23"/>
      <x:c r="F623" s="24"/>
    </x:row>
    <x:row r="624">
      <x:c r="D624" s="23"/>
      <x:c r="F624" s="24"/>
    </x:row>
    <x:row r="625">
      <x:c r="D625" s="23"/>
      <x:c r="F625" s="24"/>
    </x:row>
    <x:row r="626">
      <x:c r="D626" s="23"/>
      <x:c r="F626" s="24"/>
    </x:row>
    <x:row r="627">
      <x:c r="D627" s="23"/>
      <x:c r="F627" s="24"/>
    </x:row>
    <x:row r="628">
      <x:c r="D628" s="23"/>
      <x:c r="F628" s="24"/>
    </x:row>
    <x:row r="629">
      <x:c r="D629" s="23"/>
      <x:c r="F629" s="24"/>
    </x:row>
    <x:row r="630">
      <x:c r="D630" s="23"/>
      <x:c r="F630" s="24"/>
    </x:row>
    <x:row r="631">
      <x:c r="D631" s="23"/>
      <x:c r="F631" s="24"/>
    </x:row>
    <x:row r="632">
      <x:c r="D632" s="23"/>
      <x:c r="F632" s="24"/>
    </x:row>
    <x:row r="633">
      <x:c r="D633" s="23"/>
      <x:c r="F633" s="24"/>
    </x:row>
    <x:row r="634">
      <x:c r="D634" s="23"/>
      <x:c r="F634" s="24"/>
    </x:row>
    <x:row r="635">
      <x:c r="D635" s="23"/>
      <x:c r="F635" s="24"/>
    </x:row>
    <x:row r="636">
      <x:c r="D636" s="23"/>
      <x:c r="F636" s="24"/>
    </x:row>
    <x:row r="637">
      <x:c r="D637" s="23"/>
      <x:c r="F637" s="24"/>
    </x:row>
    <x:row r="638">
      <x:c r="D638" s="23"/>
      <x:c r="F638" s="24"/>
    </x:row>
    <x:row r="639">
      <x:c r="D639" s="23"/>
      <x:c r="F639" s="24"/>
    </x:row>
    <x:row r="640">
      <x:c r="D640" s="23"/>
      <x:c r="F640" s="24"/>
    </x:row>
    <x:row r="641">
      <x:c r="D641" s="23"/>
      <x:c r="F641" s="24"/>
    </x:row>
    <x:row r="642">
      <x:c r="D642" s="23"/>
      <x:c r="F642" s="24"/>
    </x:row>
    <x:row r="643">
      <x:c r="D643" s="23"/>
      <x:c r="F643" s="24"/>
    </x:row>
    <x:row r="644">
      <x:c r="D644" s="23"/>
      <x:c r="F644" s="24"/>
    </x:row>
    <x:row r="645">
      <x:c r="D645" s="23"/>
      <x:c r="F645" s="24"/>
    </x:row>
    <x:row r="646">
      <x:c r="D646" s="23"/>
      <x:c r="F646" s="24"/>
    </x:row>
    <x:row r="647">
      <x:c r="D647" s="23"/>
      <x:c r="F647" s="24"/>
    </x:row>
    <x:row r="648">
      <x:c r="D648" s="23"/>
      <x:c r="F648" s="24"/>
    </x:row>
    <x:row r="649">
      <x:c r="D649" s="23"/>
      <x:c r="F649" s="24"/>
    </x:row>
    <x:row r="650">
      <x:c r="D650" s="23"/>
      <x:c r="F650" s="24"/>
    </x:row>
    <x:row r="651">
      <x:c r="D651" s="23"/>
      <x:c r="F651" s="24"/>
    </x:row>
    <x:row r="652">
      <x:c r="D652" s="23"/>
      <x:c r="F652" s="24"/>
    </x:row>
    <x:row r="653">
      <x:c r="D653" s="23"/>
      <x:c r="F653" s="24"/>
    </x:row>
    <x:row r="654">
      <x:c r="D654" s="23"/>
      <x:c r="F654" s="24"/>
    </x:row>
    <x:row r="655">
      <x:c r="D655" s="23"/>
      <x:c r="F655" s="24"/>
    </x:row>
    <x:row r="656">
      <x:c r="D656" s="23"/>
      <x:c r="F656" s="24"/>
    </x:row>
    <x:row r="657">
      <x:c r="D657" s="23"/>
      <x:c r="F657" s="24"/>
    </x:row>
    <x:row r="658">
      <x:c r="D658" s="23"/>
      <x:c r="F658" s="24"/>
    </x:row>
    <x:row r="659">
      <x:c r="D659" s="23"/>
      <x:c r="F659" s="24"/>
    </x:row>
    <x:row r="660">
      <x:c r="D660" s="23"/>
      <x:c r="F660" s="24"/>
    </x:row>
    <x:row r="661">
      <x:c r="D661" s="23"/>
      <x:c r="F661" s="24"/>
    </x:row>
    <x:row r="662">
      <x:c r="D662" s="23"/>
      <x:c r="F662" s="24"/>
    </x:row>
    <x:row r="663">
      <x:c r="D663" s="23"/>
      <x:c r="F663" s="24"/>
    </x:row>
    <x:row r="664">
      <x:c r="D664" s="23"/>
      <x:c r="F664" s="24"/>
    </x:row>
    <x:row r="665">
      <x:c r="D665" s="23"/>
      <x:c r="F665" s="24"/>
    </x:row>
    <x:row r="666">
      <x:c r="D666" s="23"/>
      <x:c r="F666" s="24"/>
    </x:row>
    <x:row r="667">
      <x:c r="D667" s="23"/>
      <x:c r="F667" s="24"/>
    </x:row>
    <x:row r="668">
      <x:c r="D668" s="23"/>
      <x:c r="F668" s="24"/>
    </x:row>
    <x:row r="669">
      <x:c r="D669" s="23"/>
      <x:c r="F669" s="24"/>
    </x:row>
    <x:row r="670">
      <x:c r="D670" s="23"/>
      <x:c r="F670" s="24"/>
    </x:row>
    <x:row r="671">
      <x:c r="D671" s="23"/>
      <x:c r="F671" s="24"/>
    </x:row>
    <x:row r="672">
      <x:c r="D672" s="23"/>
      <x:c r="F672" s="24"/>
    </x:row>
    <x:row r="673">
      <x:c r="D673" s="23"/>
      <x:c r="F673" s="24"/>
    </x:row>
    <x:row r="674">
      <x:c r="D674" s="23"/>
      <x:c r="F674" s="24"/>
    </x:row>
    <x:row r="675">
      <x:c r="D675" s="23"/>
      <x:c r="F675" s="24"/>
    </x:row>
    <x:row r="676">
      <x:c r="D676" s="23"/>
      <x:c r="F676" s="24"/>
    </x:row>
    <x:row r="677">
      <x:c r="D677" s="23"/>
      <x:c r="F677" s="24"/>
    </x:row>
    <x:row r="678">
      <x:c r="D678" s="23"/>
      <x:c r="F678" s="24"/>
    </x:row>
    <x:row r="679">
      <x:c r="D679" s="23"/>
      <x:c r="F679" s="24"/>
    </x:row>
    <x:row r="680">
      <x:c r="D680" s="23"/>
      <x:c r="F680" s="24"/>
    </x:row>
    <x:row r="681">
      <x:c r="D681" s="23"/>
      <x:c r="F681" s="24"/>
    </x:row>
    <x:row r="682">
      <x:c r="D682" s="23"/>
      <x:c r="F682" s="24"/>
    </x:row>
    <x:row r="683">
      <x:c r="D683" s="23"/>
      <x:c r="F683" s="24"/>
    </x:row>
    <x:row r="684">
      <x:c r="D684" s="23"/>
      <x:c r="F684" s="24"/>
    </x:row>
    <x:row r="685">
      <x:c r="D685" s="23"/>
      <x:c r="F685" s="24"/>
    </x:row>
    <x:row r="686">
      <x:c r="D686" s="23"/>
      <x:c r="F686" s="24"/>
    </x:row>
    <x:row r="687">
      <x:c r="D687" s="23"/>
      <x:c r="F687" s="24"/>
    </x:row>
    <x:row r="688">
      <x:c r="D688" s="23"/>
      <x:c r="F688" s="24"/>
    </x:row>
    <x:row r="689">
      <x:c r="D689" s="23"/>
      <x:c r="F689" s="24"/>
    </x:row>
    <x:row r="690">
      <x:c r="D690" s="23"/>
      <x:c r="F690" s="24"/>
    </x:row>
    <x:row r="691">
      <x:c r="D691" s="23"/>
      <x:c r="F691" s="24"/>
    </x:row>
    <x:row r="692">
      <x:c r="D692" s="23"/>
      <x:c r="F692" s="24"/>
    </x:row>
    <x:row r="693">
      <x:c r="D693" s="23"/>
      <x:c r="F693" s="24"/>
    </x:row>
    <x:row r="694">
      <x:c r="D694" s="23"/>
      <x:c r="F694" s="24"/>
    </x:row>
    <x:row r="695">
      <x:c r="D695" s="23"/>
      <x:c r="F695" s="24"/>
    </x:row>
    <x:row r="696">
      <x:c r="D696" s="23"/>
      <x:c r="F696" s="24"/>
    </x:row>
    <x:row r="697">
      <x:c r="D697" s="23"/>
      <x:c r="F697" s="24"/>
    </x:row>
    <x:row r="698">
      <x:c r="D698" s="23"/>
      <x:c r="F698" s="24"/>
    </x:row>
    <x:row r="699">
      <x:c r="D699" s="23"/>
      <x:c r="F699" s="24"/>
    </x:row>
    <x:row r="700">
      <x:c r="D700" s="23"/>
      <x:c r="F700" s="24"/>
    </x:row>
    <x:row r="701">
      <x:c r="D701" s="23"/>
      <x:c r="F701" s="24"/>
    </x:row>
    <x:row r="702">
      <x:c r="D702" s="23"/>
      <x:c r="F702" s="24"/>
    </x:row>
    <x:row r="703">
      <x:c r="D703" s="23"/>
      <x:c r="F703" s="24"/>
    </x:row>
    <x:row r="704">
      <x:c r="D704" s="23"/>
      <x:c r="F704" s="24"/>
    </x:row>
    <x:row r="705">
      <x:c r="D705" s="23"/>
      <x:c r="F705" s="24"/>
    </x:row>
    <x:row r="706">
      <x:c r="D706" s="23"/>
      <x:c r="F706" s="24"/>
    </x:row>
    <x:row r="707">
      <x:c r="D707" s="23"/>
      <x:c r="F707" s="24"/>
    </x:row>
    <x:row r="708">
      <x:c r="D708" s="23"/>
      <x:c r="F708" s="24"/>
    </x:row>
    <x:row r="709">
      <x:c r="D709" s="23"/>
      <x:c r="F709" s="24"/>
    </x:row>
    <x:row r="710">
      <x:c r="D710" s="23"/>
      <x:c r="F710" s="24"/>
    </x:row>
    <x:row r="711">
      <x:c r="D711" s="23"/>
      <x:c r="F711" s="24"/>
    </x:row>
    <x:row r="712">
      <x:c r="D712" s="23"/>
      <x:c r="F712" s="24"/>
    </x:row>
    <x:row r="713">
      <x:c r="D713" s="23"/>
      <x:c r="F713" s="24"/>
    </x:row>
    <x:row r="714">
      <x:c r="D714" s="23"/>
      <x:c r="F714" s="24"/>
    </x:row>
    <x:row r="715">
      <x:c r="D715" s="23"/>
      <x:c r="F715" s="24"/>
    </x:row>
    <x:row r="716">
      <x:c r="D716" s="23"/>
      <x:c r="F716" s="24"/>
    </x:row>
    <x:row r="717">
      <x:c r="D717" s="23"/>
      <x:c r="F717" s="24"/>
    </x:row>
    <x:row r="718">
      <x:c r="D718" s="23"/>
      <x:c r="F718" s="24"/>
    </x:row>
    <x:row r="719">
      <x:c r="D719" s="23"/>
      <x:c r="F719" s="24"/>
    </x:row>
    <x:row r="720">
      <x:c r="D720" s="23"/>
      <x:c r="F720" s="24"/>
    </x:row>
    <x:row r="721">
      <x:c r="D721" s="23"/>
      <x:c r="F721" s="24"/>
    </x:row>
    <x:row r="722">
      <x:c r="D722" s="23"/>
      <x:c r="F722" s="24"/>
    </x:row>
    <x:row r="723">
      <x:c r="D723" s="23"/>
      <x:c r="F723" s="24"/>
    </x:row>
    <x:row r="724">
      <x:c r="D724" s="23"/>
      <x:c r="F724" s="24"/>
    </x:row>
    <x:row r="725">
      <x:c r="D725" s="23"/>
      <x:c r="F725" s="24"/>
    </x:row>
    <x:row r="726">
      <x:c r="D726" s="23"/>
      <x:c r="F726" s="24"/>
    </x:row>
    <x:row r="727">
      <x:c r="D727" s="23"/>
      <x:c r="F727" s="24"/>
    </x:row>
    <x:row r="728">
      <x:c r="D728" s="23"/>
      <x:c r="F728" s="24"/>
    </x:row>
    <x:row r="729">
      <x:c r="D729" s="23"/>
      <x:c r="F729" s="24"/>
    </x:row>
    <x:row r="730">
      <x:c r="D730" s="23"/>
      <x:c r="F730" s="24"/>
    </x:row>
    <x:row r="731">
      <x:c r="D731" s="23"/>
      <x:c r="F731" s="24"/>
    </x:row>
    <x:row r="732">
      <x:c r="D732" s="23"/>
      <x:c r="F732" s="24"/>
    </x:row>
    <x:row r="733">
      <x:c r="D733" s="23"/>
      <x:c r="F733" s="24"/>
    </x:row>
    <x:row r="734">
      <x:c r="D734" s="23"/>
      <x:c r="F734" s="24"/>
    </x:row>
    <x:row r="735">
      <x:c r="D735" s="23"/>
      <x:c r="F735" s="24"/>
    </x:row>
    <x:row r="736">
      <x:c r="D736" s="23"/>
      <x:c r="F736" s="24"/>
    </x:row>
    <x:row r="737">
      <x:c r="D737" s="23"/>
      <x:c r="F737" s="24"/>
    </x:row>
    <x:row r="738">
      <x:c r="D738" s="23"/>
      <x:c r="F738" s="24"/>
    </x:row>
    <x:row r="739">
      <x:c r="D739" s="23"/>
      <x:c r="F739" s="24"/>
    </x:row>
    <x:row r="740">
      <x:c r="D740" s="23"/>
      <x:c r="F740" s="24"/>
    </x:row>
    <x:row r="741">
      <x:c r="D741" s="23"/>
      <x:c r="F741" s="24"/>
    </x:row>
    <x:row r="742">
      <x:c r="D742" s="23"/>
      <x:c r="F742" s="24"/>
    </x:row>
    <x:row r="743">
      <x:c r="D743" s="23"/>
      <x:c r="F743" s="24"/>
    </x:row>
    <x:row r="744">
      <x:c r="D744" s="23"/>
      <x:c r="F744" s="24"/>
    </x:row>
    <x:row r="745">
      <x:c r="D745" s="23"/>
      <x:c r="F745" s="24"/>
    </x:row>
    <x:row r="746">
      <x:c r="D746" s="23"/>
      <x:c r="F746" s="24"/>
    </x:row>
    <x:row r="747">
      <x:c r="D747" s="23"/>
      <x:c r="F747" s="24"/>
    </x:row>
    <x:row r="748">
      <x:c r="D748" s="23"/>
      <x:c r="F748" s="24"/>
    </x:row>
    <x:row r="749">
      <x:c r="D749" s="23"/>
      <x:c r="F749" s="24"/>
    </x:row>
    <x:row r="750">
      <x:c r="D750" s="23"/>
      <x:c r="F750" s="24"/>
    </x:row>
    <x:row r="751">
      <x:c r="D751" s="23"/>
      <x:c r="F751" s="24"/>
    </x:row>
    <x:row r="752">
      <x:c r="D752" s="23"/>
      <x:c r="F752" s="24"/>
    </x:row>
    <x:row r="753">
      <x:c r="D753" s="23"/>
      <x:c r="F753" s="24"/>
    </x:row>
    <x:row r="754">
      <x:c r="D754" s="23"/>
      <x:c r="F754" s="24"/>
    </x:row>
    <x:row r="755">
      <x:c r="D755" s="23"/>
      <x:c r="F755" s="24"/>
    </x:row>
    <x:row r="756">
      <x:c r="D756" s="23"/>
      <x:c r="F756" s="24"/>
    </x:row>
    <x:row r="757">
      <x:c r="D757" s="23"/>
      <x:c r="F757" s="24"/>
    </x:row>
    <x:row r="758">
      <x:c r="D758" s="23"/>
      <x:c r="F758" s="24"/>
    </x:row>
    <x:row r="759">
      <x:c r="D759" s="23"/>
      <x:c r="F759" s="24"/>
    </x:row>
    <x:row r="760">
      <x:c r="D760" s="23"/>
      <x:c r="F760" s="24"/>
    </x:row>
    <x:row r="761">
      <x:c r="D761" s="23"/>
      <x:c r="F761" s="24"/>
    </x:row>
    <x:row r="762">
      <x:c r="D762" s="23"/>
      <x:c r="F762" s="24"/>
    </x:row>
    <x:row r="763">
      <x:c r="D763" s="23"/>
      <x:c r="F763" s="24"/>
    </x:row>
    <x:row r="764">
      <x:c r="D764" s="23"/>
      <x:c r="F764" s="24"/>
    </x:row>
    <x:row r="765">
      <x:c r="D765" s="23"/>
      <x:c r="F765" s="24"/>
    </x:row>
    <x:row r="766">
      <x:c r="D766" s="23"/>
      <x:c r="F766" s="24"/>
    </x:row>
    <x:row r="767">
      <x:c r="D767" s="23"/>
      <x:c r="F767" s="24"/>
    </x:row>
    <x:row r="768">
      <x:c r="D768" s="23"/>
      <x:c r="F768" s="24"/>
    </x:row>
    <x:row r="769">
      <x:c r="D769" s="23"/>
      <x:c r="F769" s="24"/>
    </x:row>
    <x:row r="770">
      <x:c r="D770" s="23"/>
      <x:c r="F770" s="24"/>
    </x:row>
    <x:row r="771">
      <x:c r="D771" s="23"/>
      <x:c r="F771" s="24"/>
    </x:row>
    <x:row r="772">
      <x:c r="D772" s="23"/>
      <x:c r="F772" s="24"/>
    </x:row>
    <x:row r="773">
      <x:c r="D773" s="23"/>
      <x:c r="F773" s="24"/>
    </x:row>
    <x:row r="774">
      <x:c r="D774" s="23"/>
      <x:c r="F774" s="24"/>
    </x:row>
    <x:row r="775">
      <x:c r="D775" s="23"/>
      <x:c r="F775" s="24"/>
    </x:row>
    <x:row r="776">
      <x:c r="D776" s="23"/>
      <x:c r="F776" s="24"/>
    </x:row>
    <x:row r="777">
      <x:c r="D777" s="23"/>
      <x:c r="F777" s="24"/>
    </x:row>
    <x:row r="778">
      <x:c r="D778" s="23"/>
      <x:c r="F778" s="24"/>
    </x:row>
    <x:row r="779">
      <x:c r="D779" s="23"/>
      <x:c r="F779" s="24"/>
    </x:row>
    <x:row r="780">
      <x:c r="D780" s="23"/>
      <x:c r="F780" s="24"/>
    </x:row>
    <x:row r="781">
      <x:c r="D781" s="23"/>
      <x:c r="F781" s="24"/>
    </x:row>
    <x:row r="782">
      <x:c r="D782" s="23"/>
      <x:c r="F782" s="24"/>
    </x:row>
    <x:row r="783">
      <x:c r="D783" s="23"/>
      <x:c r="F783" s="24"/>
    </x:row>
    <x:row r="784">
      <x:c r="D784" s="23"/>
      <x:c r="F784" s="24"/>
    </x:row>
    <x:row r="785">
      <x:c r="D785" s="23"/>
      <x:c r="F785" s="24"/>
    </x:row>
    <x:row r="786">
      <x:c r="D786" s="23"/>
      <x:c r="F786" s="24"/>
    </x:row>
    <x:row r="787">
      <x:c r="D787" s="23"/>
      <x:c r="F787" s="24"/>
    </x:row>
    <x:row r="788">
      <x:c r="D788" s="23"/>
      <x:c r="F788" s="24"/>
    </x:row>
    <x:row r="789">
      <x:c r="D789" s="23"/>
      <x:c r="F789" s="24"/>
    </x:row>
    <x:row r="790">
      <x:c r="D790" s="23"/>
      <x:c r="F790" s="24"/>
    </x:row>
    <x:row r="791">
      <x:c r="D791" s="23"/>
      <x:c r="F791" s="24"/>
    </x:row>
    <x:row r="792">
      <x:c r="D792" s="23"/>
      <x:c r="F792" s="24"/>
    </x:row>
    <x:row r="793">
      <x:c r="D793" s="23"/>
      <x:c r="F793" s="24"/>
    </x:row>
    <x:row r="794">
      <x:c r="D794" s="23"/>
      <x:c r="F794" s="24"/>
    </x:row>
    <x:row r="795">
      <x:c r="D795" s="23"/>
      <x:c r="F795" s="24"/>
    </x:row>
    <x:row r="796">
      <x:c r="D796" s="23"/>
      <x:c r="F796" s="24"/>
    </x:row>
    <x:row r="797">
      <x:c r="D797" s="23"/>
      <x:c r="F797" s="24"/>
    </x:row>
    <x:row r="798">
      <x:c r="D798" s="23"/>
      <x:c r="F798" s="24"/>
    </x:row>
    <x:row r="799">
      <x:c r="D799" s="23"/>
      <x:c r="F799" s="24"/>
    </x:row>
    <x:row r="800">
      <x:c r="D800" s="23"/>
      <x:c r="F800" s="24"/>
    </x:row>
    <x:row r="801">
      <x:c r="D801" s="23"/>
      <x:c r="F801" s="24"/>
    </x:row>
    <x:row r="802">
      <x:c r="D802" s="23"/>
      <x:c r="F802" s="24"/>
    </x:row>
    <x:row r="803">
      <x:c r="D803" s="23"/>
      <x:c r="F803" s="24"/>
    </x:row>
    <x:row r="804">
      <x:c r="D804" s="23"/>
      <x:c r="F804" s="24"/>
    </x:row>
    <x:row r="805">
      <x:c r="D805" s="23"/>
      <x:c r="F805" s="24"/>
    </x:row>
    <x:row r="806">
      <x:c r="D806" s="23"/>
      <x:c r="F806" s="24"/>
    </x:row>
    <x:row r="807">
      <x:c r="D807" s="23"/>
      <x:c r="F807" s="24"/>
    </x:row>
    <x:row r="808">
      <x:c r="D808" s="23"/>
      <x:c r="F808" s="24"/>
    </x:row>
    <x:row r="809">
      <x:c r="D809" s="23"/>
      <x:c r="F809" s="24"/>
    </x:row>
    <x:row r="810">
      <x:c r="D810" s="23"/>
      <x:c r="F810" s="24"/>
    </x:row>
    <x:row r="811">
      <x:c r="D811" s="23"/>
      <x:c r="F811" s="24"/>
    </x:row>
    <x:row r="812">
      <x:c r="D812" s="23"/>
      <x:c r="F812" s="24"/>
    </x:row>
    <x:row r="813">
      <x:c r="D813" s="23"/>
      <x:c r="F813" s="24"/>
    </x:row>
    <x:row r="814">
      <x:c r="D814" s="23"/>
      <x:c r="F814" s="24"/>
    </x:row>
    <x:row r="815">
      <x:c r="D815" s="23"/>
      <x:c r="F815" s="24"/>
    </x:row>
    <x:row r="816">
      <x:c r="D816" s="23"/>
      <x:c r="F816" s="24"/>
    </x:row>
    <x:row r="817">
      <x:c r="D817" s="23"/>
      <x:c r="F817" s="24"/>
    </x:row>
    <x:row r="818">
      <x:c r="D818" s="23"/>
      <x:c r="F818" s="24"/>
    </x:row>
    <x:row r="819">
      <x:c r="D819" s="23"/>
      <x:c r="F819" s="24"/>
    </x:row>
    <x:row r="820">
      <x:c r="D820" s="23"/>
      <x:c r="F820" s="24"/>
    </x:row>
    <x:row r="821">
      <x:c r="D821" s="23"/>
      <x:c r="F821" s="24"/>
    </x:row>
    <x:row r="822">
      <x:c r="D822" s="23"/>
      <x:c r="F822" s="24"/>
    </x:row>
    <x:row r="823">
      <x:c r="D823" s="23"/>
      <x:c r="F823" s="24"/>
    </x:row>
    <x:row r="824">
      <x:c r="D824" s="23"/>
      <x:c r="F824" s="24"/>
    </x:row>
    <x:row r="825">
      <x:c r="D825" s="23"/>
      <x:c r="F825" s="24"/>
    </x:row>
    <x:row r="826">
      <x:c r="D826" s="23"/>
      <x:c r="F826" s="24"/>
    </x:row>
    <x:row r="827">
      <x:c r="D827" s="23"/>
      <x:c r="F827" s="24"/>
    </x:row>
    <x:row r="828">
      <x:c r="D828" s="23"/>
      <x:c r="F828" s="24"/>
    </x:row>
    <x:row r="829">
      <x:c r="D829" s="23"/>
      <x:c r="F829" s="24"/>
    </x:row>
    <x:row r="830">
      <x:c r="D830" s="23"/>
      <x:c r="F830" s="24"/>
    </x:row>
    <x:row r="831">
      <x:c r="D831" s="23"/>
      <x:c r="F831" s="24"/>
    </x:row>
    <x:row r="832">
      <x:c r="D832" s="23"/>
      <x:c r="F832" s="24"/>
    </x:row>
    <x:row r="833">
      <x:c r="D833" s="23"/>
      <x:c r="F833" s="24"/>
    </x:row>
    <x:row r="834">
      <x:c r="D834" s="23"/>
      <x:c r="F834" s="24"/>
    </x:row>
    <x:row r="835">
      <x:c r="D835" s="23"/>
      <x:c r="F835" s="24"/>
    </x:row>
    <x:row r="836">
      <x:c r="D836" s="23"/>
      <x:c r="F836" s="24"/>
    </x:row>
    <x:row r="837">
      <x:c r="D837" s="23"/>
      <x:c r="F837" s="24"/>
    </x:row>
    <x:row r="838">
      <x:c r="D838" s="23"/>
      <x:c r="F838" s="24"/>
    </x:row>
    <x:row r="839">
      <x:c r="D839" s="23"/>
      <x:c r="F839" s="24"/>
    </x:row>
    <x:row r="840">
      <x:c r="D840" s="23"/>
      <x:c r="F840" s="24"/>
    </x:row>
    <x:row r="841">
      <x:c r="D841" s="23"/>
      <x:c r="F841" s="24"/>
    </x:row>
    <x:row r="842">
      <x:c r="D842" s="23"/>
      <x:c r="F842" s="24"/>
    </x:row>
    <x:row r="843">
      <x:c r="D843" s="23"/>
      <x:c r="F843" s="24"/>
    </x:row>
    <x:row r="844">
      <x:c r="D844" s="23"/>
      <x:c r="F844" s="24"/>
    </x:row>
    <x:row r="845">
      <x:c r="D845" s="23"/>
      <x:c r="F845" s="24"/>
    </x:row>
    <x:row r="846">
      <x:c r="D846" s="23"/>
      <x:c r="F846" s="24"/>
    </x:row>
    <x:row r="847">
      <x:c r="D847" s="23"/>
      <x:c r="F847" s="24"/>
    </x:row>
    <x:row r="848">
      <x:c r="D848" s="23"/>
      <x:c r="F848" s="24"/>
    </x:row>
    <x:row r="849">
      <x:c r="D849" s="23"/>
      <x:c r="F849" s="24"/>
    </x:row>
    <x:row r="850">
      <x:c r="D850" s="23"/>
      <x:c r="F850" s="24"/>
    </x:row>
    <x:row r="851">
      <x:c r="D851" s="23"/>
      <x:c r="F851" s="24"/>
    </x:row>
    <x:row r="852">
      <x:c r="D852" s="23"/>
      <x:c r="F852" s="24"/>
    </x:row>
    <x:row r="853">
      <x:c r="D853" s="23"/>
      <x:c r="F853" s="24"/>
    </x:row>
    <x:row r="854">
      <x:c r="D854" s="23"/>
      <x:c r="F854" s="24"/>
    </x:row>
    <x:row r="855">
      <x:c r="D855" s="23"/>
      <x:c r="F855" s="24"/>
    </x:row>
    <x:row r="856">
      <x:c r="D856" s="23"/>
      <x:c r="F856" s="24"/>
    </x:row>
    <x:row r="857">
      <x:c r="D857" s="23"/>
      <x:c r="F857" s="24"/>
    </x:row>
    <x:row r="858">
      <x:c r="D858" s="23"/>
      <x:c r="F858" s="24"/>
    </x:row>
    <x:row r="859">
      <x:c r="D859" s="23"/>
      <x:c r="F859" s="24"/>
    </x:row>
    <x:row r="860">
      <x:c r="D860" s="23"/>
      <x:c r="F860" s="24"/>
    </x:row>
    <x:row r="861">
      <x:c r="D861" s="23"/>
      <x:c r="F861" s="24"/>
    </x:row>
    <x:row r="862">
      <x:c r="D862" s="23"/>
      <x:c r="F862" s="24"/>
    </x:row>
    <x:row r="863">
      <x:c r="D863" s="23"/>
      <x:c r="F863" s="24"/>
    </x:row>
    <x:row r="864">
      <x:c r="D864" s="23"/>
      <x:c r="F864" s="24"/>
    </x:row>
    <x:row r="865">
      <x:c r="D865" s="23"/>
      <x:c r="F865" s="24"/>
    </x:row>
    <x:row r="866">
      <x:c r="D866" s="23"/>
      <x:c r="F866" s="24"/>
    </x:row>
    <x:row r="867">
      <x:c r="D867" s="23"/>
      <x:c r="F867" s="24"/>
    </x:row>
    <x:row r="868">
      <x:c r="D868" s="23"/>
      <x:c r="F868" s="24"/>
    </x:row>
    <x:row r="869">
      <x:c r="D869" s="23"/>
      <x:c r="F869" s="24"/>
    </x:row>
    <x:row r="870">
      <x:c r="D870" s="23"/>
      <x:c r="F870" s="24"/>
    </x:row>
    <x:row r="871">
      <x:c r="D871" s="23"/>
      <x:c r="F871" s="24"/>
    </x:row>
    <x:row r="872">
      <x:c r="D872" s="23"/>
      <x:c r="F872" s="24"/>
    </x:row>
    <x:row r="873">
      <x:c r="D873" s="23"/>
      <x:c r="F873" s="24"/>
    </x:row>
    <x:row r="874">
      <x:c r="D874" s="23"/>
      <x:c r="F874" s="24"/>
    </x:row>
    <x:row r="875">
      <x:c r="D875" s="23"/>
      <x:c r="F875" s="24"/>
    </x:row>
    <x:row r="876">
      <x:c r="D876" s="23"/>
      <x:c r="F876" s="24"/>
    </x:row>
    <x:row r="877">
      <x:c r="D877" s="23"/>
      <x:c r="F877" s="24"/>
    </x:row>
    <x:row r="878">
      <x:c r="D878" s="23"/>
      <x:c r="F878" s="24"/>
    </x:row>
    <x:row r="879">
      <x:c r="D879" s="23"/>
      <x:c r="F879" s="24"/>
    </x:row>
    <x:row r="880">
      <x:c r="D880" s="23"/>
      <x:c r="F880" s="24"/>
    </x:row>
    <x:row r="881">
      <x:c r="D881" s="23"/>
      <x:c r="F881" s="24"/>
    </x:row>
    <x:row r="882">
      <x:c r="D882" s="23"/>
      <x:c r="F882" s="24"/>
    </x:row>
    <x:row r="883">
      <x:c r="D883" s="23"/>
      <x:c r="F883" s="24"/>
    </x:row>
    <x:row r="884">
      <x:c r="D884" s="23"/>
      <x:c r="F884" s="24"/>
    </x:row>
    <x:row r="885">
      <x:c r="D885" s="23"/>
      <x:c r="F885" s="24"/>
    </x:row>
    <x:row r="886">
      <x:c r="D886" s="23"/>
      <x:c r="F886" s="24"/>
    </x:row>
    <x:row r="887">
      <x:c r="D887" s="23"/>
      <x:c r="F887" s="24"/>
    </x:row>
    <x:row r="888">
      <x:c r="D888" s="23"/>
      <x:c r="F888" s="24"/>
    </x:row>
    <x:row r="889">
      <x:c r="D889" s="23"/>
      <x:c r="F889" s="24"/>
    </x:row>
    <x:row r="890">
      <x:c r="D890" s="23"/>
      <x:c r="F890" s="24"/>
    </x:row>
    <x:row r="891">
      <x:c r="D891" s="23"/>
      <x:c r="F891" s="24"/>
    </x:row>
    <x:row r="892">
      <x:c r="D892" s="23"/>
      <x:c r="F892" s="24"/>
    </x:row>
    <x:row r="893">
      <x:c r="D893" s="23"/>
      <x:c r="F893" s="24"/>
    </x:row>
    <x:row r="894">
      <x:c r="D894" s="23"/>
      <x:c r="F894" s="24"/>
    </x:row>
    <x:row r="895">
      <x:c r="D895" s="23"/>
      <x:c r="F895" s="24"/>
    </x:row>
    <x:row r="896">
      <x:c r="D896" s="23"/>
      <x:c r="F896" s="24"/>
    </x:row>
    <x:row r="897">
      <x:c r="D897" s="23"/>
      <x:c r="F897" s="24"/>
    </x:row>
    <x:row r="898">
      <x:c r="D898" s="23"/>
      <x:c r="F898" s="24"/>
    </x:row>
    <x:row r="899">
      <x:c r="D899" s="23"/>
      <x:c r="F899" s="24"/>
    </x:row>
    <x:row r="900">
      <x:c r="D900" s="23"/>
      <x:c r="F900" s="24"/>
    </x:row>
    <x:row r="901">
      <x:c r="D901" s="23"/>
      <x:c r="F901" s="24"/>
    </x:row>
    <x:row r="902">
      <x:c r="D902" s="23"/>
      <x:c r="F902" s="24"/>
    </x:row>
    <x:row r="903">
      <x:c r="D903" s="23"/>
      <x:c r="F903" s="24"/>
    </x:row>
    <x:row r="904">
      <x:c r="D904" s="23"/>
      <x:c r="F904" s="24"/>
    </x:row>
    <x:row r="905">
      <x:c r="D905" s="23"/>
      <x:c r="F905" s="24"/>
    </x:row>
    <x:row r="906">
      <x:c r="D906" s="23"/>
      <x:c r="F906" s="24"/>
    </x:row>
    <x:row r="907">
      <x:c r="D907" s="23"/>
      <x:c r="F907" s="24"/>
    </x:row>
    <x:row r="908">
      <x:c r="D908" s="23"/>
      <x:c r="F908" s="24"/>
    </x:row>
    <x:row r="909">
      <x:c r="D909" s="23"/>
      <x:c r="F909" s="24"/>
    </x:row>
    <x:row r="910">
      <x:c r="D910" s="23"/>
      <x:c r="F910" s="24"/>
    </x:row>
    <x:row r="911">
      <x:c r="D911" s="23"/>
      <x:c r="F911" s="24"/>
    </x:row>
    <x:row r="912">
      <x:c r="D912" s="23"/>
      <x:c r="F912" s="24"/>
    </x:row>
    <x:row r="913">
      <x:c r="D913" s="23"/>
      <x:c r="F913" s="24"/>
    </x:row>
    <x:row r="914">
      <x:c r="D914" s="23"/>
      <x:c r="F914" s="24"/>
    </x:row>
    <x:row r="915">
      <x:c r="D915" s="23"/>
      <x:c r="F915" s="24"/>
    </x:row>
    <x:row r="916">
      <x:c r="D916" s="23"/>
      <x:c r="F916" s="24"/>
    </x:row>
    <x:row r="917">
      <x:c r="D917" s="23"/>
      <x:c r="F917" s="24"/>
    </x:row>
    <x:row r="918">
      <x:c r="D918" s="23"/>
      <x:c r="F918" s="24"/>
    </x:row>
    <x:row r="919">
      <x:c r="D919" s="23"/>
      <x:c r="F919" s="24"/>
    </x:row>
    <x:row r="920">
      <x:c r="D920" s="23"/>
      <x:c r="F920" s="24"/>
    </x:row>
    <x:row r="921">
      <x:c r="D921" s="23"/>
      <x:c r="F921" s="24"/>
    </x:row>
    <x:row r="922">
      <x:c r="D922" s="23"/>
      <x:c r="F922" s="24"/>
    </x:row>
    <x:row r="923">
      <x:c r="D923" s="23"/>
      <x:c r="F923" s="24"/>
    </x:row>
    <x:row r="924">
      <x:c r="D924" s="23"/>
      <x:c r="F924" s="24"/>
    </x:row>
    <x:row r="925">
      <x:c r="D925" s="23"/>
      <x:c r="F925" s="24"/>
    </x:row>
    <x:row r="926">
      <x:c r="D926" s="23"/>
      <x:c r="F926" s="24"/>
    </x:row>
    <x:row r="927">
      <x:c r="D927" s="23"/>
      <x:c r="F927" s="24"/>
    </x:row>
    <x:row r="928">
      <x:c r="D928" s="23"/>
      <x:c r="F928" s="24"/>
    </x:row>
    <x:row r="929">
      <x:c r="D929" s="23"/>
      <x:c r="F929" s="24"/>
    </x:row>
    <x:row r="930">
      <x:c r="D930" s="23"/>
      <x:c r="F930" s="24"/>
    </x:row>
    <x:row r="931">
      <x:c r="D931" s="23"/>
      <x:c r="F931" s="24"/>
    </x:row>
    <x:row r="932">
      <x:c r="D932" s="23"/>
      <x:c r="F932" s="24"/>
    </x:row>
    <x:row r="933">
      <x:c r="D933" s="23"/>
      <x:c r="F933" s="24"/>
    </x:row>
    <x:row r="934">
      <x:c r="D934" s="23"/>
      <x:c r="F934" s="24"/>
    </x:row>
    <x:row r="935">
      <x:c r="D935" s="23"/>
      <x:c r="F935" s="24"/>
    </x:row>
    <x:row r="936">
      <x:c r="D936" s="23"/>
      <x:c r="F936" s="24"/>
    </x:row>
    <x:row r="937">
      <x:c r="D937" s="23"/>
      <x:c r="F937" s="24"/>
    </x:row>
    <x:row r="938">
      <x:c r="D938" s="23"/>
      <x:c r="F938" s="24"/>
    </x:row>
    <x:row r="939">
      <x:c r="D939" s="23"/>
      <x:c r="F939" s="24"/>
    </x:row>
    <x:row r="940">
      <x:c r="D940" s="23"/>
      <x:c r="F940" s="24"/>
    </x:row>
    <x:row r="941">
      <x:c r="D941" s="23"/>
      <x:c r="F941" s="24"/>
    </x:row>
    <x:row r="942">
      <x:c r="D942" s="23"/>
      <x:c r="F942" s="24"/>
    </x:row>
    <x:row r="943">
      <x:c r="D943" s="23"/>
      <x:c r="F943" s="24"/>
    </x:row>
    <x:row r="944">
      <x:c r="D944" s="23"/>
      <x:c r="F944" s="24"/>
    </x:row>
    <x:row r="945">
      <x:c r="D945" s="23"/>
      <x:c r="F945" s="24"/>
    </x:row>
    <x:row r="946">
      <x:c r="D946" s="23"/>
      <x:c r="F946" s="24"/>
    </x:row>
    <x:row r="947">
      <x:c r="D947" s="23"/>
      <x:c r="F947" s="24"/>
    </x:row>
    <x:row r="948">
      <x:c r="D948" s="23"/>
      <x:c r="F948" s="24"/>
    </x:row>
    <x:row r="949">
      <x:c r="D949" s="23"/>
      <x:c r="F949" s="24"/>
    </x:row>
    <x:row r="950">
      <x:c r="D950" s="23"/>
      <x:c r="F950" s="24"/>
    </x:row>
    <x:row r="951">
      <x:c r="D951" s="23"/>
      <x:c r="F951" s="24"/>
    </x:row>
    <x:row r="952">
      <x:c r="D952" s="23"/>
      <x:c r="F952" s="24"/>
    </x:row>
    <x:row r="953">
      <x:c r="D953" s="23"/>
      <x:c r="F953" s="24"/>
    </x:row>
    <x:row r="954">
      <x:c r="D954" s="23"/>
      <x:c r="F954" s="24"/>
    </x:row>
    <x:row r="955">
      <x:c r="D955" s="23"/>
      <x:c r="F955" s="24"/>
    </x:row>
    <x:row r="956">
      <x:c r="D956" s="23"/>
      <x:c r="F956" s="24"/>
    </x:row>
    <x:row r="957">
      <x:c r="D957" s="23"/>
      <x:c r="F957" s="24"/>
    </x:row>
    <x:row r="958">
      <x:c r="D958" s="23"/>
      <x:c r="F958" s="24"/>
    </x:row>
    <x:row r="959">
      <x:c r="D959" s="23"/>
      <x:c r="F959" s="24"/>
    </x:row>
    <x:row r="960">
      <x:c r="D960" s="23"/>
      <x:c r="F960" s="24"/>
    </x:row>
    <x:row r="961">
      <x:c r="D961" s="23"/>
      <x:c r="F961" s="24"/>
    </x:row>
    <x:row r="962">
      <x:c r="D962" s="23"/>
      <x:c r="F962" s="24"/>
    </x:row>
    <x:row r="963">
      <x:c r="D963" s="23"/>
      <x:c r="F963" s="24"/>
    </x:row>
    <x:row r="964">
      <x:c r="D964" s="23"/>
      <x:c r="F964" s="24"/>
    </x:row>
    <x:row r="965">
      <x:c r="D965" s="23"/>
      <x:c r="F965" s="24"/>
    </x:row>
    <x:row r="966">
      <x:c r="D966" s="23"/>
      <x:c r="F966" s="24"/>
    </x:row>
    <x:row r="967">
      <x:c r="D967" s="23"/>
      <x:c r="F967" s="24"/>
    </x:row>
    <x:row r="968">
      <x:c r="D968" s="23"/>
      <x:c r="F968" s="24"/>
    </x:row>
    <x:row r="969">
      <x:c r="D969" s="23"/>
      <x:c r="F969" s="24"/>
    </x:row>
    <x:row r="970">
      <x:c r="D970" s="23"/>
      <x:c r="F970" s="24"/>
    </x:row>
    <x:row r="971">
      <x:c r="D971" s="23"/>
      <x:c r="F971" s="24"/>
    </x:row>
    <x:row r="972">
      <x:c r="D972" s="23"/>
      <x:c r="F972" s="24"/>
    </x:row>
    <x:row r="973">
      <x:c r="D973" s="23"/>
      <x:c r="F973" s="24"/>
    </x:row>
    <x:row r="974">
      <x:c r="D974" s="23"/>
      <x:c r="F974" s="24"/>
    </x:row>
    <x:row r="975">
      <x:c r="D975" s="23"/>
      <x:c r="F975" s="24"/>
    </x:row>
    <x:row r="976">
      <x:c r="D976" s="23"/>
      <x:c r="F976" s="24"/>
    </x:row>
    <x:row r="977">
      <x:c r="D977" s="23"/>
      <x:c r="F977" s="24"/>
    </x:row>
    <x:row r="978">
      <x:c r="D978" s="23"/>
      <x:c r="F978" s="24"/>
    </x:row>
    <x:row r="979">
      <x:c r="D979" s="23"/>
      <x:c r="F979" s="24"/>
    </x:row>
    <x:row r="980">
      <x:c r="D980" s="23"/>
      <x:c r="F980" s="24"/>
    </x:row>
    <x:row r="981">
      <x:c r="D981" s="23"/>
      <x:c r="F981" s="24"/>
    </x:row>
    <x:row r="982">
      <x:c r="D982" s="23"/>
      <x:c r="F982" s="24"/>
    </x:row>
    <x:row r="983">
      <x:c r="D983" s="23"/>
      <x:c r="F983" s="24"/>
    </x:row>
    <x:row r="984">
      <x:c r="D984" s="23"/>
      <x:c r="F984" s="24"/>
    </x:row>
    <x:row r="985">
      <x:c r="D985" s="23"/>
      <x:c r="F985" s="24"/>
    </x:row>
    <x:row r="986">
      <x:c r="D986" s="23"/>
      <x:c r="F986" s="24"/>
    </x:row>
    <x:row r="987">
      <x:c r="D987" s="23"/>
      <x:c r="F987" s="24"/>
    </x:row>
    <x:row r="988">
      <x:c r="D988" s="23"/>
      <x:c r="F988" s="24"/>
    </x:row>
    <x:row r="989">
      <x:c r="D989" s="23"/>
      <x:c r="F989" s="24"/>
    </x:row>
    <x:row r="990">
      <x:c r="D990" s="23"/>
      <x:c r="F990" s="24"/>
    </x:row>
    <x:row r="991">
      <x:c r="D991" s="23"/>
      <x:c r="F991" s="24"/>
    </x:row>
    <x:row r="992">
      <x:c r="D992" s="23"/>
      <x:c r="F992" s="24"/>
    </x:row>
    <x:row r="993">
      <x:c r="D993" s="23"/>
      <x:c r="F993" s="24"/>
    </x:row>
    <x:row r="994">
      <x:c r="D994" s="23"/>
      <x:c r="F994" s="24"/>
    </x:row>
    <x:row r="995">
      <x:c r="D995" s="23"/>
      <x:c r="F995" s="24"/>
    </x:row>
    <x:row r="996">
      <x:c r="D996" s="23"/>
      <x:c r="F996" s="24"/>
    </x:row>
    <x:row r="997">
      <x:c r="D997" s="23"/>
      <x:c r="F997" s="24"/>
    </x:row>
    <x:row r="998">
      <x:c r="D998" s="23"/>
      <x:c r="F998" s="24"/>
    </x:row>
    <x:row r="999">
      <x:c r="D999" s="23"/>
      <x:c r="F999" s="24"/>
    </x:row>
    <x:row r="1000">
      <x:c r="D1000" s="23"/>
      <x:c r="F1000" s="24"/>
    </x:row>
    <x:row r="1001">
      <x:c r="D1001" s="23"/>
      <x:c r="F1001" s="24"/>
    </x:row>
    <x:row r="1002">
      <x:c r="D1002" s="23"/>
      <x:c r="F1002" s="24"/>
    </x:row>
    <x:row r="1003">
      <x:c r="D1003" s="23"/>
      <x:c r="F1003" s="24"/>
    </x:row>
    <x:row r="1004">
      <x:c r="D1004" s="23"/>
      <x:c r="F1004" s="24"/>
    </x:row>
    <x:row r="1005">
      <x:c r="D1005" s="23"/>
      <x:c r="F1005" s="24"/>
    </x:row>
    <x:row r="1006">
      <x:c r="D1006" s="23"/>
      <x:c r="F1006" s="24"/>
    </x:row>
    <x:row r="1007">
      <x:c r="D1007" s="23"/>
      <x:c r="F1007" s="24"/>
    </x:row>
    <x:row r="1008">
      <x:c r="D1008" s="23"/>
      <x:c r="F1008" s="24"/>
    </x:row>
    <x:row r="1009">
      <x:c r="D1009" s="23"/>
      <x:c r="F1009" s="24"/>
    </x:row>
    <x:row r="1010">
      <x:c r="D1010" s="23"/>
      <x:c r="F1010" s="24"/>
    </x:row>
    <x:row r="1011">
      <x:c r="D1011" s="23"/>
      <x:c r="F1011" s="24"/>
    </x:row>
    <x:row r="1012">
      <x:c r="D1012" s="23"/>
      <x:c r="F1012" s="24"/>
    </x:row>
    <x:row r="1013">
      <x:c r="D1013" s="23"/>
      <x:c r="F1013" s="24"/>
    </x:row>
    <x:row r="1014">
      <x:c r="D1014" s="23"/>
      <x:c r="F1014" s="24"/>
    </x:row>
    <x:row r="1015">
      <x:c r="D1015" s="23"/>
      <x:c r="F1015" s="24"/>
    </x:row>
    <x:row r="1016">
      <x:c r="D1016" s="23"/>
      <x:c r="F1016" s="24"/>
    </x:row>
    <x:row r="1017">
      <x:c r="D1017" s="23"/>
      <x:c r="F1017" s="24"/>
    </x:row>
    <x:row r="1018">
      <x:c r="D1018" s="23"/>
      <x:c r="F1018" s="24"/>
    </x:row>
    <x:row r="1019">
      <x:c r="D1019" s="23"/>
      <x:c r="F1019" s="24"/>
    </x:row>
    <x:row r="1020">
      <x:c r="D1020" s="23"/>
      <x:c r="F1020" s="24"/>
    </x:row>
    <x:row r="1021">
      <x:c r="D1021" s="23"/>
      <x:c r="F1021" s="24"/>
    </x:row>
    <x:row r="1022">
      <x:c r="D1022" s="23"/>
      <x:c r="F1022" s="24"/>
    </x:row>
    <x:row r="1023">
      <x:c r="D1023" s="23"/>
      <x:c r="F1023" s="24"/>
    </x:row>
    <x:row r="1024">
      <x:c r="D1024" s="23"/>
      <x:c r="F1024" s="24"/>
    </x:row>
    <x:row r="1025">
      <x:c r="D1025" s="23"/>
      <x:c r="F1025" s="24"/>
    </x:row>
    <x:row r="1026">
      <x:c r="D1026" s="23"/>
      <x:c r="F1026" s="24"/>
    </x:row>
    <x:row r="1027">
      <x:c r="D1027" s="23"/>
      <x:c r="F1027" s="24"/>
    </x:row>
    <x:row r="1028">
      <x:c r="D1028" s="23"/>
      <x:c r="F1028" s="24"/>
    </x:row>
    <x:row r="1029">
      <x:c r="D1029" s="23"/>
      <x:c r="F1029" s="24"/>
    </x:row>
    <x:row r="1030">
      <x:c r="D1030" s="23"/>
      <x:c r="F1030" s="24"/>
    </x:row>
    <x:row r="1031">
      <x:c r="D1031" s="23"/>
      <x:c r="F1031" s="24"/>
    </x:row>
    <x:row r="1032">
      <x:c r="D1032" s="23"/>
      <x:c r="F1032" s="24"/>
    </x:row>
    <x:row r="1033">
      <x:c r="D1033" s="23"/>
      <x:c r="F1033" s="24"/>
    </x:row>
    <x:row r="1034">
      <x:c r="D1034" s="23"/>
      <x:c r="F1034" s="24"/>
    </x:row>
    <x:row r="1035">
      <x:c r="D1035" s="23"/>
      <x:c r="F1035" s="24"/>
    </x:row>
    <x:row r="1036">
      <x:c r="D1036" s="23"/>
      <x:c r="F1036" s="24"/>
    </x:row>
    <x:row r="1037">
      <x:c r="D1037" s="23"/>
      <x:c r="F1037" s="24"/>
    </x:row>
    <x:row r="1038">
      <x:c r="D1038" s="23"/>
      <x:c r="F1038" s="24"/>
    </x:row>
    <x:row r="1039">
      <x:c r="D1039" s="23"/>
      <x:c r="F1039" s="24"/>
    </x:row>
    <x:row r="1040">
      <x:c r="D1040" s="23"/>
      <x:c r="F1040" s="24"/>
    </x:row>
    <x:row r="1041">
      <x:c r="D1041" s="23"/>
      <x:c r="F1041" s="24"/>
    </x:row>
    <x:row r="1042">
      <x:c r="D1042" s="23"/>
      <x:c r="F1042" s="24"/>
    </x:row>
    <x:row r="1043">
      <x:c r="D1043" s="23"/>
      <x:c r="F1043" s="24"/>
    </x:row>
    <x:row r="1044">
      <x:c r="D1044" s="23"/>
      <x:c r="F1044" s="24"/>
    </x:row>
    <x:row r="1045">
      <x:c r="D1045" s="23"/>
      <x:c r="F1045" s="24"/>
    </x:row>
    <x:row r="1046">
      <x:c r="D1046" s="23"/>
      <x:c r="F1046" s="24"/>
    </x:row>
    <x:row r="1047">
      <x:c r="D1047" s="23"/>
      <x:c r="F1047" s="24"/>
    </x:row>
    <x:row r="1048">
      <x:c r="D1048" s="23"/>
      <x:c r="F1048" s="24"/>
    </x:row>
    <x:row r="1049">
      <x:c r="D1049" s="23"/>
      <x:c r="F1049" s="24"/>
    </x:row>
    <x:row r="1050">
      <x:c r="D1050" s="23"/>
      <x:c r="F1050" s="24"/>
    </x:row>
    <x:row r="1051">
      <x:c r="D1051" s="23"/>
      <x:c r="F1051" s="24"/>
    </x:row>
    <x:row r="1052">
      <x:c r="D1052" s="23"/>
      <x:c r="F1052" s="24"/>
    </x:row>
    <x:row r="1053">
      <x:c r="D1053" s="23"/>
      <x:c r="F1053" s="24"/>
    </x:row>
    <x:row r="1054">
      <x:c r="D1054" s="23"/>
      <x:c r="F1054" s="24"/>
    </x:row>
    <x:row r="1055">
      <x:c r="D1055" s="23"/>
      <x:c r="F1055" s="24"/>
    </x:row>
    <x:row r="1056">
      <x:c r="D1056" s="23"/>
      <x:c r="F1056" s="24"/>
    </x:row>
    <x:row r="1057">
      <x:c r="D1057" s="23"/>
      <x:c r="F1057" s="24"/>
    </x:row>
    <x:row r="1058">
      <x:c r="D1058" s="23"/>
      <x:c r="F1058" s="24"/>
    </x:row>
    <x:row r="1059">
      <x:c r="D1059" s="23"/>
      <x:c r="F1059" s="24"/>
    </x:row>
    <x:row r="1060">
      <x:c r="D1060" s="23"/>
      <x:c r="F1060" s="24"/>
    </x:row>
    <x:row r="1061">
      <x:c r="D1061" s="23"/>
      <x:c r="F1061" s="24"/>
    </x:row>
    <x:row r="1062">
      <x:c r="D1062" s="23"/>
      <x:c r="F1062" s="24"/>
    </x:row>
    <x:row r="1063">
      <x:c r="D1063" s="23"/>
      <x:c r="F1063" s="24"/>
    </x:row>
    <x:row r="1064">
      <x:c r="D1064" s="23"/>
      <x:c r="F1064" s="24"/>
    </x:row>
    <x:row r="1065">
      <x:c r="D1065" s="23"/>
      <x:c r="F1065" s="24"/>
    </x:row>
    <x:row r="1066">
      <x:c r="D1066" s="23"/>
      <x:c r="F1066" s="24"/>
    </x:row>
    <x:row r="1067">
      <x:c r="D1067" s="23"/>
      <x:c r="F1067" s="24"/>
    </x:row>
    <x:row r="1068">
      <x:c r="D1068" s="23"/>
      <x:c r="F1068" s="24"/>
    </x:row>
    <x:row r="1069">
      <x:c r="D1069" s="23"/>
      <x:c r="F1069" s="24"/>
    </x:row>
    <x:row r="1070">
      <x:c r="D1070" s="23"/>
      <x:c r="F1070" s="24"/>
    </x:row>
    <x:row r="1071">
      <x:c r="D1071" s="23"/>
      <x:c r="F1071" s="24"/>
    </x:row>
    <x:row r="1072">
      <x:c r="D1072" s="23"/>
      <x:c r="F1072" s="24"/>
    </x:row>
    <x:row r="1073">
      <x:c r="D1073" s="23"/>
      <x:c r="F1073" s="24"/>
    </x:row>
    <x:row r="1074">
      <x:c r="D1074" s="23"/>
      <x:c r="F1074" s="24"/>
    </x:row>
    <x:row r="1075">
      <x:c r="D1075" s="23"/>
      <x:c r="F1075" s="24"/>
    </x:row>
    <x:row r="1076">
      <x:c r="D1076" s="23"/>
      <x:c r="F1076" s="24"/>
    </x:row>
    <x:row r="1077">
      <x:c r="D1077" s="23"/>
      <x:c r="F1077" s="24"/>
    </x:row>
    <x:row r="1078">
      <x:c r="D1078" s="23"/>
      <x:c r="F1078" s="24"/>
    </x:row>
    <x:row r="1079">
      <x:c r="D1079" s="23"/>
      <x:c r="F1079" s="24"/>
    </x:row>
    <x:row r="1080">
      <x:c r="D1080" s="23"/>
      <x:c r="F1080" s="24"/>
    </x:row>
    <x:row r="1081">
      <x:c r="D1081" s="23"/>
      <x:c r="F1081" s="24"/>
    </x:row>
    <x:row r="1082">
      <x:c r="D1082" s="23"/>
      <x:c r="F1082" s="24"/>
    </x:row>
    <x:row r="1083">
      <x:c r="D1083" s="23"/>
      <x:c r="F1083" s="24"/>
    </x:row>
    <x:row r="1084">
      <x:c r="D1084" s="23"/>
      <x:c r="F1084" s="24"/>
    </x:row>
    <x:row r="1085">
      <x:c r="D1085" s="23"/>
      <x:c r="F1085" s="24"/>
    </x:row>
    <x:row r="1086">
      <x:c r="D1086" s="23"/>
      <x:c r="F1086" s="24"/>
    </x:row>
    <x:row r="1087">
      <x:c r="D1087" s="23"/>
      <x:c r="F1087" s="24"/>
    </x:row>
    <x:row r="1088">
      <x:c r="D1088" s="23"/>
      <x:c r="F1088" s="24"/>
    </x:row>
    <x:row r="1089">
      <x:c r="D1089" s="23"/>
      <x:c r="F1089" s="24"/>
    </x:row>
    <x:row r="1090">
      <x:c r="D1090" s="23"/>
      <x:c r="F1090" s="24"/>
    </x:row>
    <x:row r="1091">
      <x:c r="D1091" s="23"/>
      <x:c r="F1091" s="24"/>
    </x:row>
    <x:row r="1092">
      <x:c r="D1092" s="23"/>
      <x:c r="F1092" s="24"/>
    </x:row>
    <x:row r="1093">
      <x:c r="D1093" s="23"/>
      <x:c r="F1093" s="24"/>
    </x:row>
    <x:row r="1094">
      <x:c r="D1094" s="23"/>
      <x:c r="F1094" s="24"/>
    </x:row>
    <x:row r="1095">
      <x:c r="D1095" s="23"/>
      <x:c r="F1095" s="24"/>
    </x:row>
    <x:row r="1096">
      <x:c r="D1096" s="23"/>
      <x:c r="F1096" s="24"/>
    </x:row>
    <x:row r="1097">
      <x:c r="D1097" s="23"/>
      <x:c r="F1097" s="24"/>
    </x:row>
    <x:row r="1098">
      <x:c r="D1098" s="23"/>
      <x:c r="F1098" s="24"/>
    </x:row>
    <x:row r="1099">
      <x:c r="D1099" s="23"/>
      <x:c r="F1099" s="24"/>
    </x:row>
    <x:row r="1100">
      <x:c r="D1100" s="23"/>
      <x:c r="F1100" s="24"/>
    </x:row>
    <x:row r="1101">
      <x:c r="D1101" s="23"/>
      <x:c r="F1101" s="24"/>
    </x:row>
    <x:row r="1102">
      <x:c r="D1102" s="23"/>
      <x:c r="F1102" s="24"/>
    </x:row>
    <x:row r="1103">
      <x:c r="D1103" s="23"/>
      <x:c r="F1103" s="24"/>
    </x:row>
    <x:row r="1104">
      <x:c r="D1104" s="23"/>
      <x:c r="F1104" s="24"/>
    </x:row>
    <x:row r="1105">
      <x:c r="D1105" s="23"/>
      <x:c r="F1105" s="24"/>
    </x:row>
    <x:row r="1106">
      <x:c r="D1106" s="23"/>
      <x:c r="F1106" s="24"/>
    </x:row>
    <x:row r="1107">
      <x:c r="D1107" s="23"/>
      <x:c r="F1107" s="24"/>
    </x:row>
    <x:row r="1108">
      <x:c r="D1108" s="23"/>
      <x:c r="F1108" s="24"/>
    </x:row>
    <x:row r="1109">
      <x:c r="D1109" s="23"/>
      <x:c r="F1109" s="24"/>
    </x:row>
    <x:row r="1110">
      <x:c r="D1110" s="23"/>
      <x:c r="F1110" s="24"/>
    </x:row>
    <x:row r="1111">
      <x:c r="D1111" s="23"/>
      <x:c r="F1111" s="24"/>
    </x:row>
    <x:row r="1112">
      <x:c r="D1112" s="23"/>
      <x:c r="F1112" s="24"/>
    </x:row>
    <x:row r="1113">
      <x:c r="D1113" s="23"/>
      <x:c r="F1113" s="24"/>
    </x:row>
    <x:row r="1114">
      <x:c r="D1114" s="23"/>
      <x:c r="F1114" s="24"/>
    </x:row>
    <x:row r="1115">
      <x:c r="D1115" s="23"/>
      <x:c r="F1115" s="24"/>
    </x:row>
    <x:row r="1116">
      <x:c r="D1116" s="23"/>
      <x:c r="F1116" s="24"/>
    </x:row>
    <x:row r="1117">
      <x:c r="D1117" s="23"/>
      <x:c r="F1117" s="24"/>
    </x:row>
    <x:row r="1118">
      <x:c r="D1118" s="23"/>
      <x:c r="F1118" s="24"/>
    </x:row>
    <x:row r="1119">
      <x:c r="D1119" s="23"/>
      <x:c r="F1119" s="24"/>
    </x:row>
    <x:row r="1120">
      <x:c r="D1120" s="23"/>
      <x:c r="F1120" s="24"/>
    </x:row>
    <x:row r="1121">
      <x:c r="D1121" s="23"/>
      <x:c r="F1121" s="24"/>
    </x:row>
    <x:row r="1122">
      <x:c r="D1122" s="23"/>
      <x:c r="F1122" s="24"/>
    </x:row>
    <x:row r="1123">
      <x:c r="D1123" s="23"/>
      <x:c r="F1123" s="24"/>
    </x:row>
    <x:row r="1124">
      <x:c r="D1124" s="23"/>
      <x:c r="F1124" s="24"/>
    </x:row>
    <x:row r="1125">
      <x:c r="D1125" s="23"/>
      <x:c r="F1125" s="24"/>
    </x:row>
    <x:row r="1126">
      <x:c r="D1126" s="23"/>
      <x:c r="F1126" s="24"/>
    </x:row>
    <x:row r="1127">
      <x:c r="D1127" s="23"/>
      <x:c r="F1127" s="24"/>
    </x:row>
    <x:row r="1128">
      <x:c r="D1128" s="23"/>
      <x:c r="F1128" s="24"/>
    </x:row>
    <x:row r="1129">
      <x:c r="D1129" s="23"/>
      <x:c r="F1129" s="24"/>
    </x:row>
    <x:row r="1130">
      <x:c r="D1130" s="23"/>
      <x:c r="F1130" s="24"/>
    </x:row>
    <x:row r="1131">
      <x:c r="D1131" s="23"/>
      <x:c r="F1131" s="24"/>
    </x:row>
    <x:row r="1132">
      <x:c r="D1132" s="23"/>
      <x:c r="F1132" s="24"/>
    </x:row>
    <x:row r="1133">
      <x:c r="D1133" s="23"/>
      <x:c r="F1133" s="24"/>
    </x:row>
    <x:row r="1134">
      <x:c r="D1134" s="23"/>
      <x:c r="F1134" s="24"/>
    </x:row>
    <x:row r="1135">
      <x:c r="D1135" s="23"/>
      <x:c r="F1135" s="24"/>
    </x:row>
    <x:row r="1136">
      <x:c r="D1136" s="23"/>
      <x:c r="F1136" s="24"/>
    </x:row>
    <x:row r="1137">
      <x:c r="D1137" s="23"/>
      <x:c r="F1137" s="24"/>
    </x:row>
    <x:row r="1138">
      <x:c r="D1138" s="23"/>
      <x:c r="F1138" s="24"/>
    </x:row>
    <x:row r="1139">
      <x:c r="D1139" s="23"/>
      <x:c r="F1139" s="24"/>
    </x:row>
    <x:row r="1140">
      <x:c r="D1140" s="23"/>
      <x:c r="F1140" s="24"/>
    </x:row>
    <x:row r="1141">
      <x:c r="D1141" s="23"/>
      <x:c r="F1141" s="24"/>
    </x:row>
    <x:row r="1142">
      <x:c r="D1142" s="23"/>
      <x:c r="F1142" s="24"/>
    </x:row>
    <x:row r="1143">
      <x:c r="D1143" s="23"/>
      <x:c r="F1143" s="24"/>
    </x:row>
    <x:row r="1144">
      <x:c r="D1144" s="23"/>
      <x:c r="F1144" s="24"/>
    </x:row>
    <x:row r="1145">
      <x:c r="D1145" s="23"/>
      <x:c r="F1145" s="24"/>
    </x:row>
    <x:row r="1146">
      <x:c r="D1146" s="23"/>
      <x:c r="F1146" s="24"/>
    </x:row>
    <x:row r="1147">
      <x:c r="D1147" s="23"/>
      <x:c r="F1147" s="24"/>
    </x:row>
    <x:row r="1148">
      <x:c r="D1148" s="23"/>
      <x:c r="F1148" s="24"/>
    </x:row>
    <x:row r="1149">
      <x:c r="D1149" s="23"/>
      <x:c r="F1149" s="24"/>
    </x:row>
    <x:row r="1150">
      <x:c r="D1150" s="23"/>
      <x:c r="F1150" s="24"/>
    </x:row>
    <x:row r="1151">
      <x:c r="D1151" s="23"/>
      <x:c r="F1151" s="24"/>
    </x:row>
    <x:row r="1152">
      <x:c r="D1152" s="23"/>
      <x:c r="F1152" s="24"/>
    </x:row>
    <x:row r="1153">
      <x:c r="D1153" s="23"/>
      <x:c r="F1153" s="24"/>
    </x:row>
    <x:row r="1154">
      <x:c r="D1154" s="23"/>
      <x:c r="F1154" s="24"/>
    </x:row>
    <x:row r="1155">
      <x:c r="D1155" s="23"/>
      <x:c r="F1155" s="24"/>
    </x:row>
    <x:row r="1156">
      <x:c r="D1156" s="23"/>
      <x:c r="F1156" s="24"/>
    </x:row>
    <x:row r="1157">
      <x:c r="D1157" s="23"/>
      <x:c r="F1157" s="24"/>
    </x:row>
    <x:row r="1158">
      <x:c r="D1158" s="23"/>
      <x:c r="F1158" s="24"/>
    </x:row>
    <x:row r="1159">
      <x:c r="D1159" s="23"/>
      <x:c r="F1159" s="24"/>
    </x:row>
    <x:row r="1160">
      <x:c r="D1160" s="23"/>
      <x:c r="F1160" s="24"/>
    </x:row>
    <x:row r="1161">
      <x:c r="D1161" s="23"/>
      <x:c r="F1161" s="24"/>
    </x:row>
    <x:row r="1162">
      <x:c r="D1162" s="23"/>
      <x:c r="F1162" s="24"/>
    </x:row>
    <x:row r="1163">
      <x:c r="D1163" s="23"/>
      <x:c r="F1163" s="24"/>
    </x:row>
    <x:row r="1164">
      <x:c r="D1164" s="23"/>
      <x:c r="F1164" s="24"/>
    </x:row>
    <x:row r="1165">
      <x:c r="D1165" s="23"/>
      <x:c r="F1165" s="24"/>
    </x:row>
    <x:row r="1166">
      <x:c r="D1166" s="23"/>
      <x:c r="F1166" s="24"/>
    </x:row>
    <x:row r="1167">
      <x:c r="D1167" s="23"/>
      <x:c r="F1167" s="24"/>
    </x:row>
    <x:row r="1168">
      <x:c r="D1168" s="23"/>
      <x:c r="F1168" s="24"/>
    </x:row>
    <x:row r="1169">
      <x:c r="D1169" s="23"/>
      <x:c r="F1169" s="24"/>
    </x:row>
    <x:row r="1170">
      <x:c r="D1170" s="23"/>
      <x:c r="F1170" s="24"/>
    </x:row>
    <x:row r="1171">
      <x:c r="D1171" s="23"/>
      <x:c r="F1171" s="24"/>
    </x:row>
    <x:row r="1172">
      <x:c r="D1172" s="23"/>
      <x:c r="F1172" s="24"/>
    </x:row>
    <x:row r="1173">
      <x:c r="D1173" s="23"/>
      <x:c r="F1173" s="24"/>
    </x:row>
    <x:row r="1174">
      <x:c r="D1174" s="23"/>
      <x:c r="F1174" s="24"/>
    </x:row>
    <x:row r="1175">
      <x:c r="D1175" s="23"/>
      <x:c r="F1175" s="24"/>
    </x:row>
    <x:row r="1176">
      <x:c r="D1176" s="23"/>
      <x:c r="F1176" s="24"/>
    </x:row>
    <x:row r="1177">
      <x:c r="D1177" s="23"/>
      <x:c r="F1177" s="24"/>
    </x:row>
    <x:row r="1178">
      <x:c r="D1178" s="23"/>
      <x:c r="F1178" s="24"/>
    </x:row>
    <x:row r="1179">
      <x:c r="D1179" s="23"/>
      <x:c r="F1179" s="24"/>
    </x:row>
    <x:row r="1180">
      <x:c r="D1180" s="23"/>
      <x:c r="F1180" s="24"/>
    </x:row>
    <x:row r="1181">
      <x:c r="D1181" s="23"/>
      <x:c r="F1181" s="24"/>
    </x:row>
    <x:row r="1182">
      <x:c r="D1182" s="23"/>
      <x:c r="F1182" s="24"/>
    </x:row>
    <x:row r="1183">
      <x:c r="D1183" s="23"/>
      <x:c r="F1183" s="24"/>
    </x:row>
    <x:row r="1184">
      <x:c r="D1184" s="23"/>
      <x:c r="F1184" s="24"/>
    </x:row>
    <x:row r="1185">
      <x:c r="D1185" s="23"/>
      <x:c r="F1185" s="24"/>
    </x:row>
    <x:row r="1186">
      <x:c r="D1186" s="23"/>
      <x:c r="F1186" s="24"/>
    </x:row>
    <x:row r="1187">
      <x:c r="D1187" s="23"/>
      <x:c r="F1187" s="24"/>
    </x:row>
    <x:row r="1188">
      <x:c r="D1188" s="23"/>
      <x:c r="F1188" s="24"/>
    </x:row>
    <x:row r="1189">
      <x:c r="D1189" s="23"/>
      <x:c r="F1189" s="24"/>
    </x:row>
    <x:row r="1190">
      <x:c r="D1190" s="23"/>
      <x:c r="F1190" s="24"/>
    </x:row>
    <x:row r="1191">
      <x:c r="D1191" s="23"/>
      <x:c r="F1191" s="24"/>
    </x:row>
    <x:row r="1192">
      <x:c r="D1192" s="23"/>
      <x:c r="F1192" s="24"/>
    </x:row>
    <x:row r="1193">
      <x:c r="D1193" s="23"/>
      <x:c r="F1193" s="24"/>
    </x:row>
    <x:row r="1194">
      <x:c r="D1194" s="23"/>
      <x:c r="F1194" s="24"/>
    </x:row>
    <x:row r="1195">
      <x:c r="D1195" s="23"/>
      <x:c r="F1195" s="24"/>
    </x:row>
    <x:row r="1196">
      <x:c r="D1196" s="23"/>
      <x:c r="F1196" s="24"/>
    </x:row>
    <x:row r="1197">
      <x:c r="D1197" s="23"/>
      <x:c r="F1197" s="24"/>
    </x:row>
    <x:row r="1198">
      <x:c r="D1198" s="23"/>
      <x:c r="F1198" s="24"/>
    </x:row>
    <x:row r="1199">
      <x:c r="D1199" s="23"/>
      <x:c r="F1199" s="24"/>
    </x:row>
    <x:row r="1200">
      <x:c r="D1200" s="23"/>
      <x:c r="F1200" s="24"/>
    </x:row>
    <x:row r="1201">
      <x:c r="D1201" s="23"/>
      <x:c r="F1201" s="24"/>
    </x:row>
    <x:row r="1202">
      <x:c r="D1202" s="23"/>
      <x:c r="F1202" s="24"/>
    </x:row>
    <x:row r="1203">
      <x:c r="D1203" s="23"/>
      <x:c r="F1203" s="24"/>
    </x:row>
    <x:row r="1204">
      <x:c r="D1204" s="23"/>
      <x:c r="F1204" s="24"/>
    </x:row>
    <x:row r="1205">
      <x:c r="D1205" s="23"/>
      <x:c r="F1205" s="24"/>
    </x:row>
    <x:row r="1206">
      <x:c r="D1206" s="23"/>
      <x:c r="F1206" s="24"/>
    </x:row>
    <x:row r="1207">
      <x:c r="D1207" s="23"/>
      <x:c r="F1207" s="24"/>
    </x:row>
    <x:row r="1208">
      <x:c r="D1208" s="23"/>
      <x:c r="F1208" s="24"/>
    </x:row>
    <x:row r="1209">
      <x:c r="D1209" s="23"/>
      <x:c r="F1209" s="24"/>
    </x:row>
    <x:row r="1210">
      <x:c r="D1210" s="23"/>
      <x:c r="F1210" s="24"/>
    </x:row>
    <x:row r="1211">
      <x:c r="D1211" s="23"/>
      <x:c r="F1211" s="24"/>
    </x:row>
    <x:row r="1212">
      <x:c r="D1212" s="23"/>
      <x:c r="F1212" s="24"/>
    </x:row>
    <x:row r="1213">
      <x:c r="D1213" s="23"/>
      <x:c r="F1213" s="24"/>
    </x:row>
    <x:row r="1214">
      <x:c r="D1214" s="23"/>
      <x:c r="F1214" s="24"/>
    </x:row>
    <x:row r="1215">
      <x:c r="D1215" s="23"/>
      <x:c r="F1215" s="24"/>
    </x:row>
    <x:row r="1216">
      <x:c r="D1216" s="23"/>
      <x:c r="F1216" s="24"/>
    </x:row>
    <x:row r="1217">
      <x:c r="D1217" s="23"/>
      <x:c r="F1217" s="24"/>
    </x:row>
    <x:row r="1218">
      <x:c r="D1218" s="23"/>
      <x:c r="F1218" s="24"/>
    </x:row>
    <x:row r="1219">
      <x:c r="D1219" s="23"/>
      <x:c r="F1219" s="24"/>
    </x:row>
    <x:row r="1220">
      <x:c r="D1220" s="23"/>
      <x:c r="F1220" s="24"/>
    </x:row>
    <x:row r="1221">
      <x:c r="D1221" s="23"/>
      <x:c r="F1221" s="24"/>
    </x:row>
    <x:row r="1222">
      <x:c r="D1222" s="23"/>
      <x:c r="F1222" s="24"/>
    </x:row>
    <x:row r="1223">
      <x:c r="D1223" s="23"/>
      <x:c r="F1223" s="24"/>
    </x:row>
    <x:row r="1224">
      <x:c r="D1224" s="23"/>
      <x:c r="F1224" s="24"/>
    </x:row>
    <x:row r="1225">
      <x:c r="D1225" s="23"/>
      <x:c r="F1225" s="24"/>
    </x:row>
    <x:row r="1226">
      <x:c r="D1226" s="23"/>
      <x:c r="F1226" s="24"/>
    </x:row>
    <x:row r="1227">
      <x:c r="D1227" s="23"/>
      <x:c r="F1227" s="24"/>
    </x:row>
    <x:row r="1228">
      <x:c r="D1228" s="23"/>
      <x:c r="F1228" s="24"/>
    </x:row>
    <x:row r="1229">
      <x:c r="D1229" s="23"/>
      <x:c r="F1229" s="24"/>
    </x:row>
    <x:row r="1230">
      <x:c r="D1230" s="23"/>
      <x:c r="F1230" s="24"/>
    </x:row>
    <x:row r="1231">
      <x:c r="D1231" s="23"/>
      <x:c r="F1231" s="24"/>
    </x:row>
    <x:row r="1232">
      <x:c r="D1232" s="23"/>
      <x:c r="F1232" s="24"/>
    </x:row>
    <x:row r="1233">
      <x:c r="D1233" s="23"/>
      <x:c r="F1233" s="24"/>
    </x:row>
    <x:row r="1234">
      <x:c r="D1234" s="23"/>
      <x:c r="F1234" s="24"/>
    </x:row>
    <x:row r="1235">
      <x:c r="D1235" s="23"/>
      <x:c r="F1235" s="24"/>
    </x:row>
    <x:row r="1236">
      <x:c r="D1236" s="23"/>
      <x:c r="F1236" s="24"/>
    </x:row>
    <x:row r="1237">
      <x:c r="D1237" s="23"/>
      <x:c r="F1237" s="24"/>
    </x:row>
    <x:row r="1238">
      <x:c r="D1238" s="23"/>
      <x:c r="F1238" s="24"/>
    </x:row>
    <x:row r="1239">
      <x:c r="D1239" s="23"/>
      <x:c r="F1239" s="24"/>
    </x:row>
    <x:row r="1240">
      <x:c r="D1240" s="23"/>
      <x:c r="F1240" s="24"/>
    </x:row>
    <x:row r="1241">
      <x:c r="D1241" s="23"/>
      <x:c r="F1241" s="24"/>
    </x:row>
    <x:row r="1242">
      <x:c r="D1242" s="23"/>
      <x:c r="F1242" s="24"/>
    </x:row>
    <x:row r="1243">
      <x:c r="D1243" s="23"/>
      <x:c r="F1243" s="24"/>
    </x:row>
    <x:row r="1244">
      <x:c r="D1244" s="23"/>
      <x:c r="F1244" s="24"/>
    </x:row>
    <x:row r="1245">
      <x:c r="D1245" s="23"/>
      <x:c r="F1245" s="24"/>
    </x:row>
    <x:row r="1246">
      <x:c r="D1246" s="23"/>
      <x:c r="F1246" s="24"/>
    </x:row>
    <x:row r="1247">
      <x:c r="D1247" s="23"/>
      <x:c r="F1247" s="24"/>
    </x:row>
    <x:row r="1248">
      <x:c r="D1248" s="23"/>
      <x:c r="F1248" s="24"/>
    </x:row>
    <x:row r="1249">
      <x:c r="D1249" s="23"/>
      <x:c r="F1249" s="24"/>
    </x:row>
    <x:row r="1250">
      <x:c r="D1250" s="23"/>
      <x:c r="F1250" s="24"/>
    </x:row>
    <x:row r="1251">
      <x:c r="D1251" s="23"/>
      <x:c r="F1251" s="24"/>
    </x:row>
    <x:row r="1252">
      <x:c r="D1252" s="23"/>
      <x:c r="F1252" s="24"/>
    </x:row>
    <x:row r="1253">
      <x:c r="D1253" s="23"/>
      <x:c r="F1253" s="24"/>
    </x:row>
    <x:row r="1254">
      <x:c r="D1254" s="23"/>
      <x:c r="F1254" s="24"/>
    </x:row>
    <x:row r="1255">
      <x:c r="D1255" s="23"/>
      <x:c r="F1255" s="24"/>
    </x:row>
    <x:row r="1256">
      <x:c r="D1256" s="23"/>
      <x:c r="F1256" s="24"/>
    </x:row>
    <x:row r="1257">
      <x:c r="D1257" s="23"/>
      <x:c r="F1257" s="24"/>
    </x:row>
    <x:row r="1258">
      <x:c r="D1258" s="23"/>
      <x:c r="F1258" s="24"/>
    </x:row>
    <x:row r="1259">
      <x:c r="D1259" s="23"/>
      <x:c r="F1259" s="24"/>
    </x:row>
    <x:row r="1260">
      <x:c r="D1260" s="23"/>
      <x:c r="F1260" s="24"/>
    </x:row>
    <x:row r="1261">
      <x:c r="D1261" s="23"/>
      <x:c r="F1261" s="24"/>
    </x:row>
    <x:row r="1262">
      <x:c r="D1262" s="23"/>
      <x:c r="F1262" s="24"/>
    </x:row>
    <x:row r="1263">
      <x:c r="D1263" s="23"/>
      <x:c r="F1263" s="24"/>
    </x:row>
    <x:row r="1264">
      <x:c r="D1264" s="23"/>
      <x:c r="F1264" s="24"/>
    </x:row>
    <x:row r="1265">
      <x:c r="D1265" s="23"/>
      <x:c r="F1265" s="24"/>
    </x:row>
    <x:row r="1266">
      <x:c r="D1266" s="23"/>
      <x:c r="F1266" s="24"/>
    </x:row>
    <x:row r="1267">
      <x:c r="D1267" s="23"/>
      <x:c r="F1267" s="24"/>
    </x:row>
    <x:row r="1268">
      <x:c r="D1268" s="23"/>
      <x:c r="F1268" s="24"/>
    </x:row>
    <x:row r="1269">
      <x:c r="D1269" s="23"/>
      <x:c r="F1269" s="24"/>
    </x:row>
    <x:row r="1270">
      <x:c r="D1270" s="23"/>
      <x:c r="F1270" s="24"/>
    </x:row>
    <x:row r="1271">
      <x:c r="D1271" s="23"/>
      <x:c r="F1271" s="24"/>
    </x:row>
    <x:row r="1272">
      <x:c r="D1272" s="23"/>
      <x:c r="F1272" s="24"/>
    </x:row>
    <x:row r="1273">
      <x:c r="D1273" s="23"/>
      <x:c r="F1273" s="24"/>
    </x:row>
    <x:row r="1274">
      <x:c r="D1274" s="23"/>
      <x:c r="F1274" s="24"/>
    </x:row>
    <x:row r="1275">
      <x:c r="D1275" s="23"/>
      <x:c r="F1275" s="24"/>
    </x:row>
    <x:row r="1276">
      <x:c r="D1276" s="23"/>
      <x:c r="F1276" s="24"/>
    </x:row>
    <x:row r="1277">
      <x:c r="D1277" s="23"/>
      <x:c r="F1277" s="24"/>
    </x:row>
    <x:row r="1278">
      <x:c r="D1278" s="23"/>
      <x:c r="F1278" s="24"/>
    </x:row>
    <x:row r="1279">
      <x:c r="D1279" s="23"/>
      <x:c r="F1279" s="24"/>
    </x:row>
    <x:row r="1280">
      <x:c r="D1280" s="23"/>
      <x:c r="F1280" s="24"/>
    </x:row>
    <x:row r="1281">
      <x:c r="D1281" s="23"/>
      <x:c r="F1281" s="24"/>
    </x:row>
    <x:row r="1282">
      <x:c r="D1282" s="23"/>
      <x:c r="F1282" s="24"/>
    </x:row>
    <x:row r="1283">
      <x:c r="D1283" s="23"/>
      <x:c r="F1283" s="24"/>
    </x:row>
    <x:row r="1284">
      <x:c r="D1284" s="23"/>
      <x:c r="F1284" s="24"/>
    </x:row>
    <x:row r="1285">
      <x:c r="D1285" s="23"/>
      <x:c r="F1285" s="24"/>
    </x:row>
    <x:row r="1286">
      <x:c r="D1286" s="23"/>
      <x:c r="F1286" s="24"/>
    </x:row>
    <x:row r="1287">
      <x:c r="D1287" s="23"/>
      <x:c r="F1287" s="24"/>
    </x:row>
    <x:row r="1288">
      <x:c r="D1288" s="23"/>
      <x:c r="F1288" s="24"/>
    </x:row>
    <x:row r="1289">
      <x:c r="D1289" s="23"/>
      <x:c r="F1289" s="24"/>
    </x:row>
    <x:row r="1290">
      <x:c r="D1290" s="23"/>
      <x:c r="F1290" s="24"/>
    </x:row>
    <x:row r="1291">
      <x:c r="D1291" s="23"/>
      <x:c r="F1291" s="24"/>
    </x:row>
    <x:row r="1292">
      <x:c r="D1292" s="23"/>
      <x:c r="F1292" s="24"/>
    </x:row>
    <x:row r="1293">
      <x:c r="D1293" s="23"/>
      <x:c r="F1293" s="24"/>
    </x:row>
    <x:row r="1294">
      <x:c r="D1294" s="23"/>
      <x:c r="F1294" s="24"/>
    </x:row>
    <x:row r="1295">
      <x:c r="D1295" s="23"/>
      <x:c r="F1295" s="24"/>
    </x:row>
    <x:row r="1296">
      <x:c r="D1296" s="23"/>
      <x:c r="F1296" s="24"/>
    </x:row>
    <x:row r="1297">
      <x:c r="D1297" s="23"/>
      <x:c r="F1297" s="24"/>
    </x:row>
    <x:row r="1298">
      <x:c r="D1298" s="23"/>
      <x:c r="F1298" s="24"/>
    </x:row>
    <x:row r="1299">
      <x:c r="D1299" s="23"/>
      <x:c r="F1299" s="24"/>
    </x:row>
    <x:row r="1300">
      <x:c r="D1300" s="23"/>
      <x:c r="F1300" s="24"/>
    </x:row>
    <x:row r="1301">
      <x:c r="D1301" s="23"/>
      <x:c r="F1301" s="24"/>
    </x:row>
    <x:row r="1302">
      <x:c r="D1302" s="23"/>
      <x:c r="F1302" s="24"/>
    </x:row>
    <x:row r="1303">
      <x:c r="D1303" s="23"/>
      <x:c r="F1303" s="24"/>
    </x:row>
    <x:row r="1304">
      <x:c r="D1304" s="23"/>
      <x:c r="F1304" s="24"/>
    </x:row>
    <x:row r="1305">
      <x:c r="D1305" s="23"/>
      <x:c r="F1305" s="24"/>
    </x:row>
    <x:row r="1306">
      <x:c r="D1306" s="23"/>
      <x:c r="F1306" s="24"/>
    </x:row>
    <x:row r="1307">
      <x:c r="D1307" s="23"/>
      <x:c r="F1307" s="24"/>
    </x:row>
    <x:row r="1308">
      <x:c r="D1308" s="23"/>
      <x:c r="F1308" s="24"/>
    </x:row>
    <x:row r="1309">
      <x:c r="D1309" s="23"/>
      <x:c r="F1309" s="24"/>
    </x:row>
    <x:row r="1310">
      <x:c r="D1310" s="23"/>
      <x:c r="F1310" s="24"/>
    </x:row>
    <x:row r="1311">
      <x:c r="D1311" s="23"/>
      <x:c r="F1311" s="24"/>
    </x:row>
    <x:row r="1312">
      <x:c r="D1312" s="23"/>
      <x:c r="F1312" s="24"/>
    </x:row>
    <x:row r="1313">
      <x:c r="D1313" s="23"/>
      <x:c r="F1313" s="24"/>
    </x:row>
    <x:row r="1314">
      <x:c r="D1314" s="23"/>
      <x:c r="F1314" s="24"/>
    </x:row>
    <x:row r="1315">
      <x:c r="D1315" s="23"/>
      <x:c r="F1315" s="24"/>
    </x:row>
    <x:row r="1316">
      <x:c r="D1316" s="23"/>
      <x:c r="F1316" s="24"/>
    </x:row>
    <x:row r="1317">
      <x:c r="D1317" s="23"/>
      <x:c r="F1317" s="24"/>
    </x:row>
    <x:row r="1318">
      <x:c r="D1318" s="23"/>
      <x:c r="F1318" s="24"/>
    </x:row>
    <x:row r="1319">
      <x:c r="D1319" s="23"/>
      <x:c r="F1319" s="24"/>
    </x:row>
    <x:row r="1320">
      <x:c r="D1320" s="23"/>
      <x:c r="F1320" s="24"/>
    </x:row>
    <x:row r="1321">
      <x:c r="D1321" s="23"/>
      <x:c r="F1321" s="24"/>
    </x:row>
    <x:row r="1322">
      <x:c r="D1322" s="23"/>
      <x:c r="F1322" s="24"/>
    </x:row>
    <x:row r="1323">
      <x:c r="D1323" s="23"/>
      <x:c r="F1323" s="24"/>
    </x:row>
    <x:row r="1324">
      <x:c r="D1324" s="23"/>
      <x:c r="F1324" s="24"/>
    </x:row>
    <x:row r="1325">
      <x:c r="D1325" s="23"/>
      <x:c r="F1325" s="24"/>
    </x:row>
    <x:row r="1326">
      <x:c r="D1326" s="23"/>
      <x:c r="F1326" s="24"/>
    </x:row>
    <x:row r="1327">
      <x:c r="D1327" s="23"/>
      <x:c r="F1327" s="24"/>
    </x:row>
    <x:row r="1328">
      <x:c r="D1328" s="23"/>
      <x:c r="F1328" s="24"/>
    </x:row>
    <x:row r="1329">
      <x:c r="D1329" s="23"/>
      <x:c r="F1329" s="24"/>
    </x:row>
    <x:row r="1330">
      <x:c r="D1330" s="23"/>
      <x:c r="F1330" s="24"/>
    </x:row>
    <x:row r="1331">
      <x:c r="D1331" s="23"/>
      <x:c r="F1331" s="24"/>
    </x:row>
    <x:row r="1332">
      <x:c r="D1332" s="23"/>
      <x:c r="F1332" s="24"/>
    </x:row>
    <x:row r="1333">
      <x:c r="D1333" s="23"/>
      <x:c r="F1333" s="24"/>
    </x:row>
    <x:row r="1334">
      <x:c r="D1334" s="23"/>
      <x:c r="F1334" s="24"/>
    </x:row>
    <x:row r="1335">
      <x:c r="D1335" s="23"/>
      <x:c r="F1335" s="24"/>
    </x:row>
    <x:row r="1336">
      <x:c r="D1336" s="23"/>
      <x:c r="F1336" s="24"/>
    </x:row>
    <x:row r="1337">
      <x:c r="D1337" s="23"/>
      <x:c r="F1337" s="24"/>
    </x:row>
    <x:row r="1338">
      <x:c r="D1338" s="23"/>
      <x:c r="F1338" s="24"/>
    </x:row>
    <x:row r="1339">
      <x:c r="D1339" s="23"/>
      <x:c r="F1339" s="24"/>
    </x:row>
    <x:row r="1340">
      <x:c r="D1340" s="23"/>
      <x:c r="F1340" s="24"/>
    </x:row>
    <x:row r="1341">
      <x:c r="D1341" s="23"/>
      <x:c r="F1341" s="24"/>
    </x:row>
    <x:row r="1342">
      <x:c r="D1342" s="23"/>
      <x:c r="F1342" s="24"/>
    </x:row>
    <x:row r="1343">
      <x:c r="D1343" s="23"/>
      <x:c r="F1343" s="24"/>
    </x:row>
    <x:row r="1344">
      <x:c r="D1344" s="23"/>
      <x:c r="F1344" s="24"/>
    </x:row>
    <x:row r="1345">
      <x:c r="D1345" s="23"/>
      <x:c r="F1345" s="24"/>
    </x:row>
    <x:row r="1346">
      <x:c r="D1346" s="23"/>
      <x:c r="F1346" s="24"/>
    </x:row>
    <x:row r="1347">
      <x:c r="D1347" s="23"/>
      <x:c r="F1347" s="24"/>
    </x:row>
    <x:row r="1348">
      <x:c r="D1348" s="23"/>
      <x:c r="F1348" s="24"/>
    </x:row>
    <x:row r="1349">
      <x:c r="D1349" s="23"/>
      <x:c r="F1349" s="24"/>
    </x:row>
    <x:row r="1350">
      <x:c r="D1350" s="23"/>
      <x:c r="F1350" s="24"/>
    </x:row>
    <x:row r="1351">
      <x:c r="D1351" s="23"/>
      <x:c r="F1351" s="24"/>
    </x:row>
    <x:row r="1352">
      <x:c r="D1352" s="23"/>
      <x:c r="F1352" s="24"/>
    </x:row>
    <x:row r="1353">
      <x:c r="D1353" s="23"/>
      <x:c r="F1353" s="24"/>
    </x:row>
    <x:row r="1354">
      <x:c r="D1354" s="23"/>
      <x:c r="F1354" s="24"/>
    </x:row>
    <x:row r="1355">
      <x:c r="D1355" s="23"/>
      <x:c r="F1355" s="24"/>
    </x:row>
    <x:row r="1356">
      <x:c r="D1356" s="23"/>
      <x:c r="F1356" s="24"/>
    </x:row>
    <x:row r="1357">
      <x:c r="D1357" s="23"/>
      <x:c r="F1357" s="24"/>
    </x:row>
    <x:row r="1358">
      <x:c r="D1358" s="23"/>
      <x:c r="F1358" s="24"/>
    </x:row>
    <x:row r="1359">
      <x:c r="D1359" s="23"/>
      <x:c r="F1359" s="24"/>
    </x:row>
    <x:row r="1360">
      <x:c r="D1360" s="23"/>
      <x:c r="F1360" s="24"/>
    </x:row>
    <x:row r="1361">
      <x:c r="D1361" s="23"/>
      <x:c r="F1361" s="24"/>
    </x:row>
    <x:row r="1362">
      <x:c r="D1362" s="23"/>
      <x:c r="F1362" s="24"/>
    </x:row>
    <x:row r="1363">
      <x:c r="D1363" s="23"/>
      <x:c r="F1363" s="24"/>
    </x:row>
    <x:row r="1364">
      <x:c r="D1364" s="23"/>
      <x:c r="F1364" s="24"/>
    </x:row>
    <x:row r="1365">
      <x:c r="D1365" s="23"/>
      <x:c r="F1365" s="24"/>
    </x:row>
    <x:row r="1366">
      <x:c r="D1366" s="23"/>
      <x:c r="F1366" s="24"/>
    </x:row>
    <x:row r="1367">
      <x:c r="D1367" s="23"/>
      <x:c r="F1367" s="24"/>
    </x:row>
    <x:row r="1368">
      <x:c r="D1368" s="23"/>
      <x:c r="F1368" s="24"/>
    </x:row>
    <x:row r="1369">
      <x:c r="D1369" s="23"/>
      <x:c r="F1369" s="24"/>
    </x:row>
    <x:row r="1370">
      <x:c r="D1370" s="23"/>
      <x:c r="F1370" s="24"/>
    </x:row>
    <x:row r="1371">
      <x:c r="D1371" s="23"/>
      <x:c r="F1371" s="24"/>
    </x:row>
    <x:row r="1372">
      <x:c r="D1372" s="23"/>
      <x:c r="F1372" s="24"/>
    </x:row>
    <x:row r="1373">
      <x:c r="D1373" s="23"/>
      <x:c r="F1373" s="24"/>
    </x:row>
    <x:row r="1374">
      <x:c r="D1374" s="23"/>
      <x:c r="F1374" s="24"/>
    </x:row>
    <x:row r="1375">
      <x:c r="D1375" s="23"/>
      <x:c r="F1375" s="24"/>
    </x:row>
    <x:row r="1376">
      <x:c r="D1376" s="23"/>
      <x:c r="F1376" s="24"/>
    </x:row>
    <x:row r="1377">
      <x:c r="D1377" s="23"/>
      <x:c r="F1377" s="24"/>
    </x:row>
    <x:row r="1378">
      <x:c r="D1378" s="23"/>
      <x:c r="F1378" s="24"/>
    </x:row>
    <x:row r="1379">
      <x:c r="D1379" s="23"/>
      <x:c r="F1379" s="24"/>
    </x:row>
    <x:row r="1380">
      <x:c r="D1380" s="23"/>
      <x:c r="F1380" s="24"/>
    </x:row>
    <x:row r="1381">
      <x:c r="D1381" s="23"/>
      <x:c r="F1381" s="24"/>
    </x:row>
    <x:row r="1382">
      <x:c r="D1382" s="23"/>
      <x:c r="F1382" s="24"/>
    </x:row>
    <x:row r="1383">
      <x:c r="D1383" s="23"/>
      <x:c r="F1383" s="24"/>
    </x:row>
    <x:row r="1384">
      <x:c r="D1384" s="23"/>
      <x:c r="F1384" s="24"/>
    </x:row>
    <x:row r="1385">
      <x:c r="D1385" s="23"/>
      <x:c r="F1385" s="24"/>
    </x:row>
    <x:row r="1386">
      <x:c r="D1386" s="23"/>
      <x:c r="F1386" s="24"/>
    </x:row>
    <x:row r="1387">
      <x:c r="D1387" s="23"/>
      <x:c r="F1387" s="24"/>
    </x:row>
    <x:row r="1388">
      <x:c r="D1388" s="23"/>
      <x:c r="F1388" s="24"/>
    </x:row>
    <x:row r="1389">
      <x:c r="D1389" s="23"/>
      <x:c r="F1389" s="24"/>
    </x:row>
    <x:row r="1390">
      <x:c r="D1390" s="23"/>
      <x:c r="F1390" s="24"/>
    </x:row>
    <x:row r="1391">
      <x:c r="D1391" s="23"/>
      <x:c r="F1391" s="24"/>
    </x:row>
    <x:row r="1392">
      <x:c r="D1392" s="23"/>
      <x:c r="F1392" s="24"/>
    </x:row>
    <x:row r="1393">
      <x:c r="D1393" s="23"/>
      <x:c r="F1393" s="24"/>
    </x:row>
    <x:row r="1394">
      <x:c r="D1394" s="23"/>
      <x:c r="F1394" s="24"/>
    </x:row>
    <x:row r="1395">
      <x:c r="D1395" s="23"/>
      <x:c r="F1395" s="24"/>
    </x:row>
    <x:row r="1396">
      <x:c r="D1396" s="23"/>
      <x:c r="F1396" s="24"/>
    </x:row>
    <x:row r="1397">
      <x:c r="D1397" s="23"/>
      <x:c r="F1397" s="24"/>
    </x:row>
    <x:row r="1398">
      <x:c r="D1398" s="23"/>
      <x:c r="F1398" s="24"/>
    </x:row>
    <x:row r="1399">
      <x:c r="D1399" s="23"/>
      <x:c r="F1399" s="24"/>
    </x:row>
    <x:row r="1400">
      <x:c r="D1400" s="23"/>
      <x:c r="F1400" s="24"/>
    </x:row>
    <x:row r="1401">
      <x:c r="D1401" s="23"/>
      <x:c r="F1401" s="24"/>
    </x:row>
    <x:row r="1402">
      <x:c r="D1402" s="23"/>
      <x:c r="F1402" s="24"/>
    </x:row>
    <x:row r="1403">
      <x:c r="D1403" s="23"/>
      <x:c r="F1403" s="24"/>
    </x:row>
    <x:row r="1404">
      <x:c r="D1404" s="23"/>
      <x:c r="F1404" s="24"/>
    </x:row>
    <x:row r="1405">
      <x:c r="D1405" s="23"/>
      <x:c r="F1405" s="24"/>
    </x:row>
    <x:row r="1406">
      <x:c r="D1406" s="23"/>
      <x:c r="F1406" s="24"/>
    </x:row>
    <x:row r="1407">
      <x:c r="D1407" s="23"/>
      <x:c r="F1407" s="24"/>
    </x:row>
    <x:row r="1408">
      <x:c r="D1408" s="23"/>
      <x:c r="F1408" s="24"/>
    </x:row>
    <x:row r="1409">
      <x:c r="D1409" s="23"/>
      <x:c r="F1409" s="24"/>
    </x:row>
    <x:row r="1410">
      <x:c r="D1410" s="23"/>
      <x:c r="F1410" s="24"/>
    </x:row>
    <x:row r="1411">
      <x:c r="D1411" s="23"/>
      <x:c r="F1411" s="24"/>
    </x:row>
    <x:row r="1412">
      <x:c r="D1412" s="23"/>
      <x:c r="F1412" s="24"/>
    </x:row>
    <x:row r="1413">
      <x:c r="D1413" s="23"/>
      <x:c r="F1413" s="24"/>
    </x:row>
    <x:row r="1414">
      <x:c r="D1414" s="23"/>
      <x:c r="F1414" s="24"/>
    </x:row>
    <x:row r="1415">
      <x:c r="D1415" s="23"/>
      <x:c r="F1415" s="24"/>
    </x:row>
    <x:row r="1416">
      <x:c r="D1416" s="23"/>
      <x:c r="F1416" s="24"/>
    </x:row>
    <x:row r="1417">
      <x:c r="D1417" s="23"/>
      <x:c r="F1417" s="24"/>
    </x:row>
    <x:row r="1418">
      <x:c r="D1418" s="23"/>
      <x:c r="F1418" s="24"/>
    </x:row>
    <x:row r="1419">
      <x:c r="D1419" s="23"/>
      <x:c r="F1419" s="24"/>
    </x:row>
    <x:row r="1420">
      <x:c r="D1420" s="23"/>
      <x:c r="F1420" s="24"/>
    </x:row>
    <x:row r="1421">
      <x:c r="D1421" s="23"/>
      <x:c r="F1421" s="24"/>
    </x:row>
    <x:row r="1422">
      <x:c r="D1422" s="23"/>
      <x:c r="F1422" s="24"/>
    </x:row>
    <x:row r="1423">
      <x:c r="D1423" s="23"/>
      <x:c r="F1423" s="24"/>
    </x:row>
    <x:row r="1424">
      <x:c r="D1424" s="23"/>
      <x:c r="F1424" s="24"/>
    </x:row>
    <x:row r="1425">
      <x:c r="D1425" s="23"/>
      <x:c r="F1425" s="24"/>
    </x:row>
    <x:row r="1426">
      <x:c r="D1426" s="23"/>
      <x:c r="F1426" s="24"/>
    </x:row>
    <x:row r="1427">
      <x:c r="D1427" s="23"/>
      <x:c r="F1427" s="24"/>
    </x:row>
    <x:row r="1428">
      <x:c r="D1428" s="23"/>
      <x:c r="F1428" s="24"/>
    </x:row>
    <x:row r="1429">
      <x:c r="D1429" s="23"/>
      <x:c r="F1429" s="24"/>
    </x:row>
    <x:row r="1430">
      <x:c r="D1430" s="23"/>
      <x:c r="F1430" s="24"/>
    </x:row>
    <x:row r="1431">
      <x:c r="D1431" s="23"/>
      <x:c r="F1431" s="24"/>
    </x:row>
    <x:row r="1432">
      <x:c r="D1432" s="23"/>
      <x:c r="F1432" s="24"/>
    </x:row>
    <x:row r="1433">
      <x:c r="D1433" s="23"/>
      <x:c r="F1433" s="24"/>
    </x:row>
    <x:row r="1434">
      <x:c r="D1434" s="23"/>
      <x:c r="F1434" s="24"/>
    </x:row>
    <x:row r="1435">
      <x:c r="D1435" s="23"/>
      <x:c r="F1435" s="24"/>
    </x:row>
    <x:row r="1436">
      <x:c r="D1436" s="23"/>
      <x:c r="F1436" s="24"/>
    </x:row>
    <x:row r="1437">
      <x:c r="D1437" s="23"/>
      <x:c r="F1437" s="24"/>
    </x:row>
    <x:row r="1438">
      <x:c r="D1438" s="23"/>
      <x:c r="F1438" s="24"/>
    </x:row>
    <x:row r="1439">
      <x:c r="D1439" s="23"/>
      <x:c r="F1439" s="24"/>
    </x:row>
    <x:row r="1440">
      <x:c r="D1440" s="23"/>
      <x:c r="F1440" s="24"/>
    </x:row>
    <x:row r="1441">
      <x:c r="D1441" s="23"/>
      <x:c r="F1441" s="24"/>
    </x:row>
    <x:row r="1442">
      <x:c r="D1442" s="23"/>
      <x:c r="F1442" s="24"/>
    </x:row>
    <x:row r="1443">
      <x:c r="D1443" s="23"/>
      <x:c r="F1443" s="24"/>
    </x:row>
    <x:row r="1444">
      <x:c r="D1444" s="23"/>
      <x:c r="F1444" s="24"/>
    </x:row>
    <x:row r="1445">
      <x:c r="D1445" s="23"/>
      <x:c r="F1445" s="24"/>
    </x:row>
    <x:row r="1446">
      <x:c r="D1446" s="23"/>
      <x:c r="F1446" s="24"/>
    </x:row>
    <x:row r="1447">
      <x:c r="D1447" s="23"/>
      <x:c r="F1447" s="24"/>
    </x:row>
    <x:row r="1448">
      <x:c r="D1448" s="23"/>
      <x:c r="F1448" s="24"/>
    </x:row>
    <x:row r="1449">
      <x:c r="D1449" s="23"/>
      <x:c r="F1449" s="24"/>
    </x:row>
    <x:row r="1450">
      <x:c r="D1450" s="23"/>
      <x:c r="F1450" s="24"/>
    </x:row>
    <x:row r="1451">
      <x:c r="D1451" s="23"/>
      <x:c r="F1451" s="24"/>
    </x:row>
    <x:row r="1452">
      <x:c r="D1452" s="23"/>
      <x:c r="F1452" s="24"/>
    </x:row>
    <x:row r="1453">
      <x:c r="D1453" s="23"/>
      <x:c r="F1453" s="24"/>
    </x:row>
    <x:row r="1454">
      <x:c r="D1454" s="23"/>
      <x:c r="F1454" s="24"/>
    </x:row>
    <x:row r="1455">
      <x:c r="D1455" s="23"/>
      <x:c r="F1455" s="24"/>
    </x:row>
    <x:row r="1456">
      <x:c r="D1456" s="23"/>
      <x:c r="F1456" s="24"/>
    </x:row>
    <x:row r="1457">
      <x:c r="D1457" s="23"/>
      <x:c r="F1457" s="24"/>
    </x:row>
    <x:row r="1458">
      <x:c r="D1458" s="23"/>
      <x:c r="F1458" s="24"/>
    </x:row>
    <x:row r="1459">
      <x:c r="D1459" s="23"/>
      <x:c r="F1459" s="24"/>
    </x:row>
    <x:row r="1460">
      <x:c r="D1460" s="23"/>
      <x:c r="F1460" s="24"/>
    </x:row>
    <x:row r="1461">
      <x:c r="D1461" s="23"/>
      <x:c r="F1461" s="24"/>
    </x:row>
    <x:row r="1462">
      <x:c r="D1462" s="23"/>
      <x:c r="F1462" s="24"/>
    </x:row>
    <x:row r="1463">
      <x:c r="D1463" s="23"/>
      <x:c r="F1463" s="24"/>
    </x:row>
    <x:row r="1464">
      <x:c r="D1464" s="23"/>
      <x:c r="F1464" s="24"/>
    </x:row>
    <x:row r="1465">
      <x:c r="D1465" s="23"/>
      <x:c r="F1465" s="24"/>
    </x:row>
    <x:row r="1466">
      <x:c r="D1466" s="23"/>
      <x:c r="F1466" s="24"/>
    </x:row>
    <x:row r="1467">
      <x:c r="D1467" s="23"/>
      <x:c r="F1467" s="24"/>
    </x:row>
    <x:row r="1468">
      <x:c r="D1468" s="23"/>
      <x:c r="F1468" s="24"/>
    </x:row>
    <x:row r="1469">
      <x:c r="D1469" s="23"/>
      <x:c r="F1469" s="24"/>
    </x:row>
    <x:row r="1470">
      <x:c r="D1470" s="23"/>
      <x:c r="F1470" s="24"/>
    </x:row>
    <x:row r="1471">
      <x:c r="D1471" s="23"/>
      <x:c r="F1471" s="24"/>
    </x:row>
    <x:row r="1472">
      <x:c r="D1472" s="23"/>
      <x:c r="F1472" s="24"/>
    </x:row>
    <x:row r="1473">
      <x:c r="D1473" s="23"/>
      <x:c r="F1473" s="24"/>
    </x:row>
    <x:row r="1474">
      <x:c r="D1474" s="23"/>
      <x:c r="F1474" s="24"/>
    </x:row>
    <x:row r="1475">
      <x:c r="D1475" s="23"/>
      <x:c r="F1475" s="24"/>
    </x:row>
    <x:row r="1476">
      <x:c r="D1476" s="23"/>
      <x:c r="F1476" s="24"/>
    </x:row>
    <x:row r="1477">
      <x:c r="D1477" s="23"/>
      <x:c r="F1477" s="24"/>
    </x:row>
    <x:row r="1478">
      <x:c r="D1478" s="23"/>
      <x:c r="F1478" s="24"/>
    </x:row>
    <x:row r="1479">
      <x:c r="D1479" s="23"/>
      <x:c r="F1479" s="24"/>
    </x:row>
    <x:row r="1480">
      <x:c r="D1480" s="23"/>
      <x:c r="F1480" s="24"/>
    </x:row>
    <x:row r="1481">
      <x:c r="D1481" s="23"/>
      <x:c r="F1481" s="24"/>
    </x:row>
    <x:row r="1482">
      <x:c r="D1482" s="23"/>
      <x:c r="F1482" s="24"/>
    </x:row>
    <x:row r="1483">
      <x:c r="D1483" s="23"/>
      <x:c r="F1483" s="24"/>
    </x:row>
    <x:row r="1484">
      <x:c r="D1484" s="23"/>
      <x:c r="F1484" s="24"/>
    </x:row>
    <x:row r="1485">
      <x:c r="D1485" s="23"/>
      <x:c r="F1485" s="24"/>
    </x:row>
    <x:row r="1486">
      <x:c r="D1486" s="23"/>
      <x:c r="F1486" s="24"/>
    </x:row>
    <x:row r="1487">
      <x:c r="D1487" s="23"/>
      <x:c r="F1487" s="24"/>
    </x:row>
    <x:row r="1488">
      <x:c r="D1488" s="23"/>
      <x:c r="F1488" s="24"/>
    </x:row>
    <x:row r="1489">
      <x:c r="D1489" s="23"/>
      <x:c r="F1489" s="24"/>
    </x:row>
    <x:row r="1490">
      <x:c r="D1490" s="23"/>
      <x:c r="F1490" s="24"/>
    </x:row>
    <x:row r="1491">
      <x:c r="D1491" s="23"/>
      <x:c r="F1491" s="24"/>
    </x:row>
    <x:row r="1492">
      <x:c r="D1492" s="23"/>
      <x:c r="F1492" s="24"/>
    </x:row>
    <x:row r="1493">
      <x:c r="D1493" s="23"/>
      <x:c r="F1493" s="24"/>
    </x:row>
    <x:row r="1494">
      <x:c r="D1494" s="23"/>
      <x:c r="F1494" s="24"/>
    </x:row>
    <x:row r="1495">
      <x:c r="D1495" s="23"/>
      <x:c r="F1495" s="24"/>
    </x:row>
    <x:row r="1496">
      <x:c r="D1496" s="23"/>
      <x:c r="F1496" s="24"/>
    </x:row>
    <x:row r="1497">
      <x:c r="D1497" s="23"/>
      <x:c r="F1497" s="24"/>
    </x:row>
    <x:row r="1498">
      <x:c r="D1498" s="23"/>
      <x:c r="F1498" s="24"/>
    </x:row>
    <x:row r="1499">
      <x:c r="D1499" s="23"/>
      <x:c r="F1499" s="24"/>
    </x:row>
    <x:row r="1500">
      <x:c r="D1500" s="23"/>
      <x:c r="F1500" s="24"/>
    </x:row>
    <x:row r="1501">
      <x:c r="D1501" s="23"/>
      <x:c r="F1501" s="24"/>
    </x:row>
    <x:row r="1502">
      <x:c r="D1502" s="23"/>
      <x:c r="F1502" s="24"/>
    </x:row>
    <x:row r="1503">
      <x:c r="D1503" s="23"/>
      <x:c r="F1503" s="24"/>
    </x:row>
    <x:row r="1504">
      <x:c r="D1504" s="23"/>
      <x:c r="F1504" s="24"/>
    </x:row>
    <x:row r="1505">
      <x:c r="D1505" s="23"/>
      <x:c r="F1505" s="24"/>
    </x:row>
    <x:row r="1506">
      <x:c r="D1506" s="23"/>
      <x:c r="F1506" s="24"/>
    </x:row>
    <x:row r="1507">
      <x:c r="D1507" s="23"/>
      <x:c r="F1507" s="24"/>
    </x:row>
    <x:row r="1508">
      <x:c r="D1508" s="23"/>
      <x:c r="F1508" s="24"/>
    </x:row>
    <x:row r="1509">
      <x:c r="D1509" s="23"/>
      <x:c r="F1509" s="24"/>
    </x:row>
    <x:row r="1510">
      <x:c r="D1510" s="23"/>
      <x:c r="F1510" s="24"/>
    </x:row>
    <x:row r="1511">
      <x:c r="D1511" s="23"/>
      <x:c r="F1511" s="24"/>
    </x:row>
    <x:row r="1512">
      <x:c r="D1512" s="23"/>
      <x:c r="F1512" s="24"/>
    </x:row>
    <x:row r="1513">
      <x:c r="D1513" s="23"/>
      <x:c r="F1513" s="24"/>
    </x:row>
    <x:row r="1514">
      <x:c r="D1514" s="23"/>
      <x:c r="F1514" s="24"/>
    </x:row>
    <x:row r="1515">
      <x:c r="D1515" s="23"/>
      <x:c r="F1515" s="24"/>
    </x:row>
    <x:row r="1516">
      <x:c r="D1516" s="23"/>
      <x:c r="F1516" s="24"/>
    </x:row>
    <x:row r="1517">
      <x:c r="D1517" s="23"/>
      <x:c r="F1517" s="24"/>
    </x:row>
    <x:row r="1518">
      <x:c r="D1518" s="23"/>
      <x:c r="F1518" s="24"/>
    </x:row>
    <x:row r="1519">
      <x:c r="D1519" s="23"/>
      <x:c r="F1519" s="24"/>
    </x:row>
    <x:row r="1520">
      <x:c r="D1520" s="23"/>
      <x:c r="F1520" s="24"/>
    </x:row>
    <x:row r="1521">
      <x:c r="D1521" s="23"/>
      <x:c r="F1521" s="24"/>
    </x:row>
    <x:row r="1522">
      <x:c r="D1522" s="23"/>
      <x:c r="F1522" s="24"/>
    </x:row>
    <x:row r="1523">
      <x:c r="D1523" s="23"/>
      <x:c r="F1523" s="24"/>
    </x:row>
    <x:row r="1524">
      <x:c r="D1524" s="23"/>
      <x:c r="F1524" s="24"/>
    </x:row>
    <x:row r="1525">
      <x:c r="D1525" s="23"/>
      <x:c r="F1525" s="24"/>
    </x:row>
    <x:row r="1526">
      <x:c r="D1526" s="23"/>
      <x:c r="F1526" s="24"/>
    </x:row>
    <x:row r="1527">
      <x:c r="D1527" s="23"/>
      <x:c r="F1527" s="24"/>
    </x:row>
    <x:row r="1528">
      <x:c r="D1528" s="23"/>
      <x:c r="F1528" s="24"/>
    </x:row>
    <x:row r="1529">
      <x:c r="D1529" s="23"/>
      <x:c r="F1529" s="24"/>
    </x:row>
    <x:row r="1530">
      <x:c r="D1530" s="23"/>
      <x:c r="F1530" s="24"/>
    </x:row>
    <x:row r="1531">
      <x:c r="D1531" s="23"/>
      <x:c r="F1531" s="24"/>
    </x:row>
    <x:row r="1532">
      <x:c r="D1532" s="23"/>
      <x:c r="F1532" s="24"/>
    </x:row>
    <x:row r="1533">
      <x:c r="D1533" s="23"/>
      <x:c r="F1533" s="24"/>
    </x:row>
    <x:row r="1534">
      <x:c r="D1534" s="23"/>
      <x:c r="F1534" s="24"/>
    </x:row>
    <x:row r="1535">
      <x:c r="D1535" s="23"/>
      <x:c r="F1535" s="24"/>
    </x:row>
    <x:row r="1536">
      <x:c r="D1536" s="23"/>
      <x:c r="F1536" s="24"/>
    </x:row>
    <x:row r="1537">
      <x:c r="D1537" s="23"/>
      <x:c r="F1537" s="24"/>
    </x:row>
    <x:row r="1538">
      <x:c r="D1538" s="23"/>
      <x:c r="F1538" s="24"/>
    </x:row>
    <x:row r="1539">
      <x:c r="D1539" s="23"/>
      <x:c r="F1539" s="24"/>
    </x:row>
    <x:row r="1540">
      <x:c r="D1540" s="23"/>
      <x:c r="F1540" s="24"/>
    </x:row>
    <x:row r="1541">
      <x:c r="D1541" s="23"/>
      <x:c r="F1541" s="24"/>
    </x:row>
    <x:row r="1542">
      <x:c r="D1542" s="23"/>
      <x:c r="F1542" s="24"/>
    </x:row>
    <x:row r="1543">
      <x:c r="D1543" s="23"/>
      <x:c r="F1543" s="24"/>
    </x:row>
    <x:row r="1544">
      <x:c r="D1544" s="23"/>
      <x:c r="F1544" s="24"/>
    </x:row>
    <x:row r="1545">
      <x:c r="D1545" s="23"/>
      <x:c r="F1545" s="24"/>
    </x:row>
    <x:row r="1546">
      <x:c r="D1546" s="23"/>
      <x:c r="F1546" s="24"/>
    </x:row>
    <x:row r="1547">
      <x:c r="D1547" s="23"/>
      <x:c r="F1547" s="24"/>
    </x:row>
    <x:row r="1548">
      <x:c r="D1548" s="23"/>
      <x:c r="F1548" s="24"/>
    </x:row>
    <x:row r="1549">
      <x:c r="D1549" s="23"/>
      <x:c r="F1549" s="24"/>
    </x:row>
    <x:row r="1550">
      <x:c r="D1550" s="23"/>
      <x:c r="F1550" s="24"/>
    </x:row>
    <x:row r="1551">
      <x:c r="D1551" s="23"/>
      <x:c r="F1551" s="24"/>
    </x:row>
    <x:row r="1552">
      <x:c r="D1552" s="23"/>
      <x:c r="F1552" s="24"/>
    </x:row>
    <x:row r="1553">
      <x:c r="D1553" s="23"/>
      <x:c r="F1553" s="24"/>
    </x:row>
    <x:row r="1554">
      <x:c r="D1554" s="23"/>
      <x:c r="F1554" s="24"/>
    </x:row>
    <x:row r="1555">
      <x:c r="D1555" s="23"/>
      <x:c r="F1555" s="24"/>
    </x:row>
    <x:row r="1556">
      <x:c r="D1556" s="23"/>
      <x:c r="F1556" s="24"/>
    </x:row>
    <x:row r="1557">
      <x:c r="D1557" s="23"/>
      <x:c r="F1557" s="24"/>
    </x:row>
    <x:row r="1558">
      <x:c r="D1558" s="23"/>
      <x:c r="F1558" s="24"/>
    </x:row>
    <x:row r="1559">
      <x:c r="D1559" s="23"/>
      <x:c r="F1559" s="24"/>
    </x:row>
    <x:row r="1560">
      <x:c r="D1560" s="23"/>
      <x:c r="F1560" s="24"/>
    </x:row>
    <x:row r="1561">
      <x:c r="D1561" s="23"/>
      <x:c r="F1561" s="24"/>
    </x:row>
    <x:row r="1562">
      <x:c r="D1562" s="23"/>
      <x:c r="F1562" s="24"/>
    </x:row>
    <x:row r="1563">
      <x:c r="D1563" s="23"/>
      <x:c r="F1563" s="24"/>
    </x:row>
    <x:row r="1564">
      <x:c r="D1564" s="23"/>
      <x:c r="F1564" s="24"/>
    </x:row>
    <x:row r="1565">
      <x:c r="D1565" s="23"/>
      <x:c r="F1565" s="24"/>
    </x:row>
    <x:row r="1566">
      <x:c r="D1566" s="23"/>
      <x:c r="F1566" s="24"/>
    </x:row>
    <x:row r="1567">
      <x:c r="D1567" s="23"/>
      <x:c r="F1567" s="24"/>
    </x:row>
    <x:row r="1568">
      <x:c r="D1568" s="23"/>
      <x:c r="F1568" s="24"/>
    </x:row>
    <x:row r="1569">
      <x:c r="D1569" s="23"/>
      <x:c r="F1569" s="24"/>
    </x:row>
    <x:row r="1570">
      <x:c r="D1570" s="23"/>
      <x:c r="F1570" s="24"/>
    </x:row>
    <x:row r="1571">
      <x:c r="D1571" s="23"/>
      <x:c r="F1571" s="24"/>
    </x:row>
    <x:row r="1572">
      <x:c r="D1572" s="23"/>
      <x:c r="F1572" s="24"/>
    </x:row>
    <x:row r="1573">
      <x:c r="D1573" s="23"/>
      <x:c r="F1573" s="24"/>
    </x:row>
    <x:row r="1574">
      <x:c r="D1574" s="23"/>
      <x:c r="F1574" s="24"/>
    </x:row>
    <x:row r="1575">
      <x:c r="D1575" s="23"/>
      <x:c r="F1575" s="24"/>
    </x:row>
    <x:row r="1576">
      <x:c r="D1576" s="23"/>
      <x:c r="F1576" s="24"/>
    </x:row>
    <x:row r="1577">
      <x:c r="D1577" s="23"/>
      <x:c r="F1577" s="24"/>
    </x:row>
    <x:row r="1578">
      <x:c r="D1578" s="23"/>
      <x:c r="F1578" s="24"/>
    </x:row>
    <x:row r="1579">
      <x:c r="D1579" s="23"/>
      <x:c r="F1579" s="24"/>
    </x:row>
    <x:row r="1580">
      <x:c r="D1580" s="23"/>
      <x:c r="F1580" s="24"/>
    </x:row>
    <x:row r="1581">
      <x:c r="D1581" s="23"/>
      <x:c r="F1581" s="24"/>
    </x:row>
    <x:row r="1582">
      <x:c r="D1582" s="23"/>
      <x:c r="F1582" s="24"/>
    </x:row>
    <x:row r="1583">
      <x:c r="D1583" s="23"/>
      <x:c r="F1583" s="24"/>
    </x:row>
    <x:row r="1584">
      <x:c r="D1584" s="23"/>
      <x:c r="F1584" s="24"/>
    </x:row>
    <x:row r="1585">
      <x:c r="D1585" s="23"/>
      <x:c r="F1585" s="24"/>
    </x:row>
    <x:row r="1586">
      <x:c r="D1586" s="23"/>
      <x:c r="F1586" s="24"/>
    </x:row>
    <x:row r="1587">
      <x:c r="D1587" s="23"/>
      <x:c r="F1587" s="24"/>
    </x:row>
    <x:row r="1588">
      <x:c r="D1588" s="23"/>
      <x:c r="F1588" s="24"/>
    </x:row>
    <x:row r="1589">
      <x:c r="D1589" s="23"/>
      <x:c r="F1589" s="24"/>
    </x:row>
    <x:row r="1590">
      <x:c r="D1590" s="23"/>
      <x:c r="F1590" s="24"/>
    </x:row>
    <x:row r="1591">
      <x:c r="D1591" s="23"/>
      <x:c r="F1591" s="24"/>
    </x:row>
    <x:row r="1592">
      <x:c r="D1592" s="23"/>
      <x:c r="F1592" s="24"/>
    </x:row>
    <x:row r="1593">
      <x:c r="D1593" s="23"/>
      <x:c r="F1593" s="24"/>
    </x:row>
    <x:row r="1594">
      <x:c r="D1594" s="23"/>
      <x:c r="F1594" s="24"/>
    </x:row>
    <x:row r="1595">
      <x:c r="D1595" s="23"/>
      <x:c r="F1595" s="24"/>
    </x:row>
    <x:row r="1596">
      <x:c r="D1596" s="23"/>
      <x:c r="F1596" s="24"/>
    </x:row>
    <x:row r="1597">
      <x:c r="D1597" s="23"/>
      <x:c r="F1597" s="24"/>
    </x:row>
    <x:row r="1598">
      <x:c r="D1598" s="23"/>
      <x:c r="F1598" s="24"/>
    </x:row>
    <x:row r="1599">
      <x:c r="D1599" s="23"/>
      <x:c r="F1599" s="24"/>
    </x:row>
    <x:row r="1600">
      <x:c r="D1600" s="23"/>
      <x:c r="F1600" s="24"/>
    </x:row>
    <x:row r="1601">
      <x:c r="D1601" s="23"/>
      <x:c r="F1601" s="24"/>
    </x:row>
    <x:row r="1602">
      <x:c r="D1602" s="23"/>
      <x:c r="F1602" s="24"/>
    </x:row>
    <x:row r="1603">
      <x:c r="D1603" s="23"/>
      <x:c r="F1603" s="24"/>
    </x:row>
    <x:row r="1604">
      <x:c r="D1604" s="23"/>
      <x:c r="F1604" s="24"/>
    </x:row>
    <x:row r="1605">
      <x:c r="D1605" s="23"/>
      <x:c r="F1605" s="24"/>
    </x:row>
    <x:row r="1606">
      <x:c r="D1606" s="23"/>
      <x:c r="F1606" s="24"/>
    </x:row>
    <x:row r="1607">
      <x:c r="D1607" s="23"/>
      <x:c r="F1607" s="24"/>
    </x:row>
    <x:row r="1608">
      <x:c r="D1608" s="23"/>
      <x:c r="F1608" s="24"/>
    </x:row>
    <x:row r="1609">
      <x:c r="D1609" s="23"/>
      <x:c r="F1609" s="24"/>
    </x:row>
    <x:row r="1610">
      <x:c r="D1610" s="23"/>
      <x:c r="F1610" s="24"/>
    </x:row>
    <x:row r="1611">
      <x:c r="D1611" s="23"/>
      <x:c r="F1611" s="24"/>
    </x:row>
    <x:row r="1612">
      <x:c r="D1612" s="23"/>
      <x:c r="F1612" s="24"/>
    </x:row>
    <x:row r="1613">
      <x:c r="D1613" s="23"/>
      <x:c r="F1613" s="24"/>
    </x:row>
    <x:row r="1614">
      <x:c r="D1614" s="23"/>
      <x:c r="F1614" s="24"/>
    </x:row>
    <x:row r="1615">
      <x:c r="D1615" s="23"/>
      <x:c r="F1615" s="24"/>
    </x:row>
    <x:row r="1616">
      <x:c r="D1616" s="23"/>
      <x:c r="F1616" s="24"/>
    </x:row>
    <x:row r="1617">
      <x:c r="D1617" s="23"/>
      <x:c r="F1617" s="24"/>
    </x:row>
    <x:row r="1618">
      <x:c r="D1618" s="23"/>
      <x:c r="F1618" s="24"/>
    </x:row>
    <x:row r="1619">
      <x:c r="D1619" s="23"/>
      <x:c r="F1619" s="24"/>
    </x:row>
    <x:row r="1620">
      <x:c r="D1620" s="23"/>
      <x:c r="F1620" s="24"/>
    </x:row>
    <x:row r="1621">
      <x:c r="D1621" s="23"/>
      <x:c r="F1621" s="24"/>
    </x:row>
    <x:row r="1622">
      <x:c r="D1622" s="23"/>
      <x:c r="F1622" s="24"/>
    </x:row>
    <x:row r="1623">
      <x:c r="D1623" s="23"/>
      <x:c r="F1623" s="24"/>
    </x:row>
    <x:row r="1624">
      <x:c r="D1624" s="23"/>
      <x:c r="F1624" s="24"/>
    </x:row>
    <x:row r="1625">
      <x:c r="D1625" s="23"/>
      <x:c r="F1625" s="24"/>
    </x:row>
    <x:row r="1626">
      <x:c r="D1626" s="23"/>
      <x:c r="F1626" s="24"/>
    </x:row>
    <x:row r="1627">
      <x:c r="D1627" s="23"/>
      <x:c r="F1627" s="24"/>
    </x:row>
    <x:row r="1628">
      <x:c r="D1628" s="23"/>
      <x:c r="F1628" s="24"/>
    </x:row>
    <x:row r="1629">
      <x:c r="D1629" s="23"/>
      <x:c r="F1629" s="24"/>
    </x:row>
    <x:row r="1630">
      <x:c r="D1630" s="23"/>
      <x:c r="F1630" s="24"/>
    </x:row>
    <x:row r="1631">
      <x:c r="D1631" s="23"/>
      <x:c r="F1631" s="24"/>
    </x:row>
    <x:row r="1632">
      <x:c r="D1632" s="23"/>
      <x:c r="F1632" s="24"/>
    </x:row>
    <x:row r="1633">
      <x:c r="D1633" s="23"/>
      <x:c r="F1633" s="24"/>
    </x:row>
    <x:row r="1634">
      <x:c r="D1634" s="23"/>
      <x:c r="F1634" s="24"/>
    </x:row>
    <x:row r="1635">
      <x:c r="D1635" s="23"/>
      <x:c r="F1635" s="24"/>
    </x:row>
    <x:row r="1636">
      <x:c r="D1636" s="23"/>
      <x:c r="F1636" s="24"/>
    </x:row>
    <x:row r="1637">
      <x:c r="D1637" s="23"/>
      <x:c r="F1637" s="24"/>
    </x:row>
    <x:row r="1638">
      <x:c r="D1638" s="23"/>
      <x:c r="F1638" s="24"/>
    </x:row>
    <x:row r="1639">
      <x:c r="D1639" s="23"/>
      <x:c r="F1639" s="24"/>
    </x:row>
    <x:row r="1640">
      <x:c r="D1640" s="23"/>
      <x:c r="F1640" s="24"/>
    </x:row>
    <x:row r="1641">
      <x:c r="D1641" s="23"/>
      <x:c r="F1641" s="24"/>
    </x:row>
    <x:row r="1642">
      <x:c r="D1642" s="23"/>
      <x:c r="F1642" s="24"/>
    </x:row>
    <x:row r="1643">
      <x:c r="D1643" s="23"/>
      <x:c r="F1643" s="24"/>
    </x:row>
    <x:row r="1644">
      <x:c r="D1644" s="23"/>
      <x:c r="F1644" s="24"/>
    </x:row>
    <x:row r="1645">
      <x:c r="D1645" s="23"/>
      <x:c r="F1645" s="24"/>
    </x:row>
    <x:row r="1646">
      <x:c r="D1646" s="23"/>
      <x:c r="F1646" s="24"/>
    </x:row>
    <x:row r="1647">
      <x:c r="D1647" s="23"/>
      <x:c r="F1647" s="24"/>
    </x:row>
    <x:row r="1648">
      <x:c r="D1648" s="23"/>
      <x:c r="F1648" s="24"/>
    </x:row>
    <x:row r="1649">
      <x:c r="D1649" s="23"/>
      <x:c r="F1649" s="24"/>
    </x:row>
    <x:row r="1650">
      <x:c r="D1650" s="23"/>
      <x:c r="F1650" s="24"/>
    </x:row>
    <x:row r="1651">
      <x:c r="D1651" s="23"/>
      <x:c r="F1651" s="24"/>
    </x:row>
    <x:row r="1652">
      <x:c r="D1652" s="23"/>
      <x:c r="F1652" s="24"/>
    </x:row>
    <x:row r="1653">
      <x:c r="D1653" s="23"/>
      <x:c r="F1653" s="24"/>
    </x:row>
    <x:row r="1654">
      <x:c r="D1654" s="23"/>
      <x:c r="F1654" s="24"/>
    </x:row>
    <x:row r="1655">
      <x:c r="D1655" s="23"/>
      <x:c r="F1655" s="24"/>
    </x:row>
    <x:row r="1656">
      <x:c r="D1656" s="23"/>
      <x:c r="F1656" s="24"/>
    </x:row>
    <x:row r="1657">
      <x:c r="D1657" s="23"/>
      <x:c r="F1657" s="24"/>
    </x:row>
    <x:row r="1658">
      <x:c r="D1658" s="23"/>
      <x:c r="F1658" s="24"/>
    </x:row>
    <x:row r="1659">
      <x:c r="D1659" s="23"/>
      <x:c r="F1659" s="24"/>
    </x:row>
    <x:row r="1660">
      <x:c r="D1660" s="23"/>
      <x:c r="F1660" s="24"/>
    </x:row>
    <x:row r="1661">
      <x:c r="D1661" s="23"/>
      <x:c r="F1661" s="24"/>
    </x:row>
    <x:row r="1662">
      <x:c r="D1662" s="23"/>
      <x:c r="F1662" s="24"/>
    </x:row>
    <x:row r="1663">
      <x:c r="D1663" s="23"/>
      <x:c r="F1663" s="24"/>
    </x:row>
    <x:row r="1664">
      <x:c r="D1664" s="23"/>
      <x:c r="F1664" s="24"/>
    </x:row>
    <x:row r="1665">
      <x:c r="D1665" s="23"/>
      <x:c r="F1665" s="24"/>
    </x:row>
    <x:row r="1666">
      <x:c r="D1666" s="23"/>
      <x:c r="F1666" s="24"/>
    </x:row>
    <x:row r="1667">
      <x:c r="D1667" s="23"/>
      <x:c r="F1667" s="24"/>
    </x:row>
    <x:row r="1668">
      <x:c r="D1668" s="23"/>
      <x:c r="F1668" s="24"/>
    </x:row>
    <x:row r="1669">
      <x:c r="D1669" s="23"/>
      <x:c r="F1669" s="24"/>
    </x:row>
    <x:row r="1670">
      <x:c r="D1670" s="23"/>
      <x:c r="F1670" s="24"/>
    </x:row>
    <x:row r="1671">
      <x:c r="D1671" s="23"/>
      <x:c r="F1671" s="24"/>
    </x:row>
    <x:row r="1672">
      <x:c r="D1672" s="23"/>
      <x:c r="F1672" s="24"/>
    </x:row>
    <x:row r="1673">
      <x:c r="D1673" s="23"/>
      <x:c r="F1673" s="24"/>
    </x:row>
    <x:row r="1674">
      <x:c r="D1674" s="23"/>
      <x:c r="F1674" s="24"/>
    </x:row>
    <x:row r="1675">
      <x:c r="D1675" s="23"/>
      <x:c r="F1675" s="24"/>
    </x:row>
    <x:row r="1676">
      <x:c r="D1676" s="23"/>
      <x:c r="F1676" s="24"/>
    </x:row>
    <x:row r="1677">
      <x:c r="D1677" s="23"/>
      <x:c r="F1677" s="24"/>
    </x:row>
    <x:row r="1678">
      <x:c r="D1678" s="23"/>
      <x:c r="F1678" s="24"/>
    </x:row>
    <x:row r="1679">
      <x:c r="D1679" s="23"/>
      <x:c r="F1679" s="24"/>
    </x:row>
    <x:row r="1680">
      <x:c r="D1680" s="23"/>
      <x:c r="F1680" s="24"/>
    </x:row>
    <x:row r="1681">
      <x:c r="D1681" s="23"/>
      <x:c r="F1681" s="24"/>
    </x:row>
    <x:row r="1682">
      <x:c r="D1682" s="23"/>
      <x:c r="F1682" s="24"/>
    </x:row>
    <x:row r="1683">
      <x:c r="D1683" s="23"/>
      <x:c r="F1683" s="24"/>
    </x:row>
    <x:row r="1684">
      <x:c r="D1684" s="23"/>
      <x:c r="F1684" s="24"/>
    </x:row>
    <x:row r="1685">
      <x:c r="D1685" s="23"/>
      <x:c r="F1685" s="24"/>
    </x:row>
    <x:row r="1686">
      <x:c r="D1686" s="23"/>
      <x:c r="F1686" s="24"/>
    </x:row>
    <x:row r="1687">
      <x:c r="D1687" s="23"/>
      <x:c r="F1687" s="24"/>
    </x:row>
    <x:row r="1688">
      <x:c r="D1688" s="23"/>
      <x:c r="F1688" s="24"/>
    </x:row>
    <x:row r="1689">
      <x:c r="D1689" s="23"/>
      <x:c r="F1689" s="24"/>
    </x:row>
    <x:row r="1690">
      <x:c r="D1690" s="23"/>
      <x:c r="F1690" s="24"/>
    </x:row>
    <x:row r="1691">
      <x:c r="D1691" s="23"/>
      <x:c r="F1691" s="24"/>
    </x:row>
    <x:row r="1692">
      <x:c r="D1692" s="23"/>
      <x:c r="F1692" s="24"/>
    </x:row>
    <x:row r="1693">
      <x:c r="D1693" s="23"/>
      <x:c r="F1693" s="24"/>
    </x:row>
    <x:row r="1694">
      <x:c r="D1694" s="23"/>
      <x:c r="F1694" s="24"/>
    </x:row>
    <x:row r="1695">
      <x:c r="D1695" s="23"/>
      <x:c r="F1695" s="24"/>
    </x:row>
    <x:row r="1696">
      <x:c r="D1696" s="23"/>
      <x:c r="F1696" s="24"/>
    </x:row>
    <x:row r="1697">
      <x:c r="D1697" s="23"/>
      <x:c r="F1697" s="24"/>
    </x:row>
    <x:row r="1698">
      <x:c r="D1698" s="23"/>
      <x:c r="F1698" s="24"/>
    </x:row>
    <x:row r="1699">
      <x:c r="D1699" s="23"/>
      <x:c r="F1699" s="24"/>
    </x:row>
    <x:row r="1700">
      <x:c r="D1700" s="23"/>
      <x:c r="F1700" s="24"/>
    </x:row>
    <x:row r="1701">
      <x:c r="D1701" s="23"/>
      <x:c r="F1701" s="24"/>
    </x:row>
    <x:row r="1702">
      <x:c r="D1702" s="23"/>
      <x:c r="F1702" s="24"/>
    </x:row>
    <x:row r="1703">
      <x:c r="D1703" s="23"/>
      <x:c r="F1703" s="24"/>
    </x:row>
    <x:row r="1704">
      <x:c r="D1704" s="23"/>
      <x:c r="F1704" s="24"/>
    </x:row>
    <x:row r="1705">
      <x:c r="D1705" s="23"/>
      <x:c r="F1705" s="24"/>
    </x:row>
    <x:row r="1706">
      <x:c r="D1706" s="23"/>
      <x:c r="F1706" s="24"/>
    </x:row>
    <x:row r="1707">
      <x:c r="D1707" s="23"/>
      <x:c r="F1707" s="24"/>
    </x:row>
    <x:row r="1708">
      <x:c r="D1708" s="23"/>
      <x:c r="F1708" s="24"/>
    </x:row>
    <x:row r="1709">
      <x:c r="D1709" s="23"/>
      <x:c r="F1709" s="24"/>
    </x:row>
    <x:row r="1710">
      <x:c r="D1710" s="23"/>
      <x:c r="F1710" s="24"/>
    </x:row>
    <x:row r="1711">
      <x:c r="D1711" s="23"/>
      <x:c r="F1711" s="24"/>
    </x:row>
    <x:row r="1712">
      <x:c r="D1712" s="23"/>
      <x:c r="F1712" s="24"/>
    </x:row>
    <x:row r="1713">
      <x:c r="D1713" s="23"/>
      <x:c r="F1713" s="24"/>
    </x:row>
    <x:row r="1714">
      <x:c r="D1714" s="23"/>
      <x:c r="F1714" s="24"/>
    </x:row>
    <x:row r="1715">
      <x:c r="D1715" s="23"/>
      <x:c r="F1715" s="24"/>
    </x:row>
    <x:row r="1716">
      <x:c r="D1716" s="23"/>
      <x:c r="F1716" s="24"/>
    </x:row>
    <x:row r="1717">
      <x:c r="D1717" s="23"/>
      <x:c r="F1717" s="24"/>
    </x:row>
    <x:row r="1718">
      <x:c r="D1718" s="23"/>
      <x:c r="F1718" s="24"/>
    </x:row>
    <x:row r="1719">
      <x:c r="D1719" s="23"/>
      <x:c r="F1719" s="24"/>
    </x:row>
    <x:row r="1720">
      <x:c r="D1720" s="23"/>
      <x:c r="F1720" s="24"/>
    </x:row>
    <x:row r="1721">
      <x:c r="D1721" s="23"/>
      <x:c r="F1721" s="24"/>
    </x:row>
    <x:row r="1722">
      <x:c r="D1722" s="23"/>
      <x:c r="F1722" s="24"/>
    </x:row>
    <x:row r="1723">
      <x:c r="D1723" s="23"/>
      <x:c r="F1723" s="24"/>
    </x:row>
    <x:row r="1724">
      <x:c r="D1724" s="23"/>
      <x:c r="F1724" s="24"/>
    </x:row>
    <x:row r="1725">
      <x:c r="D1725" s="23"/>
      <x:c r="F1725" s="24"/>
    </x:row>
    <x:row r="1726">
      <x:c r="D1726" s="23"/>
      <x:c r="F1726" s="24"/>
    </x:row>
    <x:row r="1727">
      <x:c r="D1727" s="23"/>
      <x:c r="F1727" s="24"/>
    </x:row>
    <x:row r="1728">
      <x:c r="D1728" s="23"/>
      <x:c r="F1728" s="24"/>
    </x:row>
    <x:row r="1729">
      <x:c r="D1729" s="23"/>
      <x:c r="F1729" s="24"/>
    </x:row>
    <x:row r="1730">
      <x:c r="D1730" s="23"/>
      <x:c r="F1730" s="24"/>
    </x:row>
    <x:row r="1731">
      <x:c r="D1731" s="23"/>
      <x:c r="F1731" s="24"/>
    </x:row>
    <x:row r="1732">
      <x:c r="D1732" s="23"/>
      <x:c r="F1732" s="24"/>
    </x:row>
    <x:row r="1733">
      <x:c r="D1733" s="23"/>
      <x:c r="F1733" s="24"/>
    </x:row>
    <x:row r="1734">
      <x:c r="D1734" s="23"/>
      <x:c r="F1734" s="24"/>
    </x:row>
    <x:row r="1735">
      <x:c r="D1735" s="23"/>
      <x:c r="F1735" s="24"/>
    </x:row>
    <x:row r="1736">
      <x:c r="D1736" s="23"/>
      <x:c r="F1736" s="24"/>
    </x:row>
    <x:row r="1737">
      <x:c r="D1737" s="23"/>
      <x:c r="F1737" s="24"/>
    </x:row>
    <x:row r="1738">
      <x:c r="D1738" s="23"/>
      <x:c r="F1738" s="24"/>
    </x:row>
    <x:row r="1739">
      <x:c r="D1739" s="23"/>
      <x:c r="F1739" s="24"/>
    </x:row>
    <x:row r="1740">
      <x:c r="D1740" s="23"/>
      <x:c r="F1740" s="24"/>
    </x:row>
    <x:row r="1741">
      <x:c r="D1741" s="23"/>
      <x:c r="F1741" s="24"/>
    </x:row>
    <x:row r="1742">
      <x:c r="D1742" s="23"/>
      <x:c r="F1742" s="24"/>
    </x:row>
    <x:row r="1743">
      <x:c r="D1743" s="23"/>
      <x:c r="F1743" s="24"/>
    </x:row>
    <x:row r="1744">
      <x:c r="D1744" s="23"/>
      <x:c r="F1744" s="24"/>
    </x:row>
    <x:row r="1745">
      <x:c r="D1745" s="23"/>
      <x:c r="F1745" s="24"/>
    </x:row>
    <x:row r="1746">
      <x:c r="D1746" s="23"/>
      <x:c r="F1746" s="24"/>
    </x:row>
    <x:row r="1747">
      <x:c r="D1747" s="23"/>
      <x:c r="F1747" s="24"/>
    </x:row>
    <x:row r="1748">
      <x:c r="D1748" s="23"/>
      <x:c r="F1748" s="24"/>
    </x:row>
    <x:row r="1749">
      <x:c r="D1749" s="23"/>
      <x:c r="F1749" s="24"/>
    </x:row>
    <x:row r="1750">
      <x:c r="D1750" s="23"/>
      <x:c r="F1750" s="24"/>
    </x:row>
    <x:row r="1751">
      <x:c r="D1751" s="23"/>
      <x:c r="F1751" s="24"/>
    </x:row>
    <x:row r="1752">
      <x:c r="D1752" s="23"/>
      <x:c r="F1752" s="24"/>
    </x:row>
    <x:row r="1753">
      <x:c r="D1753" s="23"/>
      <x:c r="F1753" s="24"/>
    </x:row>
    <x:row r="1754">
      <x:c r="D1754" s="23"/>
      <x:c r="F1754" s="24"/>
    </x:row>
    <x:row r="1755">
      <x:c r="D1755" s="23"/>
      <x:c r="F1755" s="24"/>
    </x:row>
    <x:row r="1756">
      <x:c r="D1756" s="23"/>
      <x:c r="F1756" s="24"/>
    </x:row>
    <x:row r="1757">
      <x:c r="D1757" s="23"/>
      <x:c r="F1757" s="24"/>
    </x:row>
    <x:row r="1758">
      <x:c r="D1758" s="23"/>
      <x:c r="F1758" s="24"/>
    </x:row>
    <x:row r="1759">
      <x:c r="D1759" s="23"/>
      <x:c r="F1759" s="24"/>
    </x:row>
    <x:row r="1760">
      <x:c r="D1760" s="23"/>
      <x:c r="F1760" s="24"/>
    </x:row>
    <x:row r="1761">
      <x:c r="D1761" s="23"/>
      <x:c r="F1761" s="24"/>
    </x:row>
    <x:row r="1762">
      <x:c r="D1762" s="23"/>
      <x:c r="F1762" s="24"/>
    </x:row>
    <x:row r="1763">
      <x:c r="D1763" s="23"/>
      <x:c r="F1763" s="24"/>
    </x:row>
    <x:row r="1764">
      <x:c r="D1764" s="23"/>
      <x:c r="F1764" s="24"/>
    </x:row>
    <x:row r="1765">
      <x:c r="D1765" s="23"/>
      <x:c r="F1765" s="24"/>
    </x:row>
    <x:row r="1766">
      <x:c r="D1766" s="23"/>
      <x:c r="F1766" s="24"/>
    </x:row>
    <x:row r="1767">
      <x:c r="D1767" s="23"/>
      <x:c r="F1767" s="24"/>
    </x:row>
    <x:row r="1768">
      <x:c r="D1768" s="23"/>
      <x:c r="F1768" s="24"/>
    </x:row>
    <x:row r="1769">
      <x:c r="D1769" s="23"/>
      <x:c r="F1769" s="24"/>
    </x:row>
    <x:row r="1770">
      <x:c r="D1770" s="23"/>
      <x:c r="F1770" s="24"/>
    </x:row>
    <x:row r="1771">
      <x:c r="D1771" s="23"/>
      <x:c r="F1771" s="24"/>
    </x:row>
    <x:row r="1772">
      <x:c r="D1772" s="23"/>
      <x:c r="F1772" s="24"/>
    </x:row>
    <x:row r="1773">
      <x:c r="D1773" s="23"/>
      <x:c r="F1773" s="24"/>
    </x:row>
    <x:row r="1774">
      <x:c r="D1774" s="23"/>
      <x:c r="F1774" s="24"/>
    </x:row>
    <x:row r="1775">
      <x:c r="D1775" s="23"/>
      <x:c r="F1775" s="24"/>
    </x:row>
    <x:row r="1776">
      <x:c r="D1776" s="23"/>
      <x:c r="F1776" s="24"/>
    </x:row>
    <x:row r="1777">
      <x:c r="D1777" s="23"/>
      <x:c r="F1777" s="24"/>
    </x:row>
    <x:row r="1778">
      <x:c r="D1778" s="23"/>
      <x:c r="F1778" s="24"/>
    </x:row>
    <x:row r="1779">
      <x:c r="D1779" s="23"/>
      <x:c r="F1779" s="24"/>
    </x:row>
    <x:row r="1780">
      <x:c r="D1780" s="23"/>
      <x:c r="F1780" s="24"/>
    </x:row>
    <x:row r="1781">
      <x:c r="D1781" s="23"/>
      <x:c r="F1781" s="24"/>
    </x:row>
    <x:row r="1782">
      <x:c r="D1782" s="23"/>
      <x:c r="F1782" s="24"/>
    </x:row>
    <x:row r="1783">
      <x:c r="D1783" s="23"/>
      <x:c r="F1783" s="24"/>
    </x:row>
    <x:row r="1784">
      <x:c r="D1784" s="23"/>
      <x:c r="F1784" s="24"/>
    </x:row>
    <x:row r="1785">
      <x:c r="D1785" s="23"/>
      <x:c r="F1785" s="24"/>
    </x:row>
    <x:row r="1786">
      <x:c r="D1786" s="23"/>
      <x:c r="F1786" s="24"/>
    </x:row>
    <x:row r="1787">
      <x:c r="D1787" s="23"/>
      <x:c r="F1787" s="24"/>
    </x:row>
    <x:row r="1788">
      <x:c r="D1788" s="23"/>
      <x:c r="F1788" s="24"/>
    </x:row>
    <x:row r="1789">
      <x:c r="D1789" s="23"/>
      <x:c r="F1789" s="24"/>
    </x:row>
    <x:row r="1790">
      <x:c r="D1790" s="23"/>
      <x:c r="F1790" s="24"/>
    </x:row>
    <x:row r="1791">
      <x:c r="D1791" s="23"/>
      <x:c r="F1791" s="24"/>
    </x:row>
    <x:row r="1792">
      <x:c r="D1792" s="23"/>
      <x:c r="F1792" s="24"/>
    </x:row>
    <x:row r="1793">
      <x:c r="D1793" s="23"/>
      <x:c r="F1793" s="24"/>
    </x:row>
    <x:row r="1794">
      <x:c r="D1794" s="23"/>
      <x:c r="F1794" s="24"/>
    </x:row>
    <x:row r="1795">
      <x:c r="D1795" s="23"/>
      <x:c r="F1795" s="24"/>
    </x:row>
    <x:row r="1796">
      <x:c r="D1796" s="23"/>
      <x:c r="F1796" s="24"/>
    </x:row>
    <x:row r="1797">
      <x:c r="D1797" s="23"/>
      <x:c r="F1797" s="24"/>
    </x:row>
    <x:row r="1798">
      <x:c r="D1798" s="23"/>
      <x:c r="F1798" s="24"/>
    </x:row>
    <x:row r="1799">
      <x:c r="D1799" s="23"/>
      <x:c r="F1799" s="24"/>
    </x:row>
    <x:row r="1800">
      <x:c r="D1800" s="23"/>
      <x:c r="F1800" s="24"/>
    </x:row>
    <x:row r="1801">
      <x:c r="D1801" s="23"/>
      <x:c r="F1801" s="24"/>
    </x:row>
    <x:row r="1802">
      <x:c r="D1802" s="23"/>
      <x:c r="F1802" s="24"/>
    </x:row>
    <x:row r="1803">
      <x:c r="D1803" s="23"/>
      <x:c r="F1803" s="24"/>
    </x:row>
    <x:row r="1804">
      <x:c r="D1804" s="23"/>
      <x:c r="F1804" s="24"/>
    </x:row>
    <x:row r="1805">
      <x:c r="D1805" s="23"/>
      <x:c r="F1805" s="24"/>
    </x:row>
    <x:row r="1806">
      <x:c r="D1806" s="23"/>
      <x:c r="F1806" s="24"/>
    </x:row>
    <x:row r="1807">
      <x:c r="D1807" s="23"/>
      <x:c r="F1807" s="24"/>
    </x:row>
    <x:row r="1808">
      <x:c r="D1808" s="23"/>
      <x:c r="F1808" s="24"/>
    </x:row>
    <x:row r="1809">
      <x:c r="D1809" s="23"/>
      <x:c r="F1809" s="24"/>
    </x:row>
    <x:row r="1810">
      <x:c r="D1810" s="23"/>
      <x:c r="F1810" s="24"/>
    </x:row>
    <x:row r="1811">
      <x:c r="D1811" s="23"/>
      <x:c r="F1811" s="24"/>
    </x:row>
    <x:row r="1812">
      <x:c r="D1812" s="23"/>
      <x:c r="F1812" s="24"/>
    </x:row>
    <x:row r="1813">
      <x:c r="D1813" s="23"/>
      <x:c r="F1813" s="24"/>
    </x:row>
    <x:row r="1814">
      <x:c r="D1814" s="23"/>
      <x:c r="F1814" s="24"/>
    </x:row>
    <x:row r="1815">
      <x:c r="D1815" s="23"/>
      <x:c r="F1815" s="24"/>
    </x:row>
    <x:row r="1816">
      <x:c r="D1816" s="23"/>
      <x:c r="F1816" s="24"/>
    </x:row>
    <x:row r="1817">
      <x:c r="D1817" s="23"/>
      <x:c r="F1817" s="24"/>
    </x:row>
    <x:row r="1818">
      <x:c r="D1818" s="23"/>
      <x:c r="F1818" s="24"/>
    </x:row>
    <x:row r="1819">
      <x:c r="D1819" s="23"/>
      <x:c r="F1819" s="24"/>
    </x:row>
    <x:row r="1820">
      <x:c r="D1820" s="23"/>
      <x:c r="F1820" s="24"/>
    </x:row>
    <x:row r="1821">
      <x:c r="D1821" s="23"/>
      <x:c r="F1821" s="24"/>
    </x:row>
    <x:row r="1822">
      <x:c r="D1822" s="23"/>
      <x:c r="F1822" s="24"/>
    </x:row>
    <x:row r="1823">
      <x:c r="D1823" s="23"/>
      <x:c r="F1823" s="24"/>
    </x:row>
    <x:row r="1824">
      <x:c r="D1824" s="23"/>
      <x:c r="F1824" s="24"/>
    </x:row>
    <x:row r="1825">
      <x:c r="D1825" s="23"/>
      <x:c r="F1825" s="24"/>
    </x:row>
    <x:row r="1826">
      <x:c r="D1826" s="23"/>
      <x:c r="F1826" s="24"/>
    </x:row>
    <x:row r="1827">
      <x:c r="D1827" s="23"/>
      <x:c r="F1827" s="24"/>
    </x:row>
    <x:row r="1828">
      <x:c r="D1828" s="23"/>
      <x:c r="F1828" s="24"/>
    </x:row>
    <x:row r="1829">
      <x:c r="D1829" s="23"/>
      <x:c r="F1829" s="24"/>
    </x:row>
    <x:row r="1830">
      <x:c r="D1830" s="23"/>
      <x:c r="F1830" s="24"/>
    </x:row>
    <x:row r="1831">
      <x:c r="D1831" s="23"/>
      <x:c r="F1831" s="24"/>
    </x:row>
    <x:row r="1832">
      <x:c r="D1832" s="23"/>
      <x:c r="F1832" s="24"/>
    </x:row>
    <x:row r="1833">
      <x:c r="D1833" s="23"/>
      <x:c r="F1833" s="24"/>
    </x:row>
    <x:row r="1834">
      <x:c r="D1834" s="23"/>
      <x:c r="F1834" s="24"/>
    </x:row>
    <x:row r="1835">
      <x:c r="D1835" s="23"/>
      <x:c r="F1835" s="24"/>
    </x:row>
    <x:row r="1836">
      <x:c r="D1836" s="23"/>
      <x:c r="F1836" s="24"/>
    </x:row>
    <x:row r="1837">
      <x:c r="D1837" s="23"/>
      <x:c r="F1837" s="24"/>
    </x:row>
    <x:row r="1838">
      <x:c r="D1838" s="23"/>
      <x:c r="F1838" s="24"/>
    </x:row>
    <x:row r="1839">
      <x:c r="D1839" s="23"/>
      <x:c r="F1839" s="24"/>
    </x:row>
    <x:row r="1840">
      <x:c r="D1840" s="23"/>
      <x:c r="F1840" s="24"/>
    </x:row>
    <x:row r="1841">
      <x:c r="D1841" s="23"/>
      <x:c r="F1841" s="24"/>
    </x:row>
    <x:row r="1842">
      <x:c r="D1842" s="23"/>
      <x:c r="F1842" s="24"/>
    </x:row>
    <x:row r="1843">
      <x:c r="D1843" s="23"/>
      <x:c r="F1843" s="24"/>
    </x:row>
    <x:row r="1844">
      <x:c r="D1844" s="23"/>
      <x:c r="F1844" s="24"/>
    </x:row>
    <x:row r="1845">
      <x:c r="D1845" s="23"/>
      <x:c r="F1845" s="24"/>
    </x:row>
    <x:row r="1846">
      <x:c r="D1846" s="23"/>
      <x:c r="F1846" s="24"/>
    </x:row>
    <x:row r="1847">
      <x:c r="D1847" s="23"/>
      <x:c r="F1847" s="24"/>
    </x:row>
    <x:row r="1848">
      <x:c r="D1848" s="23"/>
      <x:c r="F1848" s="24"/>
    </x:row>
    <x:row r="1849">
      <x:c r="D1849" s="23"/>
      <x:c r="F1849" s="24"/>
    </x:row>
    <x:row r="1850">
      <x:c r="D1850" s="23"/>
      <x:c r="F1850" s="24"/>
    </x:row>
    <x:row r="1851">
      <x:c r="D1851" s="23"/>
      <x:c r="F1851" s="24"/>
    </x:row>
    <x:row r="1852">
      <x:c r="D1852" s="23"/>
      <x:c r="F1852" s="24"/>
    </x:row>
    <x:row r="1853">
      <x:c r="D1853" s="23"/>
      <x:c r="F1853" s="24"/>
    </x:row>
    <x:row r="1854">
      <x:c r="D1854" s="23"/>
      <x:c r="F1854" s="24"/>
    </x:row>
    <x:row r="1855">
      <x:c r="D1855" s="23"/>
      <x:c r="F1855" s="24"/>
    </x:row>
    <x:row r="1856">
      <x:c r="D1856" s="23"/>
      <x:c r="F1856" s="24"/>
    </x:row>
    <x:row r="1857">
      <x:c r="D1857" s="23"/>
      <x:c r="F1857" s="24"/>
    </x:row>
    <x:row r="1858">
      <x:c r="D1858" s="23"/>
      <x:c r="F1858" s="24"/>
    </x:row>
    <x:row r="1859">
      <x:c r="D1859" s="23"/>
      <x:c r="F1859" s="24"/>
    </x:row>
    <x:row r="1860">
      <x:c r="D1860" s="23"/>
      <x:c r="F1860" s="24"/>
    </x:row>
    <x:row r="1861">
      <x:c r="D1861" s="23"/>
      <x:c r="F1861" s="24"/>
    </x:row>
    <x:row r="1862">
      <x:c r="D1862" s="23"/>
      <x:c r="F1862" s="24"/>
    </x:row>
    <x:row r="1863">
      <x:c r="D1863" s="23"/>
      <x:c r="F1863" s="24"/>
    </x:row>
    <x:row r="1864">
      <x:c r="D1864" s="23"/>
      <x:c r="F1864" s="24"/>
    </x:row>
    <x:row r="1865">
      <x:c r="D1865" s="23"/>
      <x:c r="F1865" s="24"/>
    </x:row>
    <x:row r="1866">
      <x:c r="D1866" s="23"/>
      <x:c r="F1866" s="24"/>
    </x:row>
    <x:row r="1867">
      <x:c r="D1867" s="23"/>
      <x:c r="F1867" s="24"/>
    </x:row>
    <x:row r="1868">
      <x:c r="D1868" s="23"/>
      <x:c r="F1868" s="24"/>
    </x:row>
    <x:row r="1869">
      <x:c r="D1869" s="23"/>
      <x:c r="F1869" s="24"/>
    </x:row>
    <x:row r="1870">
      <x:c r="D1870" s="23"/>
      <x:c r="F1870" s="24"/>
    </x:row>
    <x:row r="1871">
      <x:c r="D1871" s="23"/>
      <x:c r="F1871" s="24"/>
    </x:row>
    <x:row r="1872">
      <x:c r="D1872" s="23"/>
      <x:c r="F1872" s="24"/>
    </x:row>
    <x:row r="1873">
      <x:c r="D1873" s="23"/>
      <x:c r="F1873" s="24"/>
    </x:row>
    <x:row r="1874">
      <x:c r="D1874" s="23"/>
      <x:c r="F1874" s="24"/>
    </x:row>
    <x:row r="1875">
      <x:c r="D1875" s="23"/>
      <x:c r="F1875" s="24"/>
    </x:row>
    <x:row r="1876">
      <x:c r="D1876" s="23"/>
      <x:c r="F1876" s="24"/>
    </x:row>
    <x:row r="1877">
      <x:c r="D1877" s="23"/>
      <x:c r="F1877" s="24"/>
    </x:row>
    <x:row r="1878">
      <x:c r="D1878" s="23"/>
      <x:c r="F1878" s="24"/>
    </x:row>
    <x:row r="1879">
      <x:c r="D1879" s="23"/>
      <x:c r="F1879" s="24"/>
    </x:row>
    <x:row r="1880">
      <x:c r="D1880" s="23"/>
      <x:c r="F1880" s="24"/>
    </x:row>
    <x:row r="1881">
      <x:c r="D1881" s="23"/>
      <x:c r="F1881" s="24"/>
    </x:row>
    <x:row r="1882">
      <x:c r="D1882" s="23"/>
      <x:c r="F1882" s="24"/>
    </x:row>
    <x:row r="1883">
      <x:c r="D1883" s="23"/>
      <x:c r="F1883" s="24"/>
    </x:row>
    <x:row r="1884">
      <x:c r="D1884" s="23"/>
      <x:c r="F1884" s="24"/>
    </x:row>
    <x:row r="1885">
      <x:c r="D1885" s="23"/>
      <x:c r="F1885" s="24"/>
    </x:row>
    <x:row r="1886">
      <x:c r="D1886" s="23"/>
      <x:c r="F1886" s="24"/>
    </x:row>
    <x:row r="1887">
      <x:c r="D1887" s="23"/>
      <x:c r="F1887" s="24"/>
    </x:row>
    <x:row r="1888">
      <x:c r="D1888" s="23"/>
      <x:c r="F1888" s="24"/>
    </x:row>
    <x:row r="1889">
      <x:c r="D1889" s="23"/>
      <x:c r="F1889" s="24"/>
    </x:row>
    <x:row r="1890">
      <x:c r="D1890" s="23"/>
      <x:c r="F1890" s="24"/>
    </x:row>
    <x:row r="1891">
      <x:c r="D1891" s="23"/>
      <x:c r="F1891" s="24"/>
    </x:row>
    <x:row r="1892">
      <x:c r="D1892" s="23"/>
      <x:c r="F1892" s="24"/>
    </x:row>
    <x:row r="1893">
      <x:c r="D1893" s="23"/>
      <x:c r="F1893" s="24"/>
    </x:row>
    <x:row r="1894">
      <x:c r="D1894" s="23"/>
      <x:c r="F1894" s="24"/>
    </x:row>
    <x:row r="1895">
      <x:c r="D1895" s="23"/>
      <x:c r="F1895" s="24"/>
    </x:row>
    <x:row r="1896">
      <x:c r="D1896" s="23"/>
      <x:c r="F1896" s="24"/>
    </x:row>
    <x:row r="1897">
      <x:c r="D1897" s="23"/>
      <x:c r="F1897" s="24"/>
    </x:row>
    <x:row r="1898">
      <x:c r="D1898" s="23"/>
      <x:c r="F1898" s="24"/>
    </x:row>
    <x:row r="1899">
      <x:c r="D1899" s="23"/>
      <x:c r="F1899" s="24"/>
    </x:row>
    <x:row r="1900">
      <x:c r="D1900" s="23"/>
      <x:c r="F1900" s="24"/>
    </x:row>
    <x:row r="1901">
      <x:c r="D1901" s="23"/>
      <x:c r="F1901" s="24"/>
    </x:row>
    <x:row r="1902">
      <x:c r="D1902" s="23"/>
      <x:c r="F1902" s="24"/>
    </x:row>
    <x:row r="1903">
      <x:c r="D1903" s="23"/>
      <x:c r="F1903" s="24"/>
    </x:row>
    <x:row r="1904">
      <x:c r="D1904" s="23"/>
      <x:c r="F1904" s="24"/>
    </x:row>
    <x:row r="1905">
      <x:c r="D1905" s="23"/>
      <x:c r="F1905" s="24"/>
    </x:row>
    <x:row r="1906">
      <x:c r="D1906" s="23"/>
      <x:c r="F1906" s="24"/>
    </x:row>
    <x:row r="1907">
      <x:c r="D1907" s="23"/>
      <x:c r="F1907" s="24"/>
    </x:row>
    <x:row r="1908">
      <x:c r="D1908" s="23"/>
      <x:c r="F1908" s="24"/>
    </x:row>
    <x:row r="1909">
      <x:c r="D1909" s="23"/>
      <x:c r="F1909" s="24"/>
    </x:row>
    <x:row r="1910">
      <x:c r="D1910" s="23"/>
      <x:c r="F1910" s="24"/>
    </x:row>
    <x:row r="1911">
      <x:c r="D1911" s="23"/>
      <x:c r="F1911" s="24"/>
    </x:row>
    <x:row r="1912">
      <x:c r="D1912" s="23"/>
      <x:c r="F1912" s="24"/>
    </x:row>
    <x:row r="1913">
      <x:c r="D1913" s="23"/>
      <x:c r="F1913" s="24"/>
    </x:row>
    <x:row r="1914">
      <x:c r="D1914" s="23"/>
      <x:c r="F1914" s="24"/>
    </x:row>
    <x:row r="1915">
      <x:c r="D1915" s="23"/>
      <x:c r="F1915" s="24"/>
    </x:row>
    <x:row r="1916">
      <x:c r="D1916" s="23"/>
      <x:c r="F1916" s="24"/>
    </x:row>
    <x:row r="1917">
      <x:c r="D1917" s="23"/>
      <x:c r="F1917" s="24"/>
    </x:row>
    <x:row r="1918">
      <x:c r="D1918" s="23"/>
      <x:c r="F1918" s="24"/>
    </x:row>
    <x:row r="1919">
      <x:c r="D1919" s="23"/>
      <x:c r="F1919" s="24"/>
    </x:row>
    <x:row r="1920">
      <x:c r="D1920" s="23"/>
      <x:c r="F1920" s="24"/>
    </x:row>
    <x:row r="1921">
      <x:c r="D1921" s="23"/>
      <x:c r="F1921" s="24"/>
    </x:row>
    <x:row r="1922">
      <x:c r="D1922" s="23"/>
      <x:c r="F1922" s="24"/>
    </x:row>
    <x:row r="1923">
      <x:c r="D1923" s="23"/>
      <x:c r="F1923" s="24"/>
    </x:row>
    <x:row r="1924">
      <x:c r="D1924" s="23"/>
      <x:c r="F1924" s="24"/>
    </x:row>
    <x:row r="1925">
      <x:c r="D1925" s="23"/>
      <x:c r="F1925" s="24"/>
    </x:row>
    <x:row r="1926">
      <x:c r="D1926" s="23"/>
      <x:c r="F1926" s="24"/>
    </x:row>
    <x:row r="1927">
      <x:c r="D1927" s="23"/>
      <x:c r="F1927" s="24"/>
    </x:row>
    <x:row r="1928">
      <x:c r="D1928" s="23"/>
      <x:c r="F1928" s="24"/>
    </x:row>
    <x:row r="1929">
      <x:c r="D1929" s="23"/>
      <x:c r="F1929" s="24"/>
    </x:row>
    <x:row r="1930">
      <x:c r="D1930" s="23"/>
      <x:c r="F1930" s="24"/>
    </x:row>
    <x:row r="1931">
      <x:c r="D1931" s="23"/>
      <x:c r="F1931" s="24"/>
    </x:row>
    <x:row r="1932">
      <x:c r="D1932" s="23"/>
      <x:c r="F1932" s="24"/>
    </x:row>
    <x:row r="1933">
      <x:c r="D1933" s="23"/>
      <x:c r="F1933" s="24"/>
    </x:row>
    <x:row r="1934">
      <x:c r="D1934" s="23"/>
      <x:c r="F1934" s="24"/>
    </x:row>
    <x:row r="1935">
      <x:c r="D1935" s="23"/>
      <x:c r="F1935" s="24"/>
    </x:row>
    <x:row r="1936">
      <x:c r="D1936" s="23"/>
      <x:c r="F1936" s="24"/>
    </x:row>
    <x:row r="1937">
      <x:c r="D1937" s="23"/>
      <x:c r="F1937" s="24"/>
    </x:row>
    <x:row r="1938">
      <x:c r="D1938" s="23"/>
      <x:c r="F1938" s="24"/>
    </x:row>
    <x:row r="1939">
      <x:c r="D1939" s="23"/>
      <x:c r="F1939" s="24"/>
    </x:row>
    <x:row r="1940">
      <x:c r="D1940" s="23"/>
      <x:c r="F1940" s="24"/>
    </x:row>
    <x:row r="1941">
      <x:c r="D1941" s="23"/>
      <x:c r="F1941" s="24"/>
    </x:row>
    <x:row r="1942">
      <x:c r="D1942" s="23"/>
      <x:c r="F1942" s="24"/>
    </x:row>
    <x:row r="1943">
      <x:c r="D1943" s="23"/>
      <x:c r="F1943" s="24"/>
    </x:row>
    <x:row r="1944">
      <x:c r="D1944" s="23"/>
      <x:c r="F1944" s="24"/>
    </x:row>
    <x:row r="1945">
      <x:c r="D1945" s="23"/>
      <x:c r="F1945" s="24"/>
    </x:row>
    <x:row r="1946">
      <x:c r="D1946" s="23"/>
      <x:c r="F1946" s="24"/>
    </x:row>
    <x:row r="1947">
      <x:c r="D1947" s="23"/>
      <x:c r="F1947" s="24"/>
    </x:row>
    <x:row r="1948">
      <x:c r="D1948" s="23"/>
      <x:c r="F1948" s="24"/>
    </x:row>
    <x:row r="1949">
      <x:c r="D1949" s="23"/>
      <x:c r="F1949" s="24"/>
    </x:row>
    <x:row r="1950">
      <x:c r="D1950" s="23"/>
      <x:c r="F1950" s="24"/>
    </x:row>
    <x:row r="1951">
      <x:c r="D1951" s="23"/>
      <x:c r="F1951" s="24"/>
    </x:row>
    <x:row r="1952">
      <x:c r="D1952" s="23"/>
      <x:c r="F1952" s="24"/>
    </x:row>
    <x:row r="1953">
      <x:c r="D1953" s="23"/>
      <x:c r="F1953" s="24"/>
    </x:row>
    <x:row r="1954">
      <x:c r="D1954" s="23"/>
      <x:c r="F1954" s="24"/>
    </x:row>
    <x:row r="1955">
      <x:c r="D1955" s="23"/>
      <x:c r="F1955" s="24"/>
    </x:row>
    <x:row r="1956">
      <x:c r="D1956" s="23"/>
      <x:c r="F1956" s="24"/>
    </x:row>
    <x:row r="1957">
      <x:c r="D1957" s="23"/>
      <x:c r="F1957" s="24"/>
    </x:row>
    <x:row r="1958">
      <x:c r="D1958" s="23"/>
      <x:c r="F1958" s="24"/>
    </x:row>
    <x:row r="1959">
      <x:c r="D1959" s="23"/>
      <x:c r="F1959" s="24"/>
    </x:row>
    <x:row r="1960">
      <x:c r="D1960" s="23"/>
      <x:c r="F1960" s="24"/>
    </x:row>
    <x:row r="1961">
      <x:c r="D1961" s="23"/>
      <x:c r="F1961" s="24"/>
    </x:row>
    <x:row r="1962">
      <x:c r="D1962" s="23"/>
      <x:c r="F1962" s="24"/>
    </x:row>
    <x:row r="1963">
      <x:c r="D1963" s="23"/>
      <x:c r="F1963" s="24"/>
    </x:row>
    <x:row r="1964">
      <x:c r="D1964" s="23"/>
      <x:c r="F1964" s="24"/>
    </x:row>
    <x:row r="1965">
      <x:c r="D1965" s="23"/>
      <x:c r="F1965" s="24"/>
    </x:row>
    <x:row r="1966">
      <x:c r="D1966" s="23"/>
      <x:c r="F1966" s="24"/>
    </x:row>
    <x:row r="1967">
      <x:c r="D1967" s="23"/>
      <x:c r="F1967" s="24"/>
    </x:row>
    <x:row r="1968">
      <x:c r="D1968" s="23"/>
      <x:c r="F1968" s="24"/>
    </x:row>
    <x:row r="1969">
      <x:c r="D1969" s="23"/>
      <x:c r="F1969" s="24"/>
    </x:row>
    <x:row r="1970">
      <x:c r="D1970" s="23"/>
      <x:c r="F1970" s="24"/>
    </x:row>
    <x:row r="1971">
      <x:c r="D1971" s="23"/>
      <x:c r="F1971" s="24"/>
    </x:row>
    <x:row r="1972">
      <x:c r="D1972" s="23"/>
      <x:c r="F1972" s="24"/>
    </x:row>
    <x:row r="1973">
      <x:c r="D1973" s="23"/>
      <x:c r="F1973" s="24"/>
    </x:row>
    <x:row r="1974">
      <x:c r="D1974" s="23"/>
      <x:c r="F1974" s="24"/>
    </x:row>
    <x:row r="1975">
      <x:c r="D1975" s="23"/>
      <x:c r="F1975" s="24"/>
    </x:row>
    <x:row r="1976">
      <x:c r="D1976" s="23"/>
      <x:c r="F1976" s="24"/>
    </x:row>
    <x:row r="1977">
      <x:c r="D1977" s="23"/>
      <x:c r="F1977" s="24"/>
    </x:row>
    <x:row r="1978">
      <x:c r="D1978" s="23"/>
      <x:c r="F1978" s="24"/>
    </x:row>
    <x:row r="1979">
      <x:c r="D1979" s="23"/>
      <x:c r="F1979" s="24"/>
    </x:row>
    <x:row r="1980">
      <x:c r="D1980" s="23"/>
      <x:c r="F1980" s="24"/>
    </x:row>
    <x:row r="1981">
      <x:c r="D1981" s="23"/>
      <x:c r="F1981" s="24"/>
    </x:row>
    <x:row r="1982">
      <x:c r="D1982" s="23"/>
      <x:c r="F1982" s="24"/>
    </x:row>
    <x:row r="1983">
      <x:c r="D1983" s="23"/>
      <x:c r="F1983" s="24"/>
    </x:row>
    <x:row r="1984">
      <x:c r="D1984" s="23"/>
      <x:c r="F1984" s="24"/>
    </x:row>
    <x:row r="1985">
      <x:c r="D1985" s="23"/>
      <x:c r="F1985" s="24"/>
    </x:row>
    <x:row r="1986">
      <x:c r="D1986" s="23"/>
      <x:c r="F1986" s="24"/>
    </x:row>
    <x:row r="1987">
      <x:c r="D1987" s="23"/>
      <x:c r="F1987" s="24"/>
    </x:row>
    <x:row r="1988">
      <x:c r="D1988" s="23"/>
      <x:c r="F1988" s="24"/>
    </x:row>
    <x:row r="1989">
      <x:c r="D1989" s="23"/>
      <x:c r="F1989" s="24"/>
    </x:row>
    <x:row r="1990">
      <x:c r="D1990" s="23"/>
      <x:c r="F1990" s="24"/>
    </x:row>
    <x:row r="1991">
      <x:c r="D1991" s="23"/>
      <x:c r="F1991" s="24"/>
    </x:row>
    <x:row r="1992">
      <x:c r="D1992" s="23"/>
      <x:c r="F1992" s="24"/>
    </x:row>
    <x:row r="1993">
      <x:c r="D1993" s="23"/>
      <x:c r="F1993" s="24"/>
    </x:row>
    <x:row r="1994">
      <x:c r="D1994" s="23"/>
      <x:c r="F1994" s="24"/>
    </x:row>
    <x:row r="1995">
      <x:c r="D1995" s="23"/>
      <x:c r="F1995" s="24"/>
    </x:row>
    <x:row r="1996">
      <x:c r="D1996" s="23"/>
      <x:c r="F1996" s="24"/>
    </x:row>
    <x:row r="1997">
      <x:c r="D1997" s="23"/>
      <x:c r="F1997" s="24"/>
    </x:row>
    <x:row r="1998">
      <x:c r="D1998" s="23"/>
      <x:c r="F1998" s="24"/>
    </x:row>
    <x:row r="1999">
      <x:c r="D1999" s="23"/>
      <x:c r="F1999" s="24"/>
    </x:row>
    <x:row r="2000">
      <x:c r="D2000" s="23"/>
      <x:c r="F2000" s="24"/>
    </x:row>
    <x:row r="2001">
      <x:c r="D2001" s="23"/>
      <x:c r="F2001" s="24"/>
    </x:row>
    <x:row r="2002">
      <x:c r="D2002" s="23"/>
      <x:c r="F2002" s="24"/>
    </x:row>
    <x:row r="2003">
      <x:c r="D2003" s="23"/>
      <x:c r="F2003" s="24"/>
    </x:row>
    <x:row r="2004">
      <x:c r="D2004" s="23"/>
      <x:c r="F2004" s="24"/>
    </x:row>
  </x:sheetData>
  <x:dataValidations count="2">
    <x:dataValidation type="list" sqref="B5:B2004">
      <x:formula1>"MPS,PPS"</x:formula1>
    </x:dataValidation>
    <x:dataValidation type="whole" operator="between" sqref="H5:H2004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Job log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2" t="str">
        <x:v>One row per job. Record cost once even when a job returns many qubits.</x:v>
      </x:c>
      <x:c r="B3" s="22"/>
      <x:c r="C3" s="22"/>
      <x:c r="D3" s="22"/>
      <x:c r="E3" s="22"/>
      <x:c r="F3" s="22"/>
      <x:c r="G3" s="22"/>
      <x:c r="H3" s="22"/>
      <x:c r="I3" s="22"/>
      <x:c r="J3" s="22"/>
    </x:row>
    <x:row r="4" ht="30" customHeight="1">
      <x:c r="A4" s="16" t="str">
        <x:v>Job ID</x:v>
      </x:c>
      <x:c r="B4" s="16" t="str">
        <x:v>Method</x:v>
      </x:c>
      <x:c r="C4" s="16" t="str">
        <x:v>MPS χ</x:v>
      </x:c>
      <x:c r="D4" s="16" t="str">
        <x:v>PPS ε</x:v>
      </x:c>
      <x:c r="E4" s="16" t="str">
        <x:v>Transpile</x:v>
      </x:c>
      <x:c r="F4" s="16" t="str">
        <x:v>Status</x:v>
      </x:c>
      <x:c r="G4" s="16" t="str">
        <x:v>Qubits covered</x:v>
      </x:c>
      <x:c r="H4" s="16" t="str">
        <x:v>Wall s</x:v>
      </x:c>
      <x:c r="I4" s="16" t="str">
        <x:v>Credits</x:v>
      </x:c>
      <x:c r="J4" s="16" t="str">
        <x:v>Error or note</x:v>
      </x:c>
    </x:row>
    <x:row r="5">
      <x:c r="A5" s="6" t="inlineStr">
        <x:is>
          <x:t>xLjSr90vhktFxOAu</x:t>
        </x:is>
      </x:c>
      <x:c r="B5" s="6" t="inlineStr">
        <x:is>
          <x:t>PPS</x:t>
        </x:is>
      </x:c>
      <x:c r="C5" s="6"/>
      <x:c r="D5" s="11" t="n">
        <x:v>0.01</x:v>
      </x:c>
      <x:c r="E5" s="6" t="n">
        <x:v>2</x:v>
      </x:c>
      <x:c r="F5" s="6" t="inlineStr">
        <x:is>
          <x:t>canceled</x:t>
        </x:is>
      </x:c>
      <x:c r="G5" s="6" t="n">
        <x:v>14</x:v>
      </x:c>
      <x:c r="H5" s="7"/>
      <x:c r="I5" s="7"/>
      <x:c r="J5" s="6" t="inlineStr">
        <x:is>
          <x:t>estimated cost $25.00 &gt; cap $1.00; canceled</x:t>
        </x:is>
      </x:c>
    </x:row>
    <x:row r="6">
      <x:c r="A6" s="6" t="inlineStr">
        <x:is>
          <x:t>BFbDWmktTUpWbYqI</x:t>
        </x:is>
      </x:c>
      <x:c r="B6" s="6" t="inlineStr">
        <x:is>
          <x:t>MPS</x:t>
        </x:is>
      </x:c>
      <x:c r="C6" s="6" t="n">
        <x:v>64</x:v>
      </x:c>
      <x:c r="D6" s="11"/>
      <x:c r="E6" s="6"/>
      <x:c r="F6" s="6" t="inlineStr">
        <x:is>
          <x:t>canceled</x:t>
        </x:is>
      </x:c>
      <x:c r="G6" s="6" t="n">
        <x:v>14</x:v>
      </x:c>
      <x:c r="H6" s="7"/>
      <x:c r="I6" s="7"/>
      <x:c r="J6" s="6" t="inlineStr">
        <x:is>
          <x:t>estimated cost $0.72 &gt; cap $0.00; canceled</x:t>
        </x:is>
      </x:c>
    </x:row>
    <x:row r="7">
      <x:c r="A7" s="6" t="inlineStr">
        <x:is>
          <x:t>JTyo1vqmMTUHfJ8D</x:t>
        </x:is>
      </x:c>
      <x:c r="B7" s="6" t="inlineStr">
        <x:is>
          <x:t>MPS</x:t>
        </x:is>
      </x:c>
      <x:c r="C7" s="6" t="n">
        <x:v>16</x:v>
      </x:c>
      <x:c r="D7" s="11"/>
      <x:c r="E7" s="6"/>
      <x:c r="F7" s="6" t="inlineStr">
        <x:is>
          <x:t>succeeded</x:t>
        </x:is>
      </x:c>
      <x:c r="G7" s="6" t="n">
        <x:v>14</x:v>
      </x:c>
      <x:c r="H7" s="7" t="n">
        <x:v>8.364</x:v>
      </x:c>
      <x:c r="I7" s="7" t="n">
        <x:v>0</x:v>
      </x:c>
      <x:c r="J7" s="6" t="inlineStr">
        <x:is>
          <x:t>runner 82c548ded5a84fbc5d04</x:t>
        </x:is>
      </x:c>
    </x:row>
    <x:row r="8">
      <x:c r="A8" s="6" t="inlineStr">
        <x:is>
          <x:t>A0sXMYhBwkXDAXyc</x:t>
        </x:is>
      </x:c>
      <x:c r="B8" s="6" t="inlineStr">
        <x:is>
          <x:t>MPS</x:t>
        </x:is>
      </x:c>
      <x:c r="C8" s="6" t="n">
        <x:v>32</x:v>
      </x:c>
      <x:c r="D8" s="11"/>
      <x:c r="E8" s="6"/>
      <x:c r="F8" s="6" t="inlineStr">
        <x:is>
          <x:t>succeeded</x:t>
        </x:is>
      </x:c>
      <x:c r="G8" s="6" t="n">
        <x:v>14</x:v>
      </x:c>
      <x:c r="H8" s="7" t="n">
        <x:v>16.845</x:v>
      </x:c>
      <x:c r="I8" s="7" t="n">
        <x:v>0</x:v>
      </x:c>
      <x:c r="J8" s="6" t="inlineStr">
        <x:is>
          <x:t>runner 0f49d5036233b41f568b</x:t>
        </x:is>
      </x:c>
    </x:row>
    <x:row r="9">
      <x:c r="A9" s="6" t="inlineStr">
        <x:is>
          <x:t>AyBQ8SFRzgiSLSNm</x:t>
        </x:is>
      </x:c>
      <x:c r="B9" s="6" t="inlineStr">
        <x:is>
          <x:t>PPS</x:t>
        </x:is>
      </x:c>
      <x:c r="C9" s="6"/>
      <x:c r="D9" s="11" t="n">
        <x:v>0.1</x:v>
      </x:c>
      <x:c r="E9" s="6" t="n">
        <x:v>2</x:v>
      </x:c>
      <x:c r="F9" s="6" t="inlineStr">
        <x:is>
          <x:t>canceled</x:t>
        </x:is>
      </x:c>
      <x:c r="G9" s="6" t="n">
        <x:v>14</x:v>
      </x:c>
      <x:c r="H9" s="7"/>
      <x:c r="I9" s="7"/>
      <x:c r="J9" s="6" t="inlineStr">
        <x:is>
          <x:t>estimated cost $25.00 &gt; cap $0.00; canceled</x:t>
        </x:is>
      </x:c>
    </x:row>
    <x:row r="10">
      <x:c r="A10" s="6" t="inlineStr">
        <x:is>
          <x:t>d4XOVzXdMjqdwprT</x:t>
        </x:is>
      </x:c>
      <x:c r="B10" s="6" t="inlineStr">
        <x:is>
          <x:t>MPS</x:t>
        </x:is>
      </x:c>
      <x:c r="C10" s="6" t="n">
        <x:v>64</x:v>
      </x:c>
      <x:c r="D10" s="11"/>
      <x:c r="E10" s="6"/>
      <x:c r="F10" s="6" t="inlineStr">
        <x:is>
          <x:t>canceled</x:t>
        </x:is>
      </x:c>
      <x:c r="G10" s="6" t="n">
        <x:v>35</x:v>
      </x:c>
      <x:c r="H10" s="7"/>
      <x:c r="I10" s="7"/>
      <x:c r="J10" s="6" t="inlineStr">
        <x:is>
          <x:t>estimated cost $0.72 &gt; cap $0.00; canceled</x:t>
        </x:is>
      </x:c>
    </x:row>
    <x:row r="11">
      <x:c r="A11" s="6" t="inlineStr">
        <x:is>
          <x:t>Xv27KtBoXMRWlEWe</x:t>
        </x:is>
      </x:c>
      <x:c r="B11" s="6" t="inlineStr">
        <x:is>
          <x:t>PPS</x:t>
        </x:is>
      </x:c>
      <x:c r="C11" s="6"/>
      <x:c r="D11" s="11" t="n">
        <x:v>0.03</x:v>
      </x:c>
      <x:c r="E11" s="6" t="n">
        <x:v>2</x:v>
      </x:c>
      <x:c r="F11" s="6" t="inlineStr">
        <x:is>
          <x:t>canceled</x:t>
        </x:is>
      </x:c>
      <x:c r="G11" s="6" t="n">
        <x:v>35</x:v>
      </x:c>
      <x:c r="H11" s="7"/>
      <x:c r="I11" s="7"/>
      <x:c r="J11" s="6" t="inlineStr">
        <x:is>
          <x:t>estimated cost $25.00 &gt; cap $0.00; canceled</x:t>
        </x:is>
      </x:c>
    </x:row>
    <x:row r="12">
      <x:c r="A12" s="6" t="inlineStr">
        <x:is>
          <x:t>z4GAjiPa3FAXYbCb</x:t>
        </x:is>
      </x:c>
      <x:c r="B12" s="6" t="inlineStr">
        <x:is>
          <x:t>PPS</x:t>
        </x:is>
      </x:c>
      <x:c r="C12" s="6"/>
      <x:c r="D12" s="11" t="n">
        <x:v>0.01</x:v>
      </x:c>
      <x:c r="E12" s="6" t="n">
        <x:v>2</x:v>
      </x:c>
      <x:c r="F12" s="6" t="inlineStr">
        <x:is>
          <x:t>canceled</x:t>
        </x:is>
      </x:c>
      <x:c r="G12" s="6" t="n">
        <x:v>35</x:v>
      </x:c>
      <x:c r="H12" s="7"/>
      <x:c r="I12" s="7"/>
      <x:c r="J12" s="6" t="inlineStr">
        <x:is>
          <x:t>estimated cost $25.00 &gt; cap $0.00; canceled</x:t>
        </x:is>
      </x:c>
    </x:row>
    <x:row r="13">
      <x:c r="A13" s="6" t="inlineStr">
        <x:is>
          <x:t>dQzZrs8Cd3SopDKs</x:t>
        </x:is>
      </x:c>
      <x:c r="B13" s="6" t="inlineStr">
        <x:is>
          <x:t>MPS</x:t>
        </x:is>
      </x:c>
      <x:c r="C13" s="6" t="n">
        <x:v>48</x:v>
      </x:c>
      <x:c r="D13" s="11"/>
      <x:c r="E13" s="6"/>
      <x:c r="F13" s="6" t="inlineStr">
        <x:is>
          <x:t>canceled</x:t>
        </x:is>
      </x:c>
      <x:c r="G13" s="6" t="n">
        <x:v>14</x:v>
      </x:c>
      <x:c r="H13" s="7"/>
      <x:c r="I13" s="7"/>
      <x:c r="J13" s="6" t="inlineStr">
        <x:is>
          <x:t>estimated cost $0.46 &gt; cap $0.00; canceled</x:t>
        </x:is>
      </x:c>
    </x:row>
    <x:row r="14">
      <x:c r="A14" s="6" t="inlineStr">
        <x:is>
          <x:t>VWoXQeazdczLdx6W</x:t>
        </x:is>
      </x:c>
      <x:c r="B14" s="6" t="inlineStr">
        <x:is>
          <x:t>PPS</x:t>
        </x:is>
      </x:c>
      <x:c r="C14" s="6"/>
      <x:c r="D14" s="11" t="n">
        <x:v>0.01</x:v>
      </x:c>
      <x:c r="E14" s="6" t="n">
        <x:v>2</x:v>
      </x:c>
      <x:c r="F14" s="6" t="inlineStr">
        <x:is>
          <x:t>succeeded</x:t>
        </x:is>
      </x:c>
      <x:c r="G14" s="6" t="n">
        <x:v>35</x:v>
      </x:c>
      <x:c r="H14" s="7" t="n">
        <x:v>2.086</x:v>
      </x:c>
      <x:c r="I14" s="7" t="n">
        <x:v>0</x:v>
      </x:c>
      <x:c r="J14" s="6" t="inlineStr">
        <x:is>
          <x:t>runner 13a8c00c58c32d8a3956</x:t>
        </x:is>
      </x:c>
    </x:row>
    <x:row r="15">
      <x:c r="A15" s="6" t="inlineStr">
        <x:is>
          <x:t>5KUNVC5QHrAymzUx</x:t>
        </x:is>
      </x:c>
      <x:c r="B15" s="6" t="inlineStr">
        <x:is>
          <x:t>PPS</x:t>
        </x:is>
      </x:c>
      <x:c r="C15" s="6"/>
      <x:c r="D15" s="11" t="n">
        <x:v>0.003</x:v>
      </x:c>
      <x:c r="E15" s="6" t="n">
        <x:v>2</x:v>
      </x:c>
      <x:c r="F15" s="6" t="inlineStr">
        <x:is>
          <x:t>succeeded</x:t>
        </x:is>
      </x:c>
      <x:c r="G15" s="6" t="n">
        <x:v>14</x:v>
      </x:c>
      <x:c r="H15" s="7" t="n">
        <x:v>2.469</x:v>
      </x:c>
      <x:c r="I15" s="7" t="n">
        <x:v>0</x:v>
      </x:c>
      <x:c r="J15" s="6" t="inlineStr">
        <x:is>
          <x:t>runner 1f5e1e8197c062e2fe47</x:t>
        </x:is>
      </x:c>
    </x:row>
    <x:row r="16">
      <x:c r="A16" s="6" t="inlineStr">
        <x:is>
          <x:t>57pMdPeMAEdc2DgZ</x:t>
        </x:is>
      </x:c>
      <x:c r="B16" s="6" t="inlineStr">
        <x:is>
          <x:t>PPS</x:t>
        </x:is>
      </x:c>
      <x:c r="C16" s="6"/>
      <x:c r="D16" s="11" t="n">
        <x:v>0.001</x:v>
      </x:c>
      <x:c r="E16" s="6" t="n">
        <x:v>2</x:v>
      </x:c>
      <x:c r="F16" s="6" t="inlineStr">
        <x:is>
          <x:t>succeeded</x:t>
        </x:is>
      </x:c>
      <x:c r="G16" s="6" t="n">
        <x:v>14</x:v>
      </x:c>
      <x:c r="H16" s="7" t="n">
        <x:v>3.986</x:v>
      </x:c>
      <x:c r="I16" s="7" t="n">
        <x:v>0</x:v>
      </x:c>
      <x:c r="J16" s="6" t="inlineStr">
        <x:is>
          <x:t>runner c5928f8934a52d3c7731</x:t>
        </x:is>
      </x:c>
    </x:row>
    <x:row r="17">
      <x:c r="A17" s="6" t="inlineStr">
        <x:is>
          <x:t>yMEnGFlEcH8I1ZPk</x:t>
        </x:is>
      </x:c>
      <x:c r="B17" s="6" t="inlineStr">
        <x:is>
          <x:t>PPS</x:t>
        </x:is>
      </x:c>
      <x:c r="C17" s="6"/>
      <x:c r="D17" s="11" t="n">
        <x:v>0.001</x:v>
      </x:c>
      <x:c r="E17" s="6" t="n">
        <x:v>2</x:v>
      </x:c>
      <x:c r="F17" s="6" t="inlineStr">
        <x:is>
          <x:t>succeeded</x:t>
        </x:is>
      </x:c>
      <x:c r="G17" s="6" t="n">
        <x:v>35</x:v>
      </x:c>
      <x:c r="H17" s="7" t="n">
        <x:v>4.412</x:v>
      </x:c>
      <x:c r="I17" s="7" t="n">
        <x:v>0</x:v>
      </x:c>
      <x:c r="J17" s="6" t="inlineStr">
        <x:is>
          <x:t>runner 48c19ac36f45e05a44fa</x:t>
        </x:is>
      </x:c>
    </x:row>
    <x:row r="18">
      <x:c r="A18" s="6" t="inlineStr">
        <x:is>
          <x:t>ldnwoH4wloQwKNyt</x:t>
        </x:is>
      </x:c>
      <x:c r="B18" s="6" t="inlineStr">
        <x:is>
          <x:t>PPS</x:t>
        </x:is>
      </x:c>
      <x:c r="C18" s="6"/>
      <x:c r="D18" s="11" t="n">
        <x:v>0.003</x:v>
      </x:c>
      <x:c r="E18" s="6" t="n">
        <x:v>2</x:v>
      </x:c>
      <x:c r="F18" s="6" t="inlineStr">
        <x:is>
          <x:t>succeeded</x:t>
        </x:is>
      </x:c>
      <x:c r="G18" s="6" t="n">
        <x:v>35</x:v>
      </x:c>
      <x:c r="H18" s="7" t="n">
        <x:v>9.839</x:v>
      </x:c>
      <x:c r="I18" s="7" t="n">
        <x:v>0</x:v>
      </x:c>
      <x:c r="J18" s="6" t="inlineStr">
        <x:is>
          <x:t>runner 217f61fd98f5f9e7ce07</x:t>
        </x:is>
      </x:c>
    </x:row>
    <x:row r="19">
      <x:c r="A19" s="6" t="inlineStr">
        <x:is>
          <x:t>3Fa0CCXp3ULZsXV0</x:t>
        </x:is>
      </x:c>
      <x:c r="B19" s="6" t="inlineStr">
        <x:is>
          <x:t>PPS</x:t>
        </x:is>
      </x:c>
      <x:c r="C19" s="6"/>
      <x:c r="D19" s="11" t="n">
        <x:v>0.001</x:v>
      </x:c>
      <x:c r="E19" s="6" t="n">
        <x:v>2</x:v>
      </x:c>
      <x:c r="F19" s="6" t="inlineStr">
        <x:is>
          <x:t>succeeded</x:t>
        </x:is>
      </x:c>
      <x:c r="G19" s="6" t="n">
        <x:v>0</x:v>
      </x:c>
      <x:c r="H19" s="7" t="n">
        <x:v>4.413</x:v>
      </x:c>
      <x:c r="I19" s="7" t="n">
        <x:v>0</x:v>
      </x:c>
      <x:c r="J19" s="6" t="inlineStr">
        <x:is>
          <x:t>runner d694abe2d57ec21199e1</x:t>
        </x:is>
      </x:c>
    </x:row>
    <x:row r="20">
      <x:c r="A20" s="6" t="inlineStr">
        <x:is>
          <x:t>QO2hqO7jBLNGhfXK</x:t>
        </x:is>
      </x:c>
      <x:c r="B20" s="6" t="inlineStr">
        <x:is>
          <x:t>PPS</x:t>
        </x:is>
      </x:c>
      <x:c r="C20" s="6"/>
      <x:c r="D20" s="11" t="n">
        <x:v>0.001</x:v>
      </x:c>
      <x:c r="E20" s="6" t="n">
        <x:v>2</x:v>
      </x:c>
      <x:c r="F20" s="6" t="inlineStr">
        <x:is>
          <x:t>succeeded</x:t>
        </x:is>
      </x:c>
      <x:c r="G20" s="6" t="n">
        <x:v>2</x:v>
      </x:c>
      <x:c r="H20" s="7" t="n">
        <x:v>4.14</x:v>
      </x:c>
      <x:c r="I20" s="7" t="n">
        <x:v>0</x:v>
      </x:c>
      <x:c r="J20" s="6" t="inlineStr">
        <x:is>
          <x:t>runner b602d21948313a281054</x:t>
        </x:is>
      </x:c>
    </x:row>
    <x:row r="21">
      <x:c r="A21" t="inlineStr">
        <x:is>
          <x:t>WsaXsAIPdn5VZQXu</x:t>
        </x:is>
      </x:c>
      <x:c r="B21" t="inlineStr">
        <x:is>
          <x:t>PPS</x:t>
        </x:is>
      </x:c>
      <x:c r="C21"/>
      <x:c r="D21" s="23" t="n">
        <x:v>0.001</x:v>
      </x:c>
      <x:c r="E21" t="n">
        <x:v>2</x:v>
      </x:c>
      <x:c r="F21" t="inlineStr">
        <x:is>
          <x:t>succeeded</x:t>
        </x:is>
      </x:c>
      <x:c r="G21" t="n">
        <x:v>3</x:v>
      </x:c>
      <x:c r="H21" s="25" t="n">
        <x:v>4.68</x:v>
      </x:c>
      <x:c r="I21" s="25" t="n">
        <x:v>0</x:v>
      </x:c>
      <x:c r="J21" t="inlineStr">
        <x:is>
          <x:t>runner 2238aab16d1c76b1fb91</x:t>
        </x:is>
      </x:c>
    </x:row>
    <x:row r="22">
      <x:c r="A22" t="inlineStr">
        <x:is>
          <x:t>ftbLafyEY8mCVrDl</x:t>
        </x:is>
      </x:c>
      <x:c r="B22" t="inlineStr">
        <x:is>
          <x:t>PPS</x:t>
        </x:is>
      </x:c>
      <x:c r="C22"/>
      <x:c r="D22" s="23" t="n">
        <x:v>0.001</x:v>
      </x:c>
      <x:c r="E22" t="n">
        <x:v>2</x:v>
      </x:c>
      <x:c r="F22" t="inlineStr">
        <x:is>
          <x:t>succeeded</x:t>
        </x:is>
      </x:c>
      <x:c r="G22" t="n">
        <x:v>1</x:v>
      </x:c>
      <x:c r="H22" s="25" t="n">
        <x:v>12.679</x:v>
      </x:c>
      <x:c r="I22" s="25" t="n">
        <x:v>0</x:v>
      </x:c>
      <x:c r="J22" t="inlineStr">
        <x:is>
          <x:t>runner b81999956ba2242328d8</x:t>
        </x:is>
      </x:c>
    </x:row>
    <x:row r="23">
      <x:c r="A23" t="inlineStr">
        <x:is>
          <x:t>F7a2ojtGm7McNd5z</x:t>
        </x:is>
      </x:c>
      <x:c r="B23" t="inlineStr">
        <x:is>
          <x:t>PPS</x:t>
        </x:is>
      </x:c>
      <x:c r="C23"/>
      <x:c r="D23" s="23" t="n">
        <x:v>0.001</x:v>
      </x:c>
      <x:c r="E23" t="n">
        <x:v>2</x:v>
      </x:c>
      <x:c r="F23" t="inlineStr">
        <x:is>
          <x:t>succeeded</x:t>
        </x:is>
      </x:c>
      <x:c r="G23" t="n">
        <x:v>4</x:v>
      </x:c>
      <x:c r="H23" s="25" t="n">
        <x:v>12.349</x:v>
      </x:c>
      <x:c r="I23" s="25" t="n">
        <x:v>0</x:v>
      </x:c>
      <x:c r="J23" t="inlineStr">
        <x:is>
          <x:t>runner f7e0dfc4102cf9a47b8c</x:t>
        </x:is>
      </x:c>
    </x:row>
    <x:row r="24">
      <x:c r="A24" t="inlineStr">
        <x:is>
          <x:t>GXwS55neR4HMNoR9</x:t>
        </x:is>
      </x:c>
      <x:c r="B24" t="inlineStr">
        <x:is>
          <x:t>PPS</x:t>
        </x:is>
      </x:c>
      <x:c r="C24"/>
      <x:c r="D24" s="23" t="n">
        <x:v>0.001</x:v>
      </x:c>
      <x:c r="E24" t="n">
        <x:v>2</x:v>
      </x:c>
      <x:c r="F24" t="inlineStr">
        <x:is>
          <x:t>succeeded</x:t>
        </x:is>
      </x:c>
      <x:c r="G24" t="n">
        <x:v>5</x:v>
      </x:c>
      <x:c r="H24" s="25" t="n">
        <x:v>4.567</x:v>
      </x:c>
      <x:c r="I24" s="25" t="n">
        <x:v>0</x:v>
      </x:c>
      <x:c r="J24" t="inlineStr">
        <x:is>
          <x:t>runner 2113c295a1d7eaae1c6d</x:t>
        </x:is>
      </x:c>
    </x:row>
    <x:row r="25">
      <x:c r="A25" t="inlineStr">
        <x:is>
          <x:t>UWWy66SlnxSKhuZw</x:t>
        </x:is>
      </x:c>
      <x:c r="B25" t="inlineStr">
        <x:is>
          <x:t>PPS</x:t>
        </x:is>
      </x:c>
      <x:c r="C25"/>
      <x:c r="D25" s="23" t="n">
        <x:v>0.001</x:v>
      </x:c>
      <x:c r="E25" t="n">
        <x:v>2</x:v>
      </x:c>
      <x:c r="F25" t="inlineStr">
        <x:is>
          <x:t>succeeded</x:t>
        </x:is>
      </x:c>
      <x:c r="G25" t="n">
        <x:v>6</x:v>
      </x:c>
      <x:c r="H25" s="25" t="n">
        <x:v>4.098</x:v>
      </x:c>
      <x:c r="I25" s="25" t="n">
        <x:v>0</x:v>
      </x:c>
      <x:c r="J25" t="inlineStr">
        <x:is>
          <x:t>runner 37777ab7b8c4ca498a7c</x:t>
        </x:is>
      </x:c>
    </x:row>
    <x:row r="26">
      <x:c r="A26" t="inlineStr">
        <x:is>
          <x:t>AbGjPJRMypzyTDWz</x:t>
        </x:is>
      </x:c>
      <x:c r="B26" t="inlineStr">
        <x:is>
          <x:t>PPS</x:t>
        </x:is>
      </x:c>
      <x:c r="C26"/>
      <x:c r="D26" s="23" t="n">
        <x:v>0.001</x:v>
      </x:c>
      <x:c r="E26" t="n">
        <x:v>2</x:v>
      </x:c>
      <x:c r="F26" t="inlineStr">
        <x:is>
          <x:t>succeeded</x:t>
        </x:is>
      </x:c>
      <x:c r="G26" t="n">
        <x:v>7</x:v>
      </x:c>
      <x:c r="H26" s="25" t="n">
        <x:v>4.674</x:v>
      </x:c>
      <x:c r="I26" s="25" t="n">
        <x:v>0</x:v>
      </x:c>
      <x:c r="J26" t="inlineStr">
        <x:is>
          <x:t>runner 23e1f68f9198f732f375</x:t>
        </x:is>
      </x:c>
    </x:row>
    <x:row r="27">
      <x:c r="A27" t="inlineStr">
        <x:is>
          <x:t>hCuH1WHPxFoAzvEV</x:t>
        </x:is>
      </x:c>
      <x:c r="B27" t="inlineStr">
        <x:is>
          <x:t>PPS</x:t>
        </x:is>
      </x:c>
      <x:c r="C27"/>
      <x:c r="D27" s="23" t="n">
        <x:v>0.001</x:v>
      </x:c>
      <x:c r="E27" t="n">
        <x:v>2</x:v>
      </x:c>
      <x:c r="F27" t="inlineStr">
        <x:is>
          <x:t>succeeded</x:t>
        </x:is>
      </x:c>
      <x:c r="G27" t="n">
        <x:v>8</x:v>
      </x:c>
      <x:c r="H27" s="25" t="n">
        <x:v>4.619</x:v>
      </x:c>
      <x:c r="I27" s="25" t="n">
        <x:v>0</x:v>
      </x:c>
      <x:c r="J27" t="inlineStr">
        <x:is>
          <x:t>runner 7673ff64563fda849b0a</x:t>
        </x:is>
      </x:c>
    </x:row>
    <x:row r="28">
      <x:c r="A28" t="inlineStr">
        <x:is>
          <x:t>6RDaEaq6jISETpZF</x:t>
        </x:is>
      </x:c>
      <x:c r="B28" t="inlineStr">
        <x:is>
          <x:t>PPS</x:t>
        </x:is>
      </x:c>
      <x:c r="C28"/>
      <x:c r="D28" s="23" t="n">
        <x:v>0.001</x:v>
      </x:c>
      <x:c r="E28" t="n">
        <x:v>2</x:v>
      </x:c>
      <x:c r="F28" t="inlineStr">
        <x:is>
          <x:t>succeeded</x:t>
        </x:is>
      </x:c>
      <x:c r="G28" t="n">
        <x:v>10</x:v>
      </x:c>
      <x:c r="H28" s="25" t="n">
        <x:v>4.544</x:v>
      </x:c>
      <x:c r="I28" s="25" t="n">
        <x:v>0</x:v>
      </x:c>
      <x:c r="J28" t="inlineStr">
        <x:is>
          <x:t>runner 4b1b44b9567840857ea6</x:t>
        </x:is>
      </x:c>
    </x:row>
    <x:row r="29">
      <x:c r="A29" t="inlineStr">
        <x:is>
          <x:t>zNNuMMZpbiX8gRa8</x:t>
        </x:is>
      </x:c>
      <x:c r="B29" t="inlineStr">
        <x:is>
          <x:t>PPS</x:t>
        </x:is>
      </x:c>
      <x:c r="C29"/>
      <x:c r="D29" s="23" t="n">
        <x:v>0.001</x:v>
      </x:c>
      <x:c r="E29" t="n">
        <x:v>2</x:v>
      </x:c>
      <x:c r="F29" t="inlineStr">
        <x:is>
          <x:t>succeeded</x:t>
        </x:is>
      </x:c>
      <x:c r="G29" t="n">
        <x:v>11</x:v>
      </x:c>
      <x:c r="H29" s="25" t="n">
        <x:v>4.534</x:v>
      </x:c>
      <x:c r="I29" s="25" t="n">
        <x:v>0</x:v>
      </x:c>
      <x:c r="J29" t="inlineStr">
        <x:is>
          <x:t>runner 0749d34af0d01cfc753b</x:t>
        </x:is>
      </x:c>
    </x:row>
    <x:row r="30">
      <x:c r="A30" t="inlineStr">
        <x:is>
          <x:t>vlJvNrpXWdEEGrFq</x:t>
        </x:is>
      </x:c>
      <x:c r="B30" t="inlineStr">
        <x:is>
          <x:t>PPS</x:t>
        </x:is>
      </x:c>
      <x:c r="C30"/>
      <x:c r="D30" s="23" t="n">
        <x:v>0.001</x:v>
      </x:c>
      <x:c r="E30" t="n">
        <x:v>2</x:v>
      </x:c>
      <x:c r="F30" t="inlineStr">
        <x:is>
          <x:t>succeeded</x:t>
        </x:is>
      </x:c>
      <x:c r="G30" t="n">
        <x:v>9</x:v>
      </x:c>
      <x:c r="H30" s="25" t="n">
        <x:v>11.637</x:v>
      </x:c>
      <x:c r="I30" s="25" t="n">
        <x:v>0</x:v>
      </x:c>
      <x:c r="J30" t="inlineStr">
        <x:is>
          <x:t>runner a4dcbe97be0b50058a26</x:t>
        </x:is>
      </x:c>
    </x:row>
    <x:row r="31">
      <x:c r="A31" t="inlineStr">
        <x:is>
          <x:t>okgyWjc9gzlbdjeW</x:t>
        </x:is>
      </x:c>
      <x:c r="B31" t="inlineStr">
        <x:is>
          <x:t>PPS</x:t>
        </x:is>
      </x:c>
      <x:c r="C31"/>
      <x:c r="D31" s="23" t="n">
        <x:v>0.001</x:v>
      </x:c>
      <x:c r="E31" t="n">
        <x:v>2</x:v>
      </x:c>
      <x:c r="F31" t="inlineStr">
        <x:is>
          <x:t>succeeded</x:t>
        </x:is>
      </x:c>
      <x:c r="G31" t="n">
        <x:v>12</x:v>
      </x:c>
      <x:c r="H31" s="25" t="n">
        <x:v>4.843</x:v>
      </x:c>
      <x:c r="I31" s="25" t="n">
        <x:v>0</x:v>
      </x:c>
      <x:c r="J31" t="inlineStr">
        <x:is>
          <x:t>runner 4b730c9b8aa2a98f4607</x:t>
        </x:is>
      </x:c>
    </x:row>
    <x:row r="32">
      <x:c r="A32" t="inlineStr">
        <x:is>
          <x:t>ygiSwJEyXmyRM2CI</x:t>
        </x:is>
      </x:c>
      <x:c r="B32" t="inlineStr">
        <x:is>
          <x:t>PPS</x:t>
        </x:is>
      </x:c>
      <x:c r="C32"/>
      <x:c r="D32" s="23" t="n">
        <x:v>0.001</x:v>
      </x:c>
      <x:c r="E32" t="n">
        <x:v>2</x:v>
      </x:c>
      <x:c r="F32" t="inlineStr">
        <x:is>
          <x:t>succeeded</x:t>
        </x:is>
      </x:c>
      <x:c r="G32" t="n">
        <x:v>13</x:v>
      </x:c>
      <x:c r="H32" s="25" t="n">
        <x:v>4.363</x:v>
      </x:c>
      <x:c r="I32" s="25" t="n">
        <x:v>0</x:v>
      </x:c>
      <x:c r="J32" t="inlineStr">
        <x:is>
          <x:t>runner 1ed6f56248d89099343f</x:t>
        </x:is>
      </x:c>
    </x:row>
    <x:row r="33">
      <x:c r="A33" t="inlineStr">
        <x:is>
          <x:t>MHgh3EQQyn1Mz2Za</x:t>
        </x:is>
      </x:c>
      <x:c r="B33" t="inlineStr">
        <x:is>
          <x:t>PPS</x:t>
        </x:is>
      </x:c>
      <x:c r="C33"/>
      <x:c r="D33" s="23" t="n">
        <x:v>0.001</x:v>
      </x:c>
      <x:c r="E33" t="n">
        <x:v>2</x:v>
      </x:c>
      <x:c r="F33" t="inlineStr">
        <x:is>
          <x:t>succeeded</x:t>
        </x:is>
      </x:c>
      <x:c r="G33" t="n">
        <x:v>16</x:v>
      </x:c>
      <x:c r="H33" s="25" t="n">
        <x:v>4.38</x:v>
      </x:c>
      <x:c r="I33" s="25" t="n">
        <x:v>0</x:v>
      </x:c>
      <x:c r="J33" t="inlineStr">
        <x:is>
          <x:t>runner 59618f1f84c933c99c6f</x:t>
        </x:is>
      </x:c>
    </x:row>
    <x:row r="34">
      <x:c r="A34" t="inlineStr">
        <x:is>
          <x:t>SqPHwhhGkR40zMPZ</x:t>
        </x:is>
      </x:c>
      <x:c r="B34" t="inlineStr">
        <x:is>
          <x:t>PPS</x:t>
        </x:is>
      </x:c>
      <x:c r="C34"/>
      <x:c r="D34" s="23" t="n">
        <x:v>0.001</x:v>
      </x:c>
      <x:c r="E34" t="n">
        <x:v>2</x:v>
      </x:c>
      <x:c r="F34" t="inlineStr">
        <x:is>
          <x:t>succeeded</x:t>
        </x:is>
      </x:c>
      <x:c r="G34" t="n">
        <x:v>15</x:v>
      </x:c>
      <x:c r="H34" s="25" t="n">
        <x:v>12.216</x:v>
      </x:c>
      <x:c r="I34" s="25" t="n">
        <x:v>0</x:v>
      </x:c>
      <x:c r="J34" t="inlineStr">
        <x:is>
          <x:t>runner a3afe7e67d412ec430e4</x:t>
        </x:is>
      </x:c>
    </x:row>
    <x:row r="35">
      <x:c r="A35" t="inlineStr">
        <x:is>
          <x:t>QLDxTZQu8TNsWqqQ</x:t>
        </x:is>
      </x:c>
      <x:c r="B35" t="inlineStr">
        <x:is>
          <x:t>PPS</x:t>
        </x:is>
      </x:c>
      <x:c r="C35"/>
      <x:c r="D35" s="23" t="n">
        <x:v>0.001</x:v>
      </x:c>
      <x:c r="E35" t="n">
        <x:v>2</x:v>
      </x:c>
      <x:c r="F35" t="inlineStr">
        <x:is>
          <x:t>succeeded</x:t>
        </x:is>
      </x:c>
      <x:c r="G35" t="n">
        <x:v>17</x:v>
      </x:c>
      <x:c r="H35" s="25" t="n">
        <x:v>4.205</x:v>
      </x:c>
      <x:c r="I35" s="25" t="n">
        <x:v>0</x:v>
      </x:c>
      <x:c r="J35" t="inlineStr">
        <x:is>
          <x:t>runner 7357b7f0652f5cc8c66c</x:t>
        </x:is>
      </x:c>
    </x:row>
    <x:row r="36">
      <x:c r="A36" t="inlineStr">
        <x:is>
          <x:t>mmJI5I5N4Z4jbfUE</x:t>
        </x:is>
      </x:c>
      <x:c r="B36" t="inlineStr">
        <x:is>
          <x:t>PPS</x:t>
        </x:is>
      </x:c>
      <x:c r="C36"/>
      <x:c r="D36" s="23" t="n">
        <x:v>0.001</x:v>
      </x:c>
      <x:c r="E36" t="n">
        <x:v>2</x:v>
      </x:c>
      <x:c r="F36" t="inlineStr">
        <x:is>
          <x:t>succeeded</x:t>
        </x:is>
      </x:c>
      <x:c r="G36" t="n">
        <x:v>18</x:v>
      </x:c>
      <x:c r="H36" s="25" t="n">
        <x:v>4.505</x:v>
      </x:c>
      <x:c r="I36" s="25" t="n">
        <x:v>0</x:v>
      </x:c>
      <x:c r="J36" t="inlineStr">
        <x:is>
          <x:t>runner f73113f38155eb3ce957</x:t>
        </x:is>
      </x:c>
    </x:row>
    <x:row r="37">
      <x:c r="A37" t="inlineStr">
        <x:is>
          <x:t>KZe5rgqY79WzqipZ</x:t>
        </x:is>
      </x:c>
      <x:c r="B37" t="inlineStr">
        <x:is>
          <x:t>PPS</x:t>
        </x:is>
      </x:c>
      <x:c r="C37"/>
      <x:c r="D37" s="23" t="n">
        <x:v>0.001</x:v>
      </x:c>
      <x:c r="E37" t="n">
        <x:v>2</x:v>
      </x:c>
      <x:c r="F37" t="inlineStr">
        <x:is>
          <x:t>succeeded</x:t>
        </x:is>
      </x:c>
      <x:c r="G37" t="n">
        <x:v>19</x:v>
      </x:c>
      <x:c r="H37" s="25" t="n">
        <x:v>12.619</x:v>
      </x:c>
      <x:c r="I37" s="25" t="n">
        <x:v>0</x:v>
      </x:c>
      <x:c r="J37" t="inlineStr">
        <x:is>
          <x:t>runner 750d015b8f04a927bf65</x:t>
        </x:is>
      </x:c>
    </x:row>
    <x:row r="38">
      <x:c r="A38" t="inlineStr">
        <x:is>
          <x:t>29lTWPbR0jXsWCma</x:t>
        </x:is>
      </x:c>
      <x:c r="B38" t="inlineStr">
        <x:is>
          <x:t>PPS</x:t>
        </x:is>
      </x:c>
      <x:c r="C38"/>
      <x:c r="D38" s="23" t="n">
        <x:v>0.001</x:v>
      </x:c>
      <x:c r="E38" t="n">
        <x:v>2</x:v>
      </x:c>
      <x:c r="F38" t="inlineStr">
        <x:is>
          <x:t>succeeded</x:t>
        </x:is>
      </x:c>
      <x:c r="G38" t="n">
        <x:v>20</x:v>
      </x:c>
      <x:c r="H38" s="25" t="n">
        <x:v>11.916</x:v>
      </x:c>
      <x:c r="I38" s="25" t="n">
        <x:v>0</x:v>
      </x:c>
      <x:c r="J38" t="inlineStr">
        <x:is>
          <x:t>runner ff8f4ed1d3a52780f37e</x:t>
        </x:is>
      </x:c>
    </x:row>
    <x:row r="39">
      <x:c r="A39" t="inlineStr">
        <x:is>
          <x:t>wIixrGMNC9eHva8E</x:t>
        </x:is>
      </x:c>
      <x:c r="B39" t="inlineStr">
        <x:is>
          <x:t>PPS</x:t>
        </x:is>
      </x:c>
      <x:c r="C39"/>
      <x:c r="D39" s="23" t="n">
        <x:v>0.001</x:v>
      </x:c>
      <x:c r="E39" t="n">
        <x:v>2</x:v>
      </x:c>
      <x:c r="F39" t="inlineStr">
        <x:is>
          <x:t>succeeded</x:t>
        </x:is>
      </x:c>
      <x:c r="G39" t="n">
        <x:v>21</x:v>
      </x:c>
      <x:c r="H39" s="25" t="n">
        <x:v>4.468</x:v>
      </x:c>
      <x:c r="I39" s="25" t="n">
        <x:v>0</x:v>
      </x:c>
      <x:c r="J39" t="inlineStr">
        <x:is>
          <x:t>runner 8ad4641d75b24e9ec890</x:t>
        </x:is>
      </x:c>
    </x:row>
    <x:row r="40">
      <x:c r="A40" t="inlineStr">
        <x:is>
          <x:t>gMRKkMhl9ubQM5RX</x:t>
        </x:is>
      </x:c>
      <x:c r="B40" t="inlineStr">
        <x:is>
          <x:t>PPS</x:t>
        </x:is>
      </x:c>
      <x:c r="C40"/>
      <x:c r="D40" s="23" t="n">
        <x:v>0.001</x:v>
      </x:c>
      <x:c r="E40" t="n">
        <x:v>2</x:v>
      </x:c>
      <x:c r="F40" t="inlineStr">
        <x:is>
          <x:t>succeeded</x:t>
        </x:is>
      </x:c>
      <x:c r="G40" t="n">
        <x:v>23</x:v>
      </x:c>
      <x:c r="H40" s="25" t="n">
        <x:v>3.886</x:v>
      </x:c>
      <x:c r="I40" s="25" t="n">
        <x:v>0</x:v>
      </x:c>
      <x:c r="J40" t="inlineStr">
        <x:is>
          <x:t>runner 73f8c6b0fd960630263f</x:t>
        </x:is>
      </x:c>
    </x:row>
    <x:row r="41">
      <x:c r="A41" t="inlineStr">
        <x:is>
          <x:t>yRuM3XmJhdXCGfpi</x:t>
        </x:is>
      </x:c>
      <x:c r="B41" t="inlineStr">
        <x:is>
          <x:t>PPS</x:t>
        </x:is>
      </x:c>
      <x:c r="C41"/>
      <x:c r="D41" s="23" t="n">
        <x:v>0.001</x:v>
      </x:c>
      <x:c r="E41" t="n">
        <x:v>2</x:v>
      </x:c>
      <x:c r="F41" t="inlineStr">
        <x:is>
          <x:t>succeeded</x:t>
        </x:is>
      </x:c>
      <x:c r="G41" t="n">
        <x:v>22</x:v>
      </x:c>
      <x:c r="H41" s="25" t="n">
        <x:v>12.54</x:v>
      </x:c>
      <x:c r="I41" s="25" t="n">
        <x:v>0</x:v>
      </x:c>
      <x:c r="J41" t="inlineStr">
        <x:is>
          <x:t>runner f2c3d997033164c0bf23</x:t>
        </x:is>
      </x:c>
    </x:row>
    <x:row r="42">
      <x:c r="A42" t="inlineStr">
        <x:is>
          <x:t>LUvo6USDMhGxYTWx</x:t>
        </x:is>
      </x:c>
      <x:c r="B42" t="inlineStr">
        <x:is>
          <x:t>PPS</x:t>
        </x:is>
      </x:c>
      <x:c r="C42"/>
      <x:c r="D42" s="23" t="n">
        <x:v>0.001</x:v>
      </x:c>
      <x:c r="E42" t="n">
        <x:v>2</x:v>
      </x:c>
      <x:c r="F42" t="inlineStr">
        <x:is>
          <x:t>succeeded</x:t>
        </x:is>
      </x:c>
      <x:c r="G42" t="n">
        <x:v>24</x:v>
      </x:c>
      <x:c r="H42" s="25" t="n">
        <x:v>4.562</x:v>
      </x:c>
      <x:c r="I42" s="25" t="n">
        <x:v>0</x:v>
      </x:c>
      <x:c r="J42" t="inlineStr">
        <x:is>
          <x:t>runner 5b07759da426dddfdb30</x:t>
        </x:is>
      </x:c>
    </x:row>
    <x:row r="43">
      <x:c r="A43" t="inlineStr">
        <x:is>
          <x:t>LI9SDfTCJsNYzyPU</x:t>
        </x:is>
      </x:c>
      <x:c r="B43" t="inlineStr">
        <x:is>
          <x:t>PPS</x:t>
        </x:is>
      </x:c>
      <x:c r="C43"/>
      <x:c r="D43" s="23" t="n">
        <x:v>0.001</x:v>
      </x:c>
      <x:c r="E43" t="n">
        <x:v>2</x:v>
      </x:c>
      <x:c r="F43" t="inlineStr">
        <x:is>
          <x:t>succeeded</x:t>
        </x:is>
      </x:c>
      <x:c r="G43" t="n">
        <x:v>25</x:v>
      </x:c>
      <x:c r="H43" s="25" t="n">
        <x:v>4.005</x:v>
      </x:c>
      <x:c r="I43" s="25" t="n">
        <x:v>0</x:v>
      </x:c>
      <x:c r="J43" t="inlineStr">
        <x:is>
          <x:t>runner b6cc2e6e4e1786c4c0d1</x:t>
        </x:is>
      </x:c>
    </x:row>
    <x:row r="44">
      <x:c r="A44" t="inlineStr">
        <x:is>
          <x:t>bxst9Zs4T1zncfl9</x:t>
        </x:is>
      </x:c>
      <x:c r="B44" t="inlineStr">
        <x:is>
          <x:t>PPS</x:t>
        </x:is>
      </x:c>
      <x:c r="C44"/>
      <x:c r="D44" s="23" t="n">
        <x:v>0.001</x:v>
      </x:c>
      <x:c r="E44" t="n">
        <x:v>2</x:v>
      </x:c>
      <x:c r="F44" t="inlineStr">
        <x:is>
          <x:t>succeeded</x:t>
        </x:is>
      </x:c>
      <x:c r="G44" t="n">
        <x:v>26</x:v>
      </x:c>
      <x:c r="H44" s="25" t="n">
        <x:v>11.935</x:v>
      </x:c>
      <x:c r="I44" s="25" t="n">
        <x:v>0</x:v>
      </x:c>
      <x:c r="J44" t="inlineStr">
        <x:is>
          <x:t>runner 203eb887b9e07a85c194</x:t>
        </x:is>
      </x:c>
    </x:row>
    <x:row r="45">
      <x:c r="A45" t="inlineStr">
        <x:is>
          <x:t>VyJx0oh58hrIiOYT</x:t>
        </x:is>
      </x:c>
      <x:c r="B45" t="inlineStr">
        <x:is>
          <x:t>PPS</x:t>
        </x:is>
      </x:c>
      <x:c r="C45"/>
      <x:c r="D45" s="23" t="n">
        <x:v>0.001</x:v>
      </x:c>
      <x:c r="E45" t="n">
        <x:v>2</x:v>
      </x:c>
      <x:c r="F45" t="inlineStr">
        <x:is>
          <x:t>succeeded</x:t>
        </x:is>
      </x:c>
      <x:c r="G45" t="n">
        <x:v>27</x:v>
      </x:c>
      <x:c r="H45" s="25" t="n">
        <x:v>12.148</x:v>
      </x:c>
      <x:c r="I45" s="25" t="n">
        <x:v>0</x:v>
      </x:c>
      <x:c r="J45" t="inlineStr">
        <x:is>
          <x:t>runner 0203705839f94574be07</x:t>
        </x:is>
      </x:c>
    </x:row>
    <x:row r="46">
      <x:c r="A46" t="inlineStr">
        <x:is>
          <x:t>TRzpjz3HqXUR563J</x:t>
        </x:is>
      </x:c>
      <x:c r="B46" t="inlineStr">
        <x:is>
          <x:t>PPS</x:t>
        </x:is>
      </x:c>
      <x:c r="C46"/>
      <x:c r="D46" s="23" t="n">
        <x:v>0.001</x:v>
      </x:c>
      <x:c r="E46" t="n">
        <x:v>2</x:v>
      </x:c>
      <x:c r="F46" t="inlineStr">
        <x:is>
          <x:t>succeeded</x:t>
        </x:is>
      </x:c>
      <x:c r="G46" t="n">
        <x:v>28</x:v>
      </x:c>
      <x:c r="H46" s="25" t="n">
        <x:v>3.658</x:v>
      </x:c>
      <x:c r="I46" s="25" t="n">
        <x:v>0</x:v>
      </x:c>
      <x:c r="J46" t="inlineStr">
        <x:is>
          <x:t>runner 607f694dfb941d7e3a6d</x:t>
        </x:is>
      </x:c>
    </x:row>
    <x:row r="47">
      <x:c r="A47" t="inlineStr">
        <x:is>
          <x:t>DW1hBzZzoqgUlAHX</x:t>
        </x:is>
      </x:c>
      <x:c r="B47" t="inlineStr">
        <x:is>
          <x:t>PPS</x:t>
        </x:is>
      </x:c>
      <x:c r="C47"/>
      <x:c r="D47" s="23" t="n">
        <x:v>0.001</x:v>
      </x:c>
      <x:c r="E47" t="n">
        <x:v>2</x:v>
      </x:c>
      <x:c r="F47" t="inlineStr">
        <x:is>
          <x:t>succeeded</x:t>
        </x:is>
      </x:c>
      <x:c r="G47" t="n">
        <x:v>29</x:v>
      </x:c>
      <x:c r="H47" s="25" t="n">
        <x:v>4.213</x:v>
      </x:c>
      <x:c r="I47" s="25" t="n">
        <x:v>0</x:v>
      </x:c>
      <x:c r="J47" t="inlineStr">
        <x:is>
          <x:t>runner e57d35f32fe83617b52e</x:t>
        </x:is>
      </x:c>
    </x:row>
    <x:row r="48">
      <x:c r="A48" t="inlineStr">
        <x:is>
          <x:t>knzZmSYXSxGFopLa</x:t>
        </x:is>
      </x:c>
      <x:c r="B48" t="inlineStr">
        <x:is>
          <x:t>PPS</x:t>
        </x:is>
      </x:c>
      <x:c r="C48"/>
      <x:c r="D48" s="23" t="n">
        <x:v>0.001</x:v>
      </x:c>
      <x:c r="E48" t="n">
        <x:v>2</x:v>
      </x:c>
      <x:c r="F48" t="inlineStr">
        <x:is>
          <x:t>succeeded</x:t>
        </x:is>
      </x:c>
      <x:c r="G48" t="n">
        <x:v>30</x:v>
      </x:c>
      <x:c r="H48" s="25" t="n">
        <x:v>4.722</x:v>
      </x:c>
      <x:c r="I48" s="25" t="n">
        <x:v>0</x:v>
      </x:c>
      <x:c r="J48" t="inlineStr">
        <x:is>
          <x:t>runner 40d4a0bf37a79d4d0f34</x:t>
        </x:is>
      </x:c>
    </x:row>
    <x:row r="49">
      <x:c r="A49" t="inlineStr">
        <x:is>
          <x:t>a2OND3HL2pRGZMwI</x:t>
        </x:is>
      </x:c>
      <x:c r="B49" t="inlineStr">
        <x:is>
          <x:t>PPS</x:t>
        </x:is>
      </x:c>
      <x:c r="C49"/>
      <x:c r="D49" s="23" t="n">
        <x:v>0.001</x:v>
      </x:c>
      <x:c r="E49" t="n">
        <x:v>2</x:v>
      </x:c>
      <x:c r="F49" t="inlineStr">
        <x:is>
          <x:t>succeeded</x:t>
        </x:is>
      </x:c>
      <x:c r="G49" t="n">
        <x:v>31</x:v>
      </x:c>
      <x:c r="H49" s="25" t="n">
        <x:v>4.629</x:v>
      </x:c>
      <x:c r="I49" s="25" t="n">
        <x:v>0</x:v>
      </x:c>
      <x:c r="J49" t="inlineStr">
        <x:is>
          <x:t>runner f1d727527f0721b5d3f7</x:t>
        </x:is>
      </x:c>
    </x:row>
    <x:row r="50">
      <x:c r="A50" t="inlineStr">
        <x:is>
          <x:t>TxWDBRGxGk8BxjSP</x:t>
        </x:is>
      </x:c>
      <x:c r="B50" t="inlineStr">
        <x:is>
          <x:t>PPS</x:t>
        </x:is>
      </x:c>
      <x:c r="C50"/>
      <x:c r="D50" s="23" t="n">
        <x:v>0.001</x:v>
      </x:c>
      <x:c r="E50" t="n">
        <x:v>2</x:v>
      </x:c>
      <x:c r="F50" t="inlineStr">
        <x:is>
          <x:t>succeeded</x:t>
        </x:is>
      </x:c>
      <x:c r="G50" t="n">
        <x:v>34</x:v>
      </x:c>
      <x:c r="H50" s="25" t="n">
        <x:v>4.248</x:v>
      </x:c>
      <x:c r="I50" s="25" t="n">
        <x:v>0</x:v>
      </x:c>
      <x:c r="J50" t="inlineStr">
        <x:is>
          <x:t>runner 95439583c073e6756116</x:t>
        </x:is>
      </x:c>
    </x:row>
    <x:row r="51">
      <x:c r="A51" t="inlineStr">
        <x:is>
          <x:t>AdwKWZMbERSRsSOR</x:t>
        </x:is>
      </x:c>
      <x:c r="B51" t="inlineStr">
        <x:is>
          <x:t>PPS</x:t>
        </x:is>
      </x:c>
      <x:c r="C51"/>
      <x:c r="D51" s="23" t="n">
        <x:v>0.001</x:v>
      </x:c>
      <x:c r="E51" t="n">
        <x:v>2</x:v>
      </x:c>
      <x:c r="F51" t="inlineStr">
        <x:is>
          <x:t>succeeded</x:t>
        </x:is>
      </x:c>
      <x:c r="G51" t="n">
        <x:v>32</x:v>
      </x:c>
      <x:c r="H51" s="25" t="n">
        <x:v>11.054</x:v>
      </x:c>
      <x:c r="I51" s="25" t="n">
        <x:v>0</x:v>
      </x:c>
      <x:c r="J51" t="inlineStr">
        <x:is>
          <x:t>runner 6b4558e57fc21424c007</x:t>
        </x:is>
      </x:c>
    </x:row>
    <x:row r="52">
      <x:c r="A52" t="inlineStr">
        <x:is>
          <x:t>5B6glGlblG7KcSZw</x:t>
        </x:is>
      </x:c>
      <x:c r="B52" t="inlineStr">
        <x:is>
          <x:t>PPS</x:t>
        </x:is>
      </x:c>
      <x:c r="C52"/>
      <x:c r="D52" s="23" t="n">
        <x:v>0.001</x:v>
      </x:c>
      <x:c r="E52" t="n">
        <x:v>2</x:v>
      </x:c>
      <x:c r="F52" t="inlineStr">
        <x:is>
          <x:t>succeeded</x:t>
        </x:is>
      </x:c>
      <x:c r="G52" t="n">
        <x:v>33</x:v>
      </x:c>
      <x:c r="H52" s="25" t="n">
        <x:v>11.78</x:v>
      </x:c>
      <x:c r="I52" s="25" t="n">
        <x:v>0</x:v>
      </x:c>
      <x:c r="J52" t="inlineStr">
        <x:is>
          <x:t>runner b3bd9f440a4a72d45925</x:t>
        </x:is>
      </x:c>
    </x:row>
    <x:row r="53">
      <x:c r="A53" t="inlineStr">
        <x:is>
          <x:t>t1KWc0kdqiF4LYHU</x:t>
        </x:is>
      </x:c>
      <x:c r="B53" t="inlineStr">
        <x:is>
          <x:t>PPS</x:t>
        </x:is>
      </x:c>
      <x:c r="C53"/>
      <x:c r="D53" s="23" t="n">
        <x:v>0.01</x:v>
      </x:c>
      <x:c r="E53" t="n">
        <x:v>1</x:v>
      </x:c>
      <x:c r="F53" t="inlineStr">
        <x:is>
          <x:t>succeeded</x:t>
        </x:is>
      </x:c>
      <x:c r="G53" t="n">
        <x:v>0</x:v>
      </x:c>
      <x:c r="H53" s="25" t="n">
        <x:v>3.235</x:v>
      </x:c>
      <x:c r="I53" s="25" t="n">
        <x:v>0</x:v>
      </x:c>
      <x:c r="J53" t="inlineStr">
        <x:is>
          <x:t>runner d4bdd502dd714df7b01f</x:t>
        </x:is>
      </x:c>
    </x:row>
    <x:row r="54">
      <x:c r="A54" t="inlineStr">
        <x:is>
          <x:t>ypSETIYPMq5bHIoU</x:t>
        </x:is>
      </x:c>
      <x:c r="B54" t="inlineStr">
        <x:is>
          <x:t>PPS</x:t>
        </x:is>
      </x:c>
      <x:c r="C54"/>
      <x:c r="D54" s="23" t="n">
        <x:v>0.01</x:v>
      </x:c>
      <x:c r="E54" t="n">
        <x:v>1</x:v>
      </x:c>
      <x:c r="F54" t="inlineStr">
        <x:is>
          <x:t>succeeded</x:t>
        </x:is>
      </x:c>
      <x:c r="G54" t="n">
        <x:v>1</x:v>
      </x:c>
      <x:c r="H54" s="25" t="n">
        <x:v>3.396</x:v>
      </x:c>
      <x:c r="I54" s="25" t="n">
        <x:v>0</x:v>
      </x:c>
      <x:c r="J54" t="inlineStr">
        <x:is>
          <x:t>runner b80d283467e6428958d3</x:t>
        </x:is>
      </x:c>
    </x:row>
    <x:row r="55">
      <x:c r="A55" t="inlineStr">
        <x:is>
          <x:t>eIkOdm5yWQXeKVxx</x:t>
        </x:is>
      </x:c>
      <x:c r="B55" t="inlineStr">
        <x:is>
          <x:t>PPS</x:t>
        </x:is>
      </x:c>
      <x:c r="C55"/>
      <x:c r="D55" s="23" t="n">
        <x:v>0.01</x:v>
      </x:c>
      <x:c r="E55" t="n">
        <x:v>1</x:v>
      </x:c>
      <x:c r="F55" t="inlineStr">
        <x:is>
          <x:t>succeeded</x:t>
        </x:is>
      </x:c>
      <x:c r="G55" t="n">
        <x:v>2</x:v>
      </x:c>
      <x:c r="H55" s="25" t="n">
        <x:v>2.502</x:v>
      </x:c>
      <x:c r="I55" s="25" t="n">
        <x:v>0</x:v>
      </x:c>
      <x:c r="J55" t="inlineStr">
        <x:is>
          <x:t>runner 9c5cfa278dd0d1669256</x:t>
        </x:is>
      </x:c>
    </x:row>
    <x:row r="56">
      <x:c r="A56" t="inlineStr">
        <x:is>
          <x:t>GidVaJpO0NbWW5to</x:t>
        </x:is>
      </x:c>
      <x:c r="B56" t="inlineStr">
        <x:is>
          <x:t>PPS</x:t>
        </x:is>
      </x:c>
      <x:c r="C56"/>
      <x:c r="D56" s="23" t="n">
        <x:v>0.01</x:v>
      </x:c>
      <x:c r="E56" t="n">
        <x:v>1</x:v>
      </x:c>
      <x:c r="F56" t="inlineStr">
        <x:is>
          <x:t>succeeded</x:t>
        </x:is>
      </x:c>
      <x:c r="G56" t="n">
        <x:v>3</x:v>
      </x:c>
      <x:c r="H56" s="25" t="n">
        <x:v>2.567</x:v>
      </x:c>
      <x:c r="I56" s="25" t="n">
        <x:v>0</x:v>
      </x:c>
      <x:c r="J56" t="inlineStr">
        <x:is>
          <x:t>runner 7ff9766311506b20b4db</x:t>
        </x:is>
      </x:c>
    </x:row>
    <x:row r="57">
      <x:c r="A57" t="inlineStr">
        <x:is>
          <x:t>8HUOcZjgwVU7h1hs</x:t>
        </x:is>
      </x:c>
      <x:c r="B57" t="inlineStr">
        <x:is>
          <x:t>PPS</x:t>
        </x:is>
      </x:c>
      <x:c r="C57"/>
      <x:c r="D57" s="23" t="n">
        <x:v>0.01</x:v>
      </x:c>
      <x:c r="E57" t="n">
        <x:v>1</x:v>
      </x:c>
      <x:c r="F57" t="inlineStr">
        <x:is>
          <x:t>succeeded</x:t>
        </x:is>
      </x:c>
      <x:c r="G57" t="n">
        <x:v>4</x:v>
      </x:c>
      <x:c r="H57" s="25" t="n">
        <x:v>3.007</x:v>
      </x:c>
      <x:c r="I57" s="25" t="n">
        <x:v>0</x:v>
      </x:c>
      <x:c r="J57" t="inlineStr">
        <x:is>
          <x:t>runner 3f5f5f09cade35f93056</x:t>
        </x:is>
      </x:c>
    </x:row>
    <x:row r="58">
      <x:c r="A58" t="inlineStr">
        <x:is>
          <x:t>vliLKhKh0RMmzTTZ</x:t>
        </x:is>
      </x:c>
      <x:c r="B58" t="inlineStr">
        <x:is>
          <x:t>PPS</x:t>
        </x:is>
      </x:c>
      <x:c r="C58"/>
      <x:c r="D58" s="23" t="n">
        <x:v>0.01</x:v>
      </x:c>
      <x:c r="E58" t="n">
        <x:v>1</x:v>
      </x:c>
      <x:c r="F58" t="inlineStr">
        <x:is>
          <x:t>succeeded</x:t>
        </x:is>
      </x:c>
      <x:c r="G58" t="n">
        <x:v>5</x:v>
      </x:c>
      <x:c r="H58" s="25" t="n">
        <x:v>3.092</x:v>
      </x:c>
      <x:c r="I58" s="25" t="n">
        <x:v>0</x:v>
      </x:c>
      <x:c r="J58" t="inlineStr">
        <x:is>
          <x:t>runner d3dc66938957f14341ff</x:t>
        </x:is>
      </x:c>
    </x:row>
    <x:row r="59">
      <x:c r="A59" t="inlineStr">
        <x:is>
          <x:t>7srGukG7zYhFkTik</x:t>
        </x:is>
      </x:c>
      <x:c r="B59" t="inlineStr">
        <x:is>
          <x:t>PPS</x:t>
        </x:is>
      </x:c>
      <x:c r="C59"/>
      <x:c r="D59" s="23" t="n">
        <x:v>0.01</x:v>
      </x:c>
      <x:c r="E59" t="n">
        <x:v>1</x:v>
      </x:c>
      <x:c r="F59" t="inlineStr">
        <x:is>
          <x:t>succeeded</x:t>
        </x:is>
      </x:c>
      <x:c r="G59" t="n">
        <x:v>6</x:v>
      </x:c>
      <x:c r="H59" s="25" t="n">
        <x:v>2.513</x:v>
      </x:c>
      <x:c r="I59" s="25" t="n">
        <x:v>0</x:v>
      </x:c>
      <x:c r="J59" t="inlineStr">
        <x:is>
          <x:t>runner fa48ac125a1cab28152f</x:t>
        </x:is>
      </x:c>
    </x:row>
    <x:row r="60">
      <x:c r="A60" t="inlineStr">
        <x:is>
          <x:t>hVZLs6psZZoXJ7BJ</x:t>
        </x:is>
      </x:c>
      <x:c r="B60" t="inlineStr">
        <x:is>
          <x:t>PPS</x:t>
        </x:is>
      </x:c>
      <x:c r="C60"/>
      <x:c r="D60" s="23" t="n">
        <x:v>0.01</x:v>
      </x:c>
      <x:c r="E60" t="n">
        <x:v>1</x:v>
      </x:c>
      <x:c r="F60" t="inlineStr">
        <x:is>
          <x:t>succeeded</x:t>
        </x:is>
      </x:c>
      <x:c r="G60" t="n">
        <x:v>7</x:v>
      </x:c>
      <x:c r="H60" s="25" t="n">
        <x:v>3.234</x:v>
      </x:c>
      <x:c r="I60" s="25" t="n">
        <x:v>0</x:v>
      </x:c>
      <x:c r="J60" t="inlineStr">
        <x:is>
          <x:t>runner 56240655551b73efcb2d</x:t>
        </x:is>
      </x:c>
    </x:row>
    <x:row r="61">
      <x:c r="A61" t="inlineStr">
        <x:is>
          <x:t>Q6PIeexdBkfjrYX5</x:t>
        </x:is>
      </x:c>
      <x:c r="B61" t="inlineStr">
        <x:is>
          <x:t>PPS</x:t>
        </x:is>
      </x:c>
      <x:c r="C61"/>
      <x:c r="D61" s="23" t="n">
        <x:v>0.01</x:v>
      </x:c>
      <x:c r="E61" t="n">
        <x:v>1</x:v>
      </x:c>
      <x:c r="F61" t="inlineStr">
        <x:is>
          <x:t>succeeded</x:t>
        </x:is>
      </x:c>
      <x:c r="G61" t="n">
        <x:v>8</x:v>
      </x:c>
      <x:c r="H61" s="25" t="n">
        <x:v>3.14</x:v>
      </x:c>
      <x:c r="I61" s="25" t="n">
        <x:v>0</x:v>
      </x:c>
      <x:c r="J61" t="inlineStr">
        <x:is>
          <x:t>runner 24f0bd840922e1c8ed61</x:t>
        </x:is>
      </x:c>
    </x:row>
    <x:row r="62">
      <x:c r="A62" t="inlineStr">
        <x:is>
          <x:t>WVvZlSZO13ThSFY7</x:t>
        </x:is>
      </x:c>
      <x:c r="B62" t="inlineStr">
        <x:is>
          <x:t>PPS</x:t>
        </x:is>
      </x:c>
      <x:c r="C62"/>
      <x:c r="D62" s="23" t="n">
        <x:v>0.01</x:v>
      </x:c>
      <x:c r="E62" t="n">
        <x:v>1</x:v>
      </x:c>
      <x:c r="F62" t="inlineStr">
        <x:is>
          <x:t>succeeded</x:t>
        </x:is>
      </x:c>
      <x:c r="G62" t="n">
        <x:v>9</x:v>
      </x:c>
      <x:c r="H62" s="25" t="n">
        <x:v>3.05</x:v>
      </x:c>
      <x:c r="I62" s="25" t="n">
        <x:v>0</x:v>
      </x:c>
      <x:c r="J62" t="inlineStr">
        <x:is>
          <x:t>runner 079ca36aaad77d735976</x:t>
        </x:is>
      </x:c>
    </x:row>
    <x:row r="63">
      <x:c r="A63" t="inlineStr">
        <x:is>
          <x:t>i4aHbxQfuAeLlCXt</x:t>
        </x:is>
      </x:c>
      <x:c r="B63" t="inlineStr">
        <x:is>
          <x:t>PPS</x:t>
        </x:is>
      </x:c>
      <x:c r="C63"/>
      <x:c r="D63" s="23" t="n">
        <x:v>0.01</x:v>
      </x:c>
      <x:c r="E63" t="n">
        <x:v>1</x:v>
      </x:c>
      <x:c r="F63" t="inlineStr">
        <x:is>
          <x:t>succeeded</x:t>
        </x:is>
      </x:c>
      <x:c r="G63" t="n">
        <x:v>10</x:v>
      </x:c>
      <x:c r="H63" s="25" t="n">
        <x:v>2.685</x:v>
      </x:c>
      <x:c r="I63" s="25" t="n">
        <x:v>0</x:v>
      </x:c>
      <x:c r="J63" t="inlineStr">
        <x:is>
          <x:t>runner 867905f67bb85c550bdb</x:t>
        </x:is>
      </x:c>
    </x:row>
    <x:row r="64">
      <x:c r="A64" t="inlineStr">
        <x:is>
          <x:t>wPJUQSOFzMOCOZhr</x:t>
        </x:is>
      </x:c>
      <x:c r="B64" t="inlineStr">
        <x:is>
          <x:t>PPS</x:t>
        </x:is>
      </x:c>
      <x:c r="C64"/>
      <x:c r="D64" s="23" t="n">
        <x:v>0.01</x:v>
      </x:c>
      <x:c r="E64" t="n">
        <x:v>1</x:v>
      </x:c>
      <x:c r="F64" t="inlineStr">
        <x:is>
          <x:t>succeeded</x:t>
        </x:is>
      </x:c>
      <x:c r="G64" t="n">
        <x:v>11</x:v>
      </x:c>
      <x:c r="H64" s="25" t="n">
        <x:v>2.85</x:v>
      </x:c>
      <x:c r="I64" s="25" t="n">
        <x:v>0</x:v>
      </x:c>
      <x:c r="J64" t="inlineStr">
        <x:is>
          <x:t>runner 66ddc36facd75caed3b8</x:t>
        </x:is>
      </x:c>
    </x:row>
    <x:row r="65">
      <x:c r="A65" t="inlineStr">
        <x:is>
          <x:t>a6rZ5E67sXqlhS7f</x:t>
        </x:is>
      </x:c>
      <x:c r="B65" t="inlineStr">
        <x:is>
          <x:t>PPS</x:t>
        </x:is>
      </x:c>
      <x:c r="C65"/>
      <x:c r="D65" s="23" t="n">
        <x:v>0.01</x:v>
      </x:c>
      <x:c r="E65" t="n">
        <x:v>1</x:v>
      </x:c>
      <x:c r="F65" t="inlineStr">
        <x:is>
          <x:t>succeeded</x:t>
        </x:is>
      </x:c>
      <x:c r="G65" t="n">
        <x:v>12</x:v>
      </x:c>
      <x:c r="H65" s="25" t="n">
        <x:v>2.543</x:v>
      </x:c>
      <x:c r="I65" s="25" t="n">
        <x:v>0</x:v>
      </x:c>
      <x:c r="J65" t="inlineStr">
        <x:is>
          <x:t>runner 0d43e7b18a328fa2d81f</x:t>
        </x:is>
      </x:c>
    </x:row>
    <x:row r="66">
      <x:c r="A66" t="inlineStr">
        <x:is>
          <x:t>k8HTbHDDDxYnqutS</x:t>
        </x:is>
      </x:c>
      <x:c r="B66" t="inlineStr">
        <x:is>
          <x:t>PPS</x:t>
        </x:is>
      </x:c>
      <x:c r="C66"/>
      <x:c r="D66" s="23" t="n">
        <x:v>0.01</x:v>
      </x:c>
      <x:c r="E66" t="n">
        <x:v>1</x:v>
      </x:c>
      <x:c r="F66" t="inlineStr">
        <x:is>
          <x:t>succeeded</x:t>
        </x:is>
      </x:c>
      <x:c r="G66" t="n">
        <x:v>13</x:v>
      </x:c>
      <x:c r="H66" s="25" t="n">
        <x:v>2.73</x:v>
      </x:c>
      <x:c r="I66" s="25" t="n">
        <x:v>0</x:v>
      </x:c>
      <x:c r="J66" t="inlineStr">
        <x:is>
          <x:t>runner b0a9e2f7f478eaebeec0</x:t>
        </x:is>
      </x:c>
    </x:row>
    <x:row r="67">
      <x:c r="A67" t="inlineStr">
        <x:is>
          <x:t>jwY3IQfWoSbzrO5j</x:t>
        </x:is>
      </x:c>
      <x:c r="B67" t="inlineStr">
        <x:is>
          <x:t>PPS</x:t>
        </x:is>
      </x:c>
      <x:c r="C67"/>
      <x:c r="D67" s="23" t="n">
        <x:v>0.01</x:v>
      </x:c>
      <x:c r="E67" t="n">
        <x:v>1</x:v>
      </x:c>
      <x:c r="F67" t="inlineStr">
        <x:is>
          <x:t>succeeded</x:t>
        </x:is>
      </x:c>
      <x:c r="G67" t="n">
        <x:v>14</x:v>
      </x:c>
      <x:c r="H67" s="25" t="n">
        <x:v>2.383</x:v>
      </x:c>
      <x:c r="I67" s="25" t="n">
        <x:v>0</x:v>
      </x:c>
      <x:c r="J67" t="inlineStr">
        <x:is>
          <x:t>runner b4bdb7ca4c071924f536</x:t>
        </x:is>
      </x:c>
    </x:row>
    <x:row r="68">
      <x:c r="A68" t="inlineStr">
        <x:is>
          <x:t>cGFW5SH6krNhm0Hp</x:t>
        </x:is>
      </x:c>
      <x:c r="B68" t="inlineStr">
        <x:is>
          <x:t>PPS</x:t>
        </x:is>
      </x:c>
      <x:c r="C68"/>
      <x:c r="D68" s="23" t="n">
        <x:v>0.01</x:v>
      </x:c>
      <x:c r="E68" t="n">
        <x:v>1</x:v>
      </x:c>
      <x:c r="F68" t="inlineStr">
        <x:is>
          <x:t>succeeded</x:t>
        </x:is>
      </x:c>
      <x:c r="G68" t="n">
        <x:v>15</x:v>
      </x:c>
      <x:c r="H68" s="25" t="n">
        <x:v>2.419</x:v>
      </x:c>
      <x:c r="I68" s="25" t="n">
        <x:v>0</x:v>
      </x:c>
      <x:c r="J68" t="inlineStr">
        <x:is>
          <x:t>runner 8d4f9d30caaefc6fbf1a</x:t>
        </x:is>
      </x:c>
    </x:row>
    <x:row r="69">
      <x:c r="A69" t="inlineStr">
        <x:is>
          <x:t>NxfW9cJ9KXhWl4dc</x:t>
        </x:is>
      </x:c>
      <x:c r="B69" t="inlineStr">
        <x:is>
          <x:t>PPS</x:t>
        </x:is>
      </x:c>
      <x:c r="C69"/>
      <x:c r="D69" s="23" t="n">
        <x:v>0.01</x:v>
      </x:c>
      <x:c r="E69" t="n">
        <x:v>1</x:v>
      </x:c>
      <x:c r="F69" t="inlineStr">
        <x:is>
          <x:t>succeeded</x:t>
        </x:is>
      </x:c>
      <x:c r="G69" t="n">
        <x:v>16</x:v>
      </x:c>
      <x:c r="H69" s="25" t="n">
        <x:v>2.887</x:v>
      </x:c>
      <x:c r="I69" s="25" t="n">
        <x:v>0</x:v>
      </x:c>
      <x:c r="J69" t="inlineStr">
        <x:is>
          <x:t>runner d8ec01ccf9b01f78d703</x:t>
        </x:is>
      </x:c>
    </x:row>
    <x:row r="70">
      <x:c r="A70" t="inlineStr">
        <x:is>
          <x:t>n1N85iIaXz9RpH8e</x:t>
        </x:is>
      </x:c>
      <x:c r="B70" t="inlineStr">
        <x:is>
          <x:t>PPS</x:t>
        </x:is>
      </x:c>
      <x:c r="C70"/>
      <x:c r="D70" s="23" t="n">
        <x:v>0.01</x:v>
      </x:c>
      <x:c r="E70" t="n">
        <x:v>1</x:v>
      </x:c>
      <x:c r="F70" t="inlineStr">
        <x:is>
          <x:t>succeeded</x:t>
        </x:is>
      </x:c>
      <x:c r="G70" t="n">
        <x:v>17</x:v>
      </x:c>
      <x:c r="H70" s="25" t="n">
        <x:v>2.509</x:v>
      </x:c>
      <x:c r="I70" s="25" t="n">
        <x:v>0</x:v>
      </x:c>
      <x:c r="J70" t="inlineStr">
        <x:is>
          <x:t>runner 5b7eabae75a555974841</x:t>
        </x:is>
      </x:c>
    </x:row>
    <x:row r="71">
      <x:c r="A71" t="inlineStr">
        <x:is>
          <x:t>XelA3iPItjhirBkv</x:t>
        </x:is>
      </x:c>
      <x:c r="B71" t="inlineStr">
        <x:is>
          <x:t>PPS</x:t>
        </x:is>
      </x:c>
      <x:c r="C71"/>
      <x:c r="D71" s="23" t="n">
        <x:v>0.01</x:v>
      </x:c>
      <x:c r="E71" t="n">
        <x:v>1</x:v>
      </x:c>
      <x:c r="F71" t="inlineStr">
        <x:is>
          <x:t>succeeded</x:t>
        </x:is>
      </x:c>
      <x:c r="G71" t="n">
        <x:v>18</x:v>
      </x:c>
      <x:c r="H71" s="25" t="n">
        <x:v>2.875</x:v>
      </x:c>
      <x:c r="I71" s="25" t="n">
        <x:v>0</x:v>
      </x:c>
      <x:c r="J71" t="inlineStr">
        <x:is>
          <x:t>runner 25abdb569de519037277</x:t>
        </x:is>
      </x:c>
    </x:row>
    <x:row r="72">
      <x:c r="A72" t="inlineStr">
        <x:is>
          <x:t>As1dury1ngykfNJO</x:t>
        </x:is>
      </x:c>
      <x:c r="B72" t="inlineStr">
        <x:is>
          <x:t>PPS</x:t>
        </x:is>
      </x:c>
      <x:c r="C72"/>
      <x:c r="D72" s="23" t="n">
        <x:v>0.01</x:v>
      </x:c>
      <x:c r="E72" t="n">
        <x:v>1</x:v>
      </x:c>
      <x:c r="F72" t="inlineStr">
        <x:is>
          <x:t>succeeded</x:t>
        </x:is>
      </x:c>
      <x:c r="G72" t="n">
        <x:v>19</x:v>
      </x:c>
      <x:c r="H72" s="25" t="n">
        <x:v>3.042</x:v>
      </x:c>
      <x:c r="I72" s="25" t="n">
        <x:v>0</x:v>
      </x:c>
      <x:c r="J72" t="inlineStr">
        <x:is>
          <x:t>runner 0c69ee91524310220a84</x:t>
        </x:is>
      </x:c>
    </x:row>
    <x:row r="73">
      <x:c r="A73" t="inlineStr">
        <x:is>
          <x:t>qNvEP4bXjIlGL3pz</x:t>
        </x:is>
      </x:c>
      <x:c r="B73" t="inlineStr">
        <x:is>
          <x:t>PPS</x:t>
        </x:is>
      </x:c>
      <x:c r="C73"/>
      <x:c r="D73" s="23" t="n">
        <x:v>0.01</x:v>
      </x:c>
      <x:c r="E73" t="n">
        <x:v>1</x:v>
      </x:c>
      <x:c r="F73" t="inlineStr">
        <x:is>
          <x:t>succeeded</x:t>
        </x:is>
      </x:c>
      <x:c r="G73" t="n">
        <x:v>20</x:v>
      </x:c>
      <x:c r="H73" s="25" t="n">
        <x:v>2.346</x:v>
      </x:c>
      <x:c r="I73" s="25" t="n">
        <x:v>0</x:v>
      </x:c>
      <x:c r="J73" t="inlineStr">
        <x:is>
          <x:t>runner bfa64caac3b978765248</x:t>
        </x:is>
      </x:c>
    </x:row>
    <x:row r="74">
      <x:c r="A74" t="inlineStr">
        <x:is>
          <x:t>R06QbnVFPwxIHaxO</x:t>
        </x:is>
      </x:c>
      <x:c r="B74" t="inlineStr">
        <x:is>
          <x:t>PPS</x:t>
        </x:is>
      </x:c>
      <x:c r="C74"/>
      <x:c r="D74" s="23" t="n">
        <x:v>0.01</x:v>
      </x:c>
      <x:c r="E74" t="n">
        <x:v>1</x:v>
      </x:c>
      <x:c r="F74" t="inlineStr">
        <x:is>
          <x:t>succeeded</x:t>
        </x:is>
      </x:c>
      <x:c r="G74" t="n">
        <x:v>21</x:v>
      </x:c>
      <x:c r="H74" s="25" t="n">
        <x:v>2.717</x:v>
      </x:c>
      <x:c r="I74" s="25" t="n">
        <x:v>0</x:v>
      </x:c>
      <x:c r="J74" t="inlineStr">
        <x:is>
          <x:t>runner b5c8a7197bca7da428b5</x:t>
        </x:is>
      </x:c>
    </x:row>
    <x:row r="75">
      <x:c r="A75" t="inlineStr">
        <x:is>
          <x:t>Zn17slSh4K7RbHdH</x:t>
        </x:is>
      </x:c>
      <x:c r="B75" t="inlineStr">
        <x:is>
          <x:t>PPS</x:t>
        </x:is>
      </x:c>
      <x:c r="C75"/>
      <x:c r="D75" s="23" t="n">
        <x:v>0.01</x:v>
      </x:c>
      <x:c r="E75" t="n">
        <x:v>1</x:v>
      </x:c>
      <x:c r="F75" t="inlineStr">
        <x:is>
          <x:t>succeeded</x:t>
        </x:is>
      </x:c>
      <x:c r="G75" t="n">
        <x:v>22</x:v>
      </x:c>
      <x:c r="H75" s="25" t="n">
        <x:v>2.906</x:v>
      </x:c>
      <x:c r="I75" s="25" t="n">
        <x:v>0</x:v>
      </x:c>
      <x:c r="J75" t="inlineStr">
        <x:is>
          <x:t>runner 7283c0f105031393c473</x:t>
        </x:is>
      </x:c>
    </x:row>
    <x:row r="76">
      <x:c r="A76" t="inlineStr">
        <x:is>
          <x:t>TyLD1Oi4dRf0AwBn</x:t>
        </x:is>
      </x:c>
      <x:c r="B76" t="inlineStr">
        <x:is>
          <x:t>PPS</x:t>
        </x:is>
      </x:c>
      <x:c r="C76"/>
      <x:c r="D76" s="23" t="n">
        <x:v>0.01</x:v>
      </x:c>
      <x:c r="E76" t="n">
        <x:v>1</x:v>
      </x:c>
      <x:c r="F76" t="inlineStr">
        <x:is>
          <x:t>succeeded</x:t>
        </x:is>
      </x:c>
      <x:c r="G76" t="n">
        <x:v>23</x:v>
      </x:c>
      <x:c r="H76" s="25" t="n">
        <x:v>2.869</x:v>
      </x:c>
      <x:c r="I76" s="25" t="n">
        <x:v>0</x:v>
      </x:c>
      <x:c r="J76" t="inlineStr">
        <x:is>
          <x:t>runner ad45b203281cb1d2cf7e</x:t>
        </x:is>
      </x:c>
    </x:row>
    <x:row r="77">
      <x:c r="A77" t="inlineStr">
        <x:is>
          <x:t>Ww1rVJdTXwwOpa4E</x:t>
        </x:is>
      </x:c>
      <x:c r="B77" t="inlineStr">
        <x:is>
          <x:t>PPS</x:t>
        </x:is>
      </x:c>
      <x:c r="C77"/>
      <x:c r="D77" s="23" t="n">
        <x:v>0.01</x:v>
      </x:c>
      <x:c r="E77" t="n">
        <x:v>1</x:v>
      </x:c>
      <x:c r="F77" t="inlineStr">
        <x:is>
          <x:t>succeeded</x:t>
        </x:is>
      </x:c>
      <x:c r="G77" t="n">
        <x:v>24</x:v>
      </x:c>
      <x:c r="H77" s="25" t="n">
        <x:v>2.835</x:v>
      </x:c>
      <x:c r="I77" s="25" t="n">
        <x:v>0</x:v>
      </x:c>
      <x:c r="J77" t="inlineStr">
        <x:is>
          <x:t>runner 8165123c93348b9cb58e</x:t>
        </x:is>
      </x:c>
    </x:row>
    <x:row r="78">
      <x:c r="A78" t="inlineStr">
        <x:is>
          <x:t>VID5SmfiejGyY3qj</x:t>
        </x:is>
      </x:c>
      <x:c r="B78" t="inlineStr">
        <x:is>
          <x:t>PPS</x:t>
        </x:is>
      </x:c>
      <x:c r="C78"/>
      <x:c r="D78" s="23" t="n">
        <x:v>0.01</x:v>
      </x:c>
      <x:c r="E78" t="n">
        <x:v>1</x:v>
      </x:c>
      <x:c r="F78" t="inlineStr">
        <x:is>
          <x:t>succeeded</x:t>
        </x:is>
      </x:c>
      <x:c r="G78" t="n">
        <x:v>25</x:v>
      </x:c>
      <x:c r="H78" s="25" t="n">
        <x:v>2.427</x:v>
      </x:c>
      <x:c r="I78" s="25" t="n">
        <x:v>0</x:v>
      </x:c>
      <x:c r="J78" t="inlineStr">
        <x:is>
          <x:t>runner 31d0b73ecb0a4dace1f6</x:t>
        </x:is>
      </x:c>
    </x:row>
    <x:row r="79">
      <x:c r="A79" t="inlineStr">
        <x:is>
          <x:t>AIx7kn4UZc9XuQ8w</x:t>
        </x:is>
      </x:c>
      <x:c r="B79" t="inlineStr">
        <x:is>
          <x:t>PPS</x:t>
        </x:is>
      </x:c>
      <x:c r="C79"/>
      <x:c r="D79" s="23" t="n">
        <x:v>0.01</x:v>
      </x:c>
      <x:c r="E79" t="n">
        <x:v>1</x:v>
      </x:c>
      <x:c r="F79" t="inlineStr">
        <x:is>
          <x:t>succeeded</x:t>
        </x:is>
      </x:c>
      <x:c r="G79" t="n">
        <x:v>26</x:v>
      </x:c>
      <x:c r="H79" s="25" t="n">
        <x:v>3.052</x:v>
      </x:c>
      <x:c r="I79" s="25" t="n">
        <x:v>0</x:v>
      </x:c>
      <x:c r="J79" t="inlineStr">
        <x:is>
          <x:t>runner 121d6042804f4e68b99a</x:t>
        </x:is>
      </x:c>
    </x:row>
    <x:row r="80">
      <x:c r="A80" t="inlineStr">
        <x:is>
          <x:t>hs12y7kDGRU7JdUQ</x:t>
        </x:is>
      </x:c>
      <x:c r="B80" t="inlineStr">
        <x:is>
          <x:t>PPS</x:t>
        </x:is>
      </x:c>
      <x:c r="C80"/>
      <x:c r="D80" s="23" t="n">
        <x:v>0.01</x:v>
      </x:c>
      <x:c r="E80" t="n">
        <x:v>1</x:v>
      </x:c>
      <x:c r="F80" t="inlineStr">
        <x:is>
          <x:t>succeeded</x:t>
        </x:is>
      </x:c>
      <x:c r="G80" t="n">
        <x:v>27</x:v>
      </x:c>
      <x:c r="H80" s="25" t="n">
        <x:v>2.451</x:v>
      </x:c>
      <x:c r="I80" s="25" t="n">
        <x:v>0</x:v>
      </x:c>
      <x:c r="J80" t="inlineStr">
        <x:is>
          <x:t>runner 7be947c8bb68ab864499</x:t>
        </x:is>
      </x:c>
    </x:row>
    <x:row r="81">
      <x:c r="A81" t="inlineStr">
        <x:is>
          <x:t>hQ9zOfRkfTPMpNdr</x:t>
        </x:is>
      </x:c>
      <x:c r="B81" t="inlineStr">
        <x:is>
          <x:t>PPS</x:t>
        </x:is>
      </x:c>
      <x:c r="C81"/>
      <x:c r="D81" s="23" t="n">
        <x:v>0.01</x:v>
      </x:c>
      <x:c r="E81" t="n">
        <x:v>1</x:v>
      </x:c>
      <x:c r="F81" t="inlineStr">
        <x:is>
          <x:t>succeeded</x:t>
        </x:is>
      </x:c>
      <x:c r="G81" t="n">
        <x:v>28</x:v>
      </x:c>
      <x:c r="H81" s="25" t="n">
        <x:v>3.061</x:v>
      </x:c>
      <x:c r="I81" s="25" t="n">
        <x:v>0</x:v>
      </x:c>
      <x:c r="J81" t="inlineStr">
        <x:is>
          <x:t>runner dd7cc97eceabb5685fda</x:t>
        </x:is>
      </x:c>
    </x:row>
    <x:row r="82">
      <x:c r="A82" t="inlineStr">
        <x:is>
          <x:t>NLFPpLrcC2CFvH1x</x:t>
        </x:is>
      </x:c>
      <x:c r="B82" t="inlineStr">
        <x:is>
          <x:t>PPS</x:t>
        </x:is>
      </x:c>
      <x:c r="C82"/>
      <x:c r="D82" s="23" t="n">
        <x:v>0.01</x:v>
      </x:c>
      <x:c r="E82" t="n">
        <x:v>1</x:v>
      </x:c>
      <x:c r="F82" t="inlineStr">
        <x:is>
          <x:t>succeeded</x:t>
        </x:is>
      </x:c>
      <x:c r="G82" t="n">
        <x:v>29</x:v>
      </x:c>
      <x:c r="H82" s="25" t="n">
        <x:v>2.403</x:v>
      </x:c>
      <x:c r="I82" s="25" t="n">
        <x:v>0</x:v>
      </x:c>
      <x:c r="J82" t="inlineStr">
        <x:is>
          <x:t>runner 2a49f2f19a5770e7f4f7</x:t>
        </x:is>
      </x:c>
    </x:row>
    <x:row r="83">
      <x:c r="A83" t="inlineStr">
        <x:is>
          <x:t>7KhJ8jKNAlp3wHXO</x:t>
        </x:is>
      </x:c>
      <x:c r="B83" t="inlineStr">
        <x:is>
          <x:t>PPS</x:t>
        </x:is>
      </x:c>
      <x:c r="C83"/>
      <x:c r="D83" s="23" t="n">
        <x:v>0.01</x:v>
      </x:c>
      <x:c r="E83" t="n">
        <x:v>1</x:v>
      </x:c>
      <x:c r="F83" t="inlineStr">
        <x:is>
          <x:t>succeeded</x:t>
        </x:is>
      </x:c>
      <x:c r="G83" t="n">
        <x:v>30</x:v>
      </x:c>
      <x:c r="H83" s="25" t="n">
        <x:v>3.04</x:v>
      </x:c>
      <x:c r="I83" s="25" t="n">
        <x:v>0</x:v>
      </x:c>
      <x:c r="J83" t="inlineStr">
        <x:is>
          <x:t>runner b765993f5ea88b5d6b79</x:t>
        </x:is>
      </x:c>
    </x:row>
    <x:row r="84">
      <x:c r="A84" t="inlineStr">
        <x:is>
          <x:t>fC94y9H3uqyZvV3l</x:t>
        </x:is>
      </x:c>
      <x:c r="B84" t="inlineStr">
        <x:is>
          <x:t>PPS</x:t>
        </x:is>
      </x:c>
      <x:c r="C84"/>
      <x:c r="D84" s="23" t="n">
        <x:v>0.01</x:v>
      </x:c>
      <x:c r="E84" t="n">
        <x:v>1</x:v>
      </x:c>
      <x:c r="F84" t="inlineStr">
        <x:is>
          <x:t>succeeded</x:t>
        </x:is>
      </x:c>
      <x:c r="G84" t="n">
        <x:v>31</x:v>
      </x:c>
      <x:c r="H84" s="25" t="n">
        <x:v>3.066</x:v>
      </x:c>
      <x:c r="I84" s="25" t="n">
        <x:v>0</x:v>
      </x:c>
      <x:c r="J84" t="inlineStr">
        <x:is>
          <x:t>runner 44263e9c396ea5d674de</x:t>
        </x:is>
      </x:c>
    </x:row>
    <x:row r="85">
      <x:c r="A85" t="inlineStr">
        <x:is>
          <x:t>TX2AgPWlGy37ZETm</x:t>
        </x:is>
      </x:c>
      <x:c r="B85" t="inlineStr">
        <x:is>
          <x:t>PPS</x:t>
        </x:is>
      </x:c>
      <x:c r="C85"/>
      <x:c r="D85" s="23" t="n">
        <x:v>0.01</x:v>
      </x:c>
      <x:c r="E85" t="n">
        <x:v>1</x:v>
      </x:c>
      <x:c r="F85" t="inlineStr">
        <x:is>
          <x:t>succeeded</x:t>
        </x:is>
      </x:c>
      <x:c r="G85" t="n">
        <x:v>32</x:v>
      </x:c>
      <x:c r="H85" s="25" t="n">
        <x:v>2.358</x:v>
      </x:c>
      <x:c r="I85" s="25" t="n">
        <x:v>0</x:v>
      </x:c>
      <x:c r="J85" t="inlineStr">
        <x:is>
          <x:t>runner e3ad10f50ed2a72084a8</x:t>
        </x:is>
      </x:c>
    </x:row>
    <x:row r="86">
      <x:c r="A86" t="inlineStr">
        <x:is>
          <x:t>s4CHMC0Q4IqBROPC</x:t>
        </x:is>
      </x:c>
      <x:c r="B86" t="inlineStr">
        <x:is>
          <x:t>PPS</x:t>
        </x:is>
      </x:c>
      <x:c r="C86"/>
      <x:c r="D86" s="23" t="n">
        <x:v>0.01</x:v>
      </x:c>
      <x:c r="E86" t="n">
        <x:v>1</x:v>
      </x:c>
      <x:c r="F86" t="inlineStr">
        <x:is>
          <x:t>succeeded</x:t>
        </x:is>
      </x:c>
      <x:c r="G86" t="n">
        <x:v>33</x:v>
      </x:c>
      <x:c r="H86" s="25" t="n">
        <x:v>2.749</x:v>
      </x:c>
      <x:c r="I86" s="25" t="n">
        <x:v>0</x:v>
      </x:c>
      <x:c r="J86" t="inlineStr">
        <x:is>
          <x:t>runner 5bb665b37d175fe1c110</x:t>
        </x:is>
      </x:c>
    </x:row>
    <x:row r="87">
      <x:c r="A87" t="inlineStr">
        <x:is>
          <x:t>OVc9pnVIH7BJ5SAw</x:t>
        </x:is>
      </x:c>
      <x:c r="B87" t="inlineStr">
        <x:is>
          <x:t>PPS</x:t>
        </x:is>
      </x:c>
      <x:c r="C87"/>
      <x:c r="D87" s="23" t="n">
        <x:v>0.01</x:v>
      </x:c>
      <x:c r="E87" t="n">
        <x:v>1</x:v>
      </x:c>
      <x:c r="F87" t="inlineStr">
        <x:is>
          <x:t>succeeded</x:t>
        </x:is>
      </x:c>
      <x:c r="G87" t="n">
        <x:v>35</x:v>
      </x:c>
      <x:c r="H87" s="25" t="n">
        <x:v>2.789</x:v>
      </x:c>
      <x:c r="I87" s="25" t="n">
        <x:v>0</x:v>
      </x:c>
      <x:c r="J87" t="inlineStr">
        <x:is>
          <x:t>runner de29e6152668fd32454e</x:t>
        </x:is>
      </x:c>
    </x:row>
    <x:row r="88">
      <x:c r="A88" t="inlineStr">
        <x:is>
          <x:t>Xjf9SJ97KNQ6cMiY</x:t>
        </x:is>
      </x:c>
      <x:c r="B88" t="inlineStr">
        <x:is>
          <x:t>PPS</x:t>
        </x:is>
      </x:c>
      <x:c r="C88"/>
      <x:c r="D88" s="23" t="n">
        <x:v>0.01</x:v>
      </x:c>
      <x:c r="E88" t="n">
        <x:v>1</x:v>
      </x:c>
      <x:c r="F88" t="inlineStr">
        <x:is>
          <x:t>succeeded</x:t>
        </x:is>
      </x:c>
      <x:c r="G88" t="n">
        <x:v>34</x:v>
      </x:c>
      <x:c r="H88" s="25" t="n">
        <x:v>2.916</x:v>
      </x:c>
      <x:c r="I88" s="25" t="n">
        <x:v>0</x:v>
      </x:c>
      <x:c r="J88" t="inlineStr">
        <x:is>
          <x:t>runner c6b0965937742a852251</x:t>
        </x:is>
      </x:c>
    </x:row>
    <x:row r="89">
      <x:c r="A89" t="inlineStr">
        <x:is>
          <x:t>Y4w6ODhOvQaEMEBE</x:t>
        </x:is>
      </x:c>
      <x:c r="B89" t="inlineStr">
        <x:is>
          <x:t>PPS</x:t>
        </x:is>
      </x:c>
      <x:c r="C89"/>
      <x:c r="D89" s="23" t="n">
        <x:v>0.001</x:v>
      </x:c>
      <x:c r="E89" t="n">
        <x:v>1</x:v>
      </x:c>
      <x:c r="F89" t="inlineStr">
        <x:is>
          <x:t>succeeded</x:t>
        </x:is>
      </x:c>
      <x:c r="G89" t="n">
        <x:v>0</x:v>
      </x:c>
      <x:c r="H89" s="25" t="n">
        <x:v>27.034</x:v>
      </x:c>
      <x:c r="I89" s="25" t="n">
        <x:v>0</x:v>
      </x:c>
      <x:c r="J89" t="inlineStr">
        <x:is>
          <x:t>runner c12d72b86420532b524a</x:t>
        </x:is>
      </x:c>
    </x:row>
    <x:row r="90">
      <x:c r="A90" t="inlineStr">
        <x:is>
          <x:t>nEUBAvmXYZJCPz6T</x:t>
        </x:is>
      </x:c>
      <x:c r="B90" t="inlineStr">
        <x:is>
          <x:t>PPS</x:t>
        </x:is>
      </x:c>
      <x:c r="C90"/>
      <x:c r="D90" s="23" t="n">
        <x:v>0.001</x:v>
      </x:c>
      <x:c r="E90" t="n">
        <x:v>1</x:v>
      </x:c>
      <x:c r="F90" t="inlineStr">
        <x:is>
          <x:t>succeeded</x:t>
        </x:is>
      </x:c>
      <x:c r="G90" t="n">
        <x:v>1</x:v>
      </x:c>
      <x:c r="H90" s="25" t="n">
        <x:v>38.192</x:v>
      </x:c>
      <x:c r="I90" s="25" t="n">
        <x:v>0</x:v>
      </x:c>
      <x:c r="J90" t="inlineStr">
        <x:is>
          <x:t>runner 8e46501bbf9100ff8852</x:t>
        </x:is>
      </x:c>
    </x:row>
    <x:row r="91">
      <x:c r="A91" t="inlineStr">
        <x:is>
          <x:t>Ad1g5x7Rz5rKutyM</x:t>
        </x:is>
      </x:c>
      <x:c r="B91" t="inlineStr">
        <x:is>
          <x:t>PPS</x:t>
        </x:is>
      </x:c>
      <x:c r="C91"/>
      <x:c r="D91" s="23" t="n">
        <x:v>0.001</x:v>
      </x:c>
      <x:c r="E91" t="n">
        <x:v>1</x:v>
      </x:c>
      <x:c r="F91" t="inlineStr">
        <x:is>
          <x:t>succeeded</x:t>
        </x:is>
      </x:c>
      <x:c r="G91" t="n">
        <x:v>2</x:v>
      </x:c>
      <x:c r="H91" s="25" t="n">
        <x:v>42.608</x:v>
      </x:c>
      <x:c r="I91" s="25" t="n">
        <x:v>0</x:v>
      </x:c>
      <x:c r="J91" t="inlineStr">
        <x:is>
          <x:t>runner 69c230b77bf04ae03343</x:t>
        </x:is>
      </x:c>
    </x:row>
    <x:row r="92">
      <x:c r="A92" t="inlineStr">
        <x:is>
          <x:t>SPBvCC2VMTvlYFpr</x:t>
        </x:is>
      </x:c>
      <x:c r="B92" t="inlineStr">
        <x:is>
          <x:t>PPS</x:t>
        </x:is>
      </x:c>
      <x:c r="C92"/>
      <x:c r="D92" s="23" t="n">
        <x:v>0.001</x:v>
      </x:c>
      <x:c r="E92" t="n">
        <x:v>1</x:v>
      </x:c>
      <x:c r="F92" t="inlineStr">
        <x:is>
          <x:t>succeeded</x:t>
        </x:is>
      </x:c>
      <x:c r="G92" t="n">
        <x:v>3</x:v>
      </x:c>
      <x:c r="H92" s="25" t="n">
        <x:v>42.564</x:v>
      </x:c>
      <x:c r="I92" s="25" t="n">
        <x:v>0</x:v>
      </x:c>
      <x:c r="J92" t="inlineStr">
        <x:is>
          <x:t>runner 5c662c1b4d03ded6d732</x:t>
        </x:is>
      </x:c>
    </x:row>
    <x:row r="93">
      <x:c r="A93" t="inlineStr">
        <x:is>
          <x:t>aBVZQHy2oOfRp25c</x:t>
        </x:is>
      </x:c>
      <x:c r="B93" t="inlineStr">
        <x:is>
          <x:t>PPS</x:t>
        </x:is>
      </x:c>
      <x:c r="C93"/>
      <x:c r="D93" s="23" t="n">
        <x:v>0.001</x:v>
      </x:c>
      <x:c r="E93" t="n">
        <x:v>1</x:v>
      </x:c>
      <x:c r="F93" t="inlineStr">
        <x:is>
          <x:t>succeeded</x:t>
        </x:is>
      </x:c>
      <x:c r="G93" t="n">
        <x:v>4</x:v>
      </x:c>
      <x:c r="H93" s="25" t="n">
        <x:v>39.785</x:v>
      </x:c>
      <x:c r="I93" s="25" t="n">
        <x:v>0</x:v>
      </x:c>
      <x:c r="J93" t="inlineStr">
        <x:is>
          <x:t>runner 69c0dfb0865808b01b76</x:t>
        </x:is>
      </x:c>
    </x:row>
    <x:row r="94">
      <x:c r="A94" t="inlineStr">
        <x:is>
          <x:t>ryM49NQEjsPWQxGt</x:t>
        </x:is>
      </x:c>
      <x:c r="B94" t="inlineStr">
        <x:is>
          <x:t>PPS</x:t>
        </x:is>
      </x:c>
      <x:c r="C94"/>
      <x:c r="D94" s="23" t="n">
        <x:v>0.001</x:v>
      </x:c>
      <x:c r="E94" t="n">
        <x:v>1</x:v>
      </x:c>
      <x:c r="F94" t="inlineStr">
        <x:is>
          <x:t>succeeded</x:t>
        </x:is>
      </x:c>
      <x:c r="G94" t="n">
        <x:v>5</x:v>
      </x:c>
      <x:c r="H94" s="25" t="n">
        <x:v>35.751</x:v>
      </x:c>
      <x:c r="I94" s="25" t="n">
        <x:v>0</x:v>
      </x:c>
      <x:c r="J94" t="inlineStr">
        <x:is>
          <x:t>runner 156d702096276287d7a1</x:t>
        </x:is>
      </x:c>
    </x:row>
    <x:row r="95">
      <x:c r="A95" t="inlineStr">
        <x:is>
          <x:t>ERSm3Ge7UepkJty7</x:t>
        </x:is>
      </x:c>
      <x:c r="B95" t="inlineStr">
        <x:is>
          <x:t>PPS</x:t>
        </x:is>
      </x:c>
      <x:c r="C95"/>
      <x:c r="D95" s="23" t="n">
        <x:v>0.001</x:v>
      </x:c>
      <x:c r="E95" t="n">
        <x:v>1</x:v>
      </x:c>
      <x:c r="F95" t="inlineStr">
        <x:is>
          <x:t>succeeded</x:t>
        </x:is>
      </x:c>
      <x:c r="G95" t="n">
        <x:v>6</x:v>
      </x:c>
      <x:c r="H95" s="25" t="n">
        <x:v>42.679</x:v>
      </x:c>
      <x:c r="I95" s="25" t="n">
        <x:v>0</x:v>
      </x:c>
      <x:c r="J95" t="inlineStr">
        <x:is>
          <x:t>runner e77e912f5f8cffecba39</x:t>
        </x:is>
      </x:c>
    </x:row>
    <x:row r="96">
      <x:c r="A96" t="inlineStr">
        <x:is>
          <x:t>qSvQCkye2uT5bioE</x:t>
        </x:is>
      </x:c>
      <x:c r="B96" t="inlineStr">
        <x:is>
          <x:t>PPS</x:t>
        </x:is>
      </x:c>
      <x:c r="C96"/>
      <x:c r="D96" s="23" t="n">
        <x:v>0.001</x:v>
      </x:c>
      <x:c r="E96" t="n">
        <x:v>1</x:v>
      </x:c>
      <x:c r="F96" t="inlineStr">
        <x:is>
          <x:t>succeeded</x:t>
        </x:is>
      </x:c>
      <x:c r="G96" t="n">
        <x:v>7</x:v>
      </x:c>
      <x:c r="H96" s="25" t="n">
        <x:v>35.48</x:v>
      </x:c>
      <x:c r="I96" s="25" t="n">
        <x:v>0</x:v>
      </x:c>
      <x:c r="J96" t="inlineStr">
        <x:is>
          <x:t>runner 8d417a017916a5a16f10</x:t>
        </x:is>
      </x:c>
    </x:row>
    <x:row r="97">
      <x:c r="A97" t="inlineStr">
        <x:is>
          <x:t>AOBSFCYfBLwjRIUC</x:t>
        </x:is>
      </x:c>
      <x:c r="B97" t="inlineStr">
        <x:is>
          <x:t>PPS</x:t>
        </x:is>
      </x:c>
      <x:c r="C97"/>
      <x:c r="D97" s="23" t="n">
        <x:v>0.001</x:v>
      </x:c>
      <x:c r="E97" t="n">
        <x:v>1</x:v>
      </x:c>
      <x:c r="F97" t="inlineStr">
        <x:is>
          <x:t>succeeded</x:t>
        </x:is>
      </x:c>
      <x:c r="G97" t="n">
        <x:v>8</x:v>
      </x:c>
      <x:c r="H97" s="25" t="n">
        <x:v>33.496</x:v>
      </x:c>
      <x:c r="I97" s="25" t="n">
        <x:v>0</x:v>
      </x:c>
      <x:c r="J97" t="inlineStr">
        <x:is>
          <x:t>runner f7fc83374472359fb145</x:t>
        </x:is>
      </x:c>
    </x:row>
    <x:row r="98">
      <x:c r="A98" t="inlineStr">
        <x:is>
          <x:t>X5npAZ6zkZNTh0GN</x:t>
        </x:is>
      </x:c>
      <x:c r="B98" t="inlineStr">
        <x:is>
          <x:t>PPS</x:t>
        </x:is>
      </x:c>
      <x:c r="C98"/>
      <x:c r="D98" s="23" t="n">
        <x:v>0.001</x:v>
      </x:c>
      <x:c r="E98" t="n">
        <x:v>1</x:v>
      </x:c>
      <x:c r="F98" t="inlineStr">
        <x:is>
          <x:t>succeeded</x:t>
        </x:is>
      </x:c>
      <x:c r="G98" t="n">
        <x:v>9</x:v>
      </x:c>
      <x:c r="H98" s="25" t="n">
        <x:v>43.135</x:v>
      </x:c>
      <x:c r="I98" s="25" t="n">
        <x:v>0</x:v>
      </x:c>
      <x:c r="J98" t="inlineStr">
        <x:is>
          <x:t>runner 91ce230764b94ee56ee7</x:t>
        </x:is>
      </x:c>
    </x:row>
    <x:row r="99">
      <x:c r="A99" t="inlineStr">
        <x:is>
          <x:t>VwZ1ihwSNXC5UROj</x:t>
        </x:is>
      </x:c>
      <x:c r="B99" t="inlineStr">
        <x:is>
          <x:t>PPS</x:t>
        </x:is>
      </x:c>
      <x:c r="C99"/>
      <x:c r="D99" s="23" t="n">
        <x:v>0.001</x:v>
      </x:c>
      <x:c r="E99" t="n">
        <x:v>1</x:v>
      </x:c>
      <x:c r="F99" t="inlineStr">
        <x:is>
          <x:t>succeeded</x:t>
        </x:is>
      </x:c>
      <x:c r="G99" t="n">
        <x:v>10</x:v>
      </x:c>
      <x:c r="H99" s="25" t="n">
        <x:v>44.589</x:v>
      </x:c>
      <x:c r="I99" s="25" t="n">
        <x:v>0</x:v>
      </x:c>
      <x:c r="J99" t="inlineStr">
        <x:is>
          <x:t>runner 835e3d82e0d9524fca35</x:t>
        </x:is>
      </x:c>
    </x:row>
    <x:row r="100">
      <x:c r="A100" t="inlineStr">
        <x:is>
          <x:t>uq9niTD7ua3Hd7HP</x:t>
        </x:is>
      </x:c>
      <x:c r="B100" t="inlineStr">
        <x:is>
          <x:t>PPS</x:t>
        </x:is>
      </x:c>
      <x:c r="C100"/>
      <x:c r="D100" s="23" t="n">
        <x:v>0.001</x:v>
      </x:c>
      <x:c r="E100" t="n">
        <x:v>1</x:v>
      </x:c>
      <x:c r="F100" t="inlineStr">
        <x:is>
          <x:t>succeeded</x:t>
        </x:is>
      </x:c>
      <x:c r="G100" t="n">
        <x:v>11</x:v>
      </x:c>
      <x:c r="H100" s="25" t="n">
        <x:v>44.486</x:v>
      </x:c>
      <x:c r="I100" s="25" t="n">
        <x:v>0</x:v>
      </x:c>
      <x:c r="J100" t="inlineStr">
        <x:is>
          <x:t>runner decc4f1ec8be077db9db</x:t>
        </x:is>
      </x:c>
    </x:row>
    <x:row r="101">
      <x:c r="A101" t="inlineStr">
        <x:is>
          <x:t>0HOBApq09oRK27tw</x:t>
        </x:is>
      </x:c>
      <x:c r="B101" t="inlineStr">
        <x:is>
          <x:t>PPS</x:t>
        </x:is>
      </x:c>
      <x:c r="C101"/>
      <x:c r="D101" s="23" t="n">
        <x:v>0.001</x:v>
      </x:c>
      <x:c r="E101" t="n">
        <x:v>1</x:v>
      </x:c>
      <x:c r="F101" t="inlineStr">
        <x:is>
          <x:t>succeeded</x:t>
        </x:is>
      </x:c>
      <x:c r="G101" t="n">
        <x:v>12</x:v>
      </x:c>
      <x:c r="H101" s="25" t="n">
        <x:v>42.277</x:v>
      </x:c>
      <x:c r="I101" s="25" t="n">
        <x:v>0</x:v>
      </x:c>
      <x:c r="J101" t="inlineStr">
        <x:is>
          <x:t>runner 6b40c0269b13fe7924e2</x:t>
        </x:is>
      </x:c>
    </x:row>
    <x:row r="102">
      <x:c r="A102" t="inlineStr">
        <x:is>
          <x:t>8MT0rFxHFwm6yP6C</x:t>
        </x:is>
      </x:c>
      <x:c r="B102" t="inlineStr">
        <x:is>
          <x:t>PPS</x:t>
        </x:is>
      </x:c>
      <x:c r="C102"/>
      <x:c r="D102" s="23" t="n">
        <x:v>0.001</x:v>
      </x:c>
      <x:c r="E102" t="n">
        <x:v>1</x:v>
      </x:c>
      <x:c r="F102" t="inlineStr">
        <x:is>
          <x:t>succeeded</x:t>
        </x:is>
      </x:c>
      <x:c r="G102" t="n">
        <x:v>13</x:v>
      </x:c>
      <x:c r="H102" s="25" t="n">
        <x:v>43.931</x:v>
      </x:c>
      <x:c r="I102" s="25" t="n">
        <x:v>0</x:v>
      </x:c>
      <x:c r="J102" t="inlineStr">
        <x:is>
          <x:t>runner d925d5870ec580da4eea</x:t>
        </x:is>
      </x:c>
    </x:row>
    <x:row r="103">
      <x:c r="A103" t="inlineStr">
        <x:is>
          <x:t>8PSxvOeSy3Shxn0K</x:t>
        </x:is>
      </x:c>
      <x:c r="B103" t="inlineStr">
        <x:is>
          <x:t>PPS</x:t>
        </x:is>
      </x:c>
      <x:c r="C103"/>
      <x:c r="D103" s="23" t="n">
        <x:v>0.001</x:v>
      </x:c>
      <x:c r="E103" t="n">
        <x:v>1</x:v>
      </x:c>
      <x:c r="F103" t="inlineStr">
        <x:is>
          <x:t>succeeded</x:t>
        </x:is>
      </x:c>
      <x:c r="G103" t="n">
        <x:v>15</x:v>
      </x:c>
      <x:c r="H103" s="25" t="n">
        <x:v>45.229</x:v>
      </x:c>
      <x:c r="I103" s="25" t="n">
        <x:v>0</x:v>
      </x:c>
      <x:c r="J103" t="inlineStr">
        <x:is>
          <x:t>runner 98614eda9d77433f8127</x:t>
        </x:is>
      </x:c>
    </x:row>
    <x:row r="104">
      <x:c r="A104" t="inlineStr">
        <x:is>
          <x:t>wrb9mPZ5GHyZhS8I</x:t>
        </x:is>
      </x:c>
      <x:c r="B104" t="inlineStr">
        <x:is>
          <x:t>PPS</x:t>
        </x:is>
      </x:c>
      <x:c r="C104"/>
      <x:c r="D104" s="23" t="n">
        <x:v>0.001</x:v>
      </x:c>
      <x:c r="E104" t="n">
        <x:v>1</x:v>
      </x:c>
      <x:c r="F104" t="inlineStr">
        <x:is>
          <x:t>succeeded</x:t>
        </x:is>
      </x:c>
      <x:c r="G104" t="n">
        <x:v>16</x:v>
      </x:c>
      <x:c r="H104" s="25" t="n">
        <x:v>27.057</x:v>
      </x:c>
      <x:c r="I104" s="25" t="n">
        <x:v>0</x:v>
      </x:c>
      <x:c r="J104" t="inlineStr">
        <x:is>
          <x:t>runner 2aa688356d40b9d5b39e</x:t>
        </x:is>
      </x:c>
    </x:row>
    <x:row r="105">
      <x:c r="A105" t="inlineStr">
        <x:is>
          <x:t>tGiKo8iq60FLkMvB</x:t>
        </x:is>
      </x:c>
      <x:c r="B105" t="inlineStr">
        <x:is>
          <x:t>PPS</x:t>
        </x:is>
      </x:c>
      <x:c r="C105"/>
      <x:c r="D105" s="23" t="n">
        <x:v>0.001</x:v>
      </x:c>
      <x:c r="E105" t="n">
        <x:v>1</x:v>
      </x:c>
      <x:c r="F105" t="inlineStr">
        <x:is>
          <x:t>succeeded</x:t>
        </x:is>
      </x:c>
      <x:c r="G105" t="n">
        <x:v>17</x:v>
      </x:c>
      <x:c r="H105" s="25" t="n">
        <x:v>43.417</x:v>
      </x:c>
      <x:c r="I105" s="25" t="n">
        <x:v>0</x:v>
      </x:c>
      <x:c r="J105" t="inlineStr">
        <x:is>
          <x:t>runner bfcbe640cd5dd3f62c72</x:t>
        </x:is>
      </x:c>
    </x:row>
    <x:row r="106">
      <x:c r="A106" t="inlineStr">
        <x:is>
          <x:t>VFhkjBkMd3ySlz9R</x:t>
        </x:is>
      </x:c>
      <x:c r="B106" t="inlineStr">
        <x:is>
          <x:t>PPS</x:t>
        </x:is>
      </x:c>
      <x:c r="C106"/>
      <x:c r="D106" s="23" t="n">
        <x:v>0.001</x:v>
      </x:c>
      <x:c r="E106" t="n">
        <x:v>1</x:v>
      </x:c>
      <x:c r="F106" t="inlineStr">
        <x:is>
          <x:t>succeeded</x:t>
        </x:is>
      </x:c>
      <x:c r="G106" t="n">
        <x:v>19</x:v>
      </x:c>
      <x:c r="H106" s="25" t="n">
        <x:v>23.397</x:v>
      </x:c>
      <x:c r="I106" s="25" t="n">
        <x:v>0</x:v>
      </x:c>
      <x:c r="J106" t="inlineStr">
        <x:is>
          <x:t>runner 279b469fac9d553bc42e</x:t>
        </x:is>
      </x:c>
    </x:row>
    <x:row r="107">
      <x:c r="A107" t="inlineStr">
        <x:is>
          <x:t>NcPzuUkOexQBB7F1</x:t>
        </x:is>
      </x:c>
      <x:c r="B107" t="inlineStr">
        <x:is>
          <x:t>PPS</x:t>
        </x:is>
      </x:c>
      <x:c r="C107"/>
      <x:c r="D107" s="23" t="n">
        <x:v>0.001</x:v>
      </x:c>
      <x:c r="E107" t="n">
        <x:v>1</x:v>
      </x:c>
      <x:c r="F107" t="inlineStr">
        <x:is>
          <x:t>succeeded</x:t>
        </x:is>
      </x:c>
      <x:c r="G107" t="n">
        <x:v>14</x:v>
      </x:c>
      <x:c r="H107" s="25" t="n">
        <x:v>42.053</x:v>
      </x:c>
      <x:c r="I107" s="25" t="n">
        <x:v>0</x:v>
      </x:c>
      <x:c r="J107" t="inlineStr">
        <x:is>
          <x:t>runner 91e8a7599b4d3035a9c9</x:t>
        </x:is>
      </x:c>
    </x:row>
    <x:row r="108">
      <x:c r="A108" t="inlineStr">
        <x:is>
          <x:t>6VfhLjzsWWCMgZDK</x:t>
        </x:is>
      </x:c>
      <x:c r="B108" t="inlineStr">
        <x:is>
          <x:t>PPS</x:t>
        </x:is>
      </x:c>
      <x:c r="C108"/>
      <x:c r="D108" s="23" t="n">
        <x:v>0.001</x:v>
      </x:c>
      <x:c r="E108" t="n">
        <x:v>1</x:v>
      </x:c>
      <x:c r="F108" t="inlineStr">
        <x:is>
          <x:t>succeeded</x:t>
        </x:is>
      </x:c>
      <x:c r="G108" t="n">
        <x:v>20</x:v>
      </x:c>
      <x:c r="H108" s="25" t="n">
        <x:v>44.56</x:v>
      </x:c>
      <x:c r="I108" s="25" t="n">
        <x:v>0</x:v>
      </x:c>
      <x:c r="J108" t="inlineStr">
        <x:is>
          <x:t>runner cb607598dc58ea8290ab</x:t>
        </x:is>
      </x:c>
    </x:row>
    <x:row r="109">
      <x:c r="A109" t="inlineStr">
        <x:is>
          <x:t>86l9MYnYbru84AoB</x:t>
        </x:is>
      </x:c>
      <x:c r="B109" t="inlineStr">
        <x:is>
          <x:t>PPS</x:t>
        </x:is>
      </x:c>
      <x:c r="C109"/>
      <x:c r="D109" s="23" t="n">
        <x:v>0.001</x:v>
      </x:c>
      <x:c r="E109" t="n">
        <x:v>1</x:v>
      </x:c>
      <x:c r="F109" t="inlineStr">
        <x:is>
          <x:t>succeeded</x:t>
        </x:is>
      </x:c>
      <x:c r="G109" t="n">
        <x:v>18</x:v>
      </x:c>
      <x:c r="H109" s="25" t="n">
        <x:v>39.952</x:v>
      </x:c>
      <x:c r="I109" s="25" t="n">
        <x:v>0</x:v>
      </x:c>
      <x:c r="J109" t="inlineStr">
        <x:is>
          <x:t>runner 77a05b007a06de318ce2</x:t>
        </x:is>
      </x:c>
    </x:row>
    <x:row r="110">
      <x:c r="A110" t="inlineStr">
        <x:is>
          <x:t>sJJUOvfbfm1Zp16y</x:t>
        </x:is>
      </x:c>
      <x:c r="B110" t="inlineStr">
        <x:is>
          <x:t>PPS</x:t>
        </x:is>
      </x:c>
      <x:c r="C110"/>
      <x:c r="D110" s="23" t="n">
        <x:v>0.001</x:v>
      </x:c>
      <x:c r="E110" t="n">
        <x:v>1</x:v>
      </x:c>
      <x:c r="F110" t="inlineStr">
        <x:is>
          <x:t>succeeded</x:t>
        </x:is>
      </x:c>
      <x:c r="G110" t="n">
        <x:v>21</x:v>
      </x:c>
      <x:c r="H110" s="25" t="n">
        <x:v>46.148</x:v>
      </x:c>
      <x:c r="I110" s="25" t="n">
        <x:v>0</x:v>
      </x:c>
      <x:c r="J110" t="inlineStr">
        <x:is>
          <x:t>runner a3cf6fc5014e78fac7a3</x:t>
        </x:is>
      </x:c>
    </x:row>
    <x:row r="111">
      <x:c r="A111" t="inlineStr">
        <x:is>
          <x:t>qEDGDFiIfE6yjGa4</x:t>
        </x:is>
      </x:c>
      <x:c r="B111" t="inlineStr">
        <x:is>
          <x:t>PPS</x:t>
        </x:is>
      </x:c>
      <x:c r="C111"/>
      <x:c r="D111" s="23" t="n">
        <x:v>0.001</x:v>
      </x:c>
      <x:c r="E111" t="n">
        <x:v>1</x:v>
      </x:c>
      <x:c r="F111" t="inlineStr">
        <x:is>
          <x:t>succeeded</x:t>
        </x:is>
      </x:c>
      <x:c r="G111" t="n">
        <x:v>22</x:v>
      </x:c>
      <x:c r="H111" s="25" t="n">
        <x:v>42.97</x:v>
      </x:c>
      <x:c r="I111" s="25" t="n">
        <x:v>0</x:v>
      </x:c>
      <x:c r="J111" t="inlineStr">
        <x:is>
          <x:t>runner 87237e5c480dd5fa4335</x:t>
        </x:is>
      </x:c>
    </x:row>
    <x:row r="112">
      <x:c r="A112" t="inlineStr">
        <x:is>
          <x:t>eiW2qPvO35DpISjc</x:t>
        </x:is>
      </x:c>
      <x:c r="B112" t="inlineStr">
        <x:is>
          <x:t>PPS</x:t>
        </x:is>
      </x:c>
      <x:c r="C112"/>
      <x:c r="D112" s="23" t="n">
        <x:v>0.001</x:v>
      </x:c>
      <x:c r="E112" t="n">
        <x:v>1</x:v>
      </x:c>
      <x:c r="F112" t="inlineStr">
        <x:is>
          <x:t>succeeded</x:t>
        </x:is>
      </x:c>
      <x:c r="G112" t="n">
        <x:v>23</x:v>
      </x:c>
      <x:c r="H112" s="25" t="n">
        <x:v>39.446</x:v>
      </x:c>
      <x:c r="I112" s="25" t="n">
        <x:v>0</x:v>
      </x:c>
      <x:c r="J112" t="inlineStr">
        <x:is>
          <x:t>runner bd1b562f82d8e308f172</x:t>
        </x:is>
      </x:c>
    </x:row>
    <x:row r="113">
      <x:c r="A113" t="inlineStr">
        <x:is>
          <x:t>r38tyhYg2WmTnMW9</x:t>
        </x:is>
      </x:c>
      <x:c r="B113" t="inlineStr">
        <x:is>
          <x:t>PPS</x:t>
        </x:is>
      </x:c>
      <x:c r="C113"/>
      <x:c r="D113" s="23" t="n">
        <x:v>0.001</x:v>
      </x:c>
      <x:c r="E113" t="n">
        <x:v>1</x:v>
      </x:c>
      <x:c r="F113" t="inlineStr">
        <x:is>
          <x:t>succeeded</x:t>
        </x:is>
      </x:c>
      <x:c r="G113" t="n">
        <x:v>24</x:v>
      </x:c>
      <x:c r="H113" s="25" t="n">
        <x:v>42.886</x:v>
      </x:c>
      <x:c r="I113" s="25" t="n">
        <x:v>0</x:v>
      </x:c>
      <x:c r="J113" t="inlineStr">
        <x:is>
          <x:t>runner deeeeeebcefc0deec27b</x:t>
        </x:is>
      </x:c>
    </x:row>
    <x:row r="114">
      <x:c r="A114" t="inlineStr">
        <x:is>
          <x:t>BsMHkFTGLD9d9GAJ</x:t>
        </x:is>
      </x:c>
      <x:c r="B114" t="inlineStr">
        <x:is>
          <x:t>PPS</x:t>
        </x:is>
      </x:c>
      <x:c r="C114"/>
      <x:c r="D114" s="23" t="n">
        <x:v>0.001</x:v>
      </x:c>
      <x:c r="E114" t="n">
        <x:v>1</x:v>
      </x:c>
      <x:c r="F114" t="inlineStr">
        <x:is>
          <x:t>succeeded</x:t>
        </x:is>
      </x:c>
      <x:c r="G114" t="n">
        <x:v>25</x:v>
      </x:c>
      <x:c r="H114" s="25" t="n">
        <x:v>40.404</x:v>
      </x:c>
      <x:c r="I114" s="25" t="n">
        <x:v>0</x:v>
      </x:c>
      <x:c r="J114" t="inlineStr">
        <x:is>
          <x:t>runner 789d148678f524980ff3</x:t>
        </x:is>
      </x:c>
    </x:row>
    <x:row r="115">
      <x:c r="A115" t="inlineStr">
        <x:is>
          <x:t>9Frr61ojnCphHFyJ</x:t>
        </x:is>
      </x:c>
      <x:c r="B115" t="inlineStr">
        <x:is>
          <x:t>PPS</x:t>
        </x:is>
      </x:c>
      <x:c r="C115"/>
      <x:c r="D115" s="23" t="n">
        <x:v>0.001</x:v>
      </x:c>
      <x:c r="E115" t="n">
        <x:v>1</x:v>
      </x:c>
      <x:c r="F115" t="inlineStr">
        <x:is>
          <x:t>succeeded</x:t>
        </x:is>
      </x:c>
      <x:c r="G115" t="n">
        <x:v>26</x:v>
      </x:c>
      <x:c r="H115" s="25" t="n">
        <x:v>42.376</x:v>
      </x:c>
      <x:c r="I115" s="25" t="n">
        <x:v>0</x:v>
      </x:c>
      <x:c r="J115" t="inlineStr">
        <x:is>
          <x:t>runner 12850ccc77271b284b80</x:t>
        </x:is>
      </x:c>
    </x:row>
    <x:row r="116">
      <x:c r="A116" t="inlineStr">
        <x:is>
          <x:t>pnFJSuOFmEU0LsYm</x:t>
        </x:is>
      </x:c>
      <x:c r="B116" t="inlineStr">
        <x:is>
          <x:t>PPS</x:t>
        </x:is>
      </x:c>
      <x:c r="C116"/>
      <x:c r="D116" s="23" t="n">
        <x:v>0.001</x:v>
      </x:c>
      <x:c r="E116" t="n">
        <x:v>1</x:v>
      </x:c>
      <x:c r="F116" t="inlineStr">
        <x:is>
          <x:t>succeeded</x:t>
        </x:is>
      </x:c>
      <x:c r="G116" t="n">
        <x:v>27</x:v>
      </x:c>
      <x:c r="H116" s="25" t="n">
        <x:v>43.988</x:v>
      </x:c>
      <x:c r="I116" s="25" t="n">
        <x:v>0</x:v>
      </x:c>
      <x:c r="J116" t="inlineStr">
        <x:is>
          <x:t>runner a827497177662d137850</x:t>
        </x:is>
      </x:c>
    </x:row>
    <x:row r="117">
      <x:c r="A117" t="inlineStr">
        <x:is>
          <x:t>skMT13Tu7LKivH1k</x:t>
        </x:is>
      </x:c>
      <x:c r="B117" t="inlineStr">
        <x:is>
          <x:t>PPS</x:t>
        </x:is>
      </x:c>
      <x:c r="C117"/>
      <x:c r="D117" s="23" t="n">
        <x:v>0.001</x:v>
      </x:c>
      <x:c r="E117" t="n">
        <x:v>1</x:v>
      </x:c>
      <x:c r="F117" t="inlineStr">
        <x:is>
          <x:t>succeeded</x:t>
        </x:is>
      </x:c>
      <x:c r="G117" t="n">
        <x:v>28</x:v>
      </x:c>
      <x:c r="H117" s="25" t="n">
        <x:v>41.174</x:v>
      </x:c>
      <x:c r="I117" s="25" t="n">
        <x:v>0</x:v>
      </x:c>
      <x:c r="J117" t="inlineStr">
        <x:is>
          <x:t>runner 496544553f99ca5bc693</x:t>
        </x:is>
      </x:c>
    </x:row>
    <x:row r="118">
      <x:c r="A118" t="inlineStr">
        <x:is>
          <x:t>jgcO3PBceBZssFOa</x:t>
        </x:is>
      </x:c>
      <x:c r="B118" t="inlineStr">
        <x:is>
          <x:t>PPS</x:t>
        </x:is>
      </x:c>
      <x:c r="C118"/>
      <x:c r="D118" s="23" t="n">
        <x:v>0.001</x:v>
      </x:c>
      <x:c r="E118" t="n">
        <x:v>1</x:v>
      </x:c>
      <x:c r="F118" t="inlineStr">
        <x:is>
          <x:t>succeeded</x:t>
        </x:is>
      </x:c>
      <x:c r="G118" t="n">
        <x:v>29</x:v>
      </x:c>
      <x:c r="H118" s="25" t="n">
        <x:v>40.524</x:v>
      </x:c>
      <x:c r="I118" s="25" t="n">
        <x:v>0</x:v>
      </x:c>
      <x:c r="J118" t="inlineStr">
        <x:is>
          <x:t>runner c09a3ce9d981209333d3</x:t>
        </x:is>
      </x:c>
    </x:row>
    <x:row r="119">
      <x:c r="A119" t="inlineStr">
        <x:is>
          <x:t>fQHUiJVqzCKTvqLf</x:t>
        </x:is>
      </x:c>
      <x:c r="B119" t="inlineStr">
        <x:is>
          <x:t>PPS</x:t>
        </x:is>
      </x:c>
      <x:c r="C119"/>
      <x:c r="D119" s="23" t="n">
        <x:v>0.001</x:v>
      </x:c>
      <x:c r="E119" t="n">
        <x:v>1</x:v>
      </x:c>
      <x:c r="F119" t="inlineStr">
        <x:is>
          <x:t>succeeded</x:t>
        </x:is>
      </x:c>
      <x:c r="G119" t="n">
        <x:v>30</x:v>
      </x:c>
      <x:c r="H119" s="25" t="n">
        <x:v>40.788</x:v>
      </x:c>
      <x:c r="I119" s="25" t="n">
        <x:v>0</x:v>
      </x:c>
      <x:c r="J119" t="inlineStr">
        <x:is>
          <x:t>runner 1420d87b78187d9b81a8</x:t>
        </x:is>
      </x:c>
    </x:row>
    <x:row r="120">
      <x:c r="A120" t="inlineStr">
        <x:is>
          <x:t>MYqmvLBMVcrlG0Cb</x:t>
        </x:is>
      </x:c>
      <x:c r="B120" t="inlineStr">
        <x:is>
          <x:t>PPS</x:t>
        </x:is>
      </x:c>
      <x:c r="C120"/>
      <x:c r="D120" s="23" t="n">
        <x:v>0.001</x:v>
      </x:c>
      <x:c r="E120" t="n">
        <x:v>1</x:v>
      </x:c>
      <x:c r="F120" t="inlineStr">
        <x:is>
          <x:t>succeeded</x:t>
        </x:is>
      </x:c>
      <x:c r="G120" t="n">
        <x:v>31</x:v>
      </x:c>
      <x:c r="H120" s="25" t="n">
        <x:v>35.89</x:v>
      </x:c>
      <x:c r="I120" s="25" t="n">
        <x:v>0</x:v>
      </x:c>
      <x:c r="J120" t="inlineStr">
        <x:is>
          <x:t>runner 3e24d0050f7a55f2a339</x:t>
        </x:is>
      </x:c>
    </x:row>
    <x:row r="121">
      <x:c r="A121" t="inlineStr">
        <x:is>
          <x:t>mFyyYycRDyDXNKpv</x:t>
        </x:is>
      </x:c>
      <x:c r="B121" t="inlineStr">
        <x:is>
          <x:t>PPS</x:t>
        </x:is>
      </x:c>
      <x:c r="C121"/>
      <x:c r="D121" s="23" t="n">
        <x:v>0.001</x:v>
      </x:c>
      <x:c r="E121" t="n">
        <x:v>1</x:v>
      </x:c>
      <x:c r="F121" t="inlineStr">
        <x:is>
          <x:t>succeeded</x:t>
        </x:is>
      </x:c>
      <x:c r="G121" t="n">
        <x:v>32</x:v>
      </x:c>
      <x:c r="H121" s="25" t="n">
        <x:v>41.587</x:v>
      </x:c>
      <x:c r="I121" s="25" t="n">
        <x:v>0</x:v>
      </x:c>
      <x:c r="J121" t="inlineStr">
        <x:is>
          <x:t>runner daa5095d60f3e78a2ffa</x:t>
        </x:is>
      </x:c>
    </x:row>
    <x:row r="122">
      <x:c r="A122" t="inlineStr">
        <x:is>
          <x:t>XS6SEyUZjqKUZ8rU</x:t>
        </x:is>
      </x:c>
      <x:c r="B122" t="inlineStr">
        <x:is>
          <x:t>PPS</x:t>
        </x:is>
      </x:c>
      <x:c r="C122"/>
      <x:c r="D122" s="23" t="n">
        <x:v>0.001</x:v>
      </x:c>
      <x:c r="E122" t="n">
        <x:v>1</x:v>
      </x:c>
      <x:c r="F122" t="inlineStr">
        <x:is>
          <x:t>succeeded</x:t>
        </x:is>
      </x:c>
      <x:c r="G122" t="n">
        <x:v>33</x:v>
      </x:c>
      <x:c r="H122" s="25" t="n">
        <x:v>42.85</x:v>
      </x:c>
      <x:c r="I122" s="25" t="n">
        <x:v>0</x:v>
      </x:c>
      <x:c r="J122" t="inlineStr">
        <x:is>
          <x:t>runner 90a319966a31b336bbdd</x:t>
        </x:is>
      </x:c>
    </x:row>
    <x:row r="123">
      <x:c r="A123" t="inlineStr">
        <x:is>
          <x:t>v9QKDiIrng4vCTBE</x:t>
        </x:is>
      </x:c>
      <x:c r="B123" t="inlineStr">
        <x:is>
          <x:t>PPS</x:t>
        </x:is>
      </x:c>
      <x:c r="C123"/>
      <x:c r="D123" s="23" t="n">
        <x:v>0.001</x:v>
      </x:c>
      <x:c r="E123" t="n">
        <x:v>1</x:v>
      </x:c>
      <x:c r="F123" t="inlineStr">
        <x:is>
          <x:t>succeeded</x:t>
        </x:is>
      </x:c>
      <x:c r="G123" t="n">
        <x:v>34</x:v>
      </x:c>
      <x:c r="H123" s="25" t="n">
        <x:v>42.566</x:v>
      </x:c>
      <x:c r="I123" s="25" t="n">
        <x:v>0</x:v>
      </x:c>
      <x:c r="J123" t="inlineStr">
        <x:is>
          <x:t>runner 71ac3166d76cdc66be99</x:t>
        </x:is>
      </x:c>
    </x:row>
    <x:row r="124">
      <x:c r="A124" t="inlineStr">
        <x:is>
          <x:t>6hJPFIOc3t9GSd2a</x:t>
        </x:is>
      </x:c>
      <x:c r="B124" t="inlineStr">
        <x:is>
          <x:t>PPS</x:t>
        </x:is>
      </x:c>
      <x:c r="C124"/>
      <x:c r="D124" s="23" t="n">
        <x:v>0.001</x:v>
      </x:c>
      <x:c r="E124" t="n">
        <x:v>1</x:v>
      </x:c>
      <x:c r="F124" t="inlineStr">
        <x:is>
          <x:t>succeeded</x:t>
        </x:is>
      </x:c>
      <x:c r="G124" t="n">
        <x:v>35</x:v>
      </x:c>
      <x:c r="H124" s="25" t="n">
        <x:v>40.7</x:v>
      </x:c>
      <x:c r="I124" s="25" t="n">
        <x:v>0</x:v>
      </x:c>
      <x:c r="J124" t="inlineStr">
        <x:is>
          <x:t>runner b6fed5e72d1412df0daf</x:t>
        </x:is>
      </x:c>
    </x:row>
    <x:row r="125">
      <x:c r="A125" t="inlineStr">
        <x:is>
          <x:t>qshrSZgtvfgQIjXp</x:t>
        </x:is>
      </x:c>
      <x:c r="B125" t="inlineStr">
        <x:is>
          <x:t>PPS</x:t>
        </x:is>
      </x:c>
      <x:c r="C125"/>
      <x:c r="D125" s="23" t="n">
        <x:v>0.0003</x:v>
      </x:c>
      <x:c r="E125" t="n">
        <x:v>1</x:v>
      </x:c>
      <x:c r="F125" t="inlineStr">
        <x:is>
          <x:t>succeeded</x:t>
        </x:is>
      </x:c>
      <x:c r="G125" t="n">
        <x:v>0</x:v>
      </x:c>
      <x:c r="H125" s="25" t="n">
        <x:v>110.585</x:v>
      </x:c>
      <x:c r="I125" s="25" t="n">
        <x:v>0</x:v>
      </x:c>
      <x:c r="J125" t="inlineStr">
        <x:is>
          <x:t>runner e48782b46a81c85e0c03</x:t>
        </x:is>
      </x:c>
    </x:row>
    <x:row r="126">
      <x:c r="A126" t="inlineStr">
        <x:is>
          <x:t>pq78lQeYluBKOPk6</x:t>
        </x:is>
      </x:c>
      <x:c r="B126" t="inlineStr">
        <x:is>
          <x:t>PPS</x:t>
        </x:is>
      </x:c>
      <x:c r="C126"/>
      <x:c r="D126" s="23" t="n">
        <x:v>0.0003</x:v>
      </x:c>
      <x:c r="E126" t="n">
        <x:v>1</x:v>
      </x:c>
      <x:c r="F126" t="inlineStr">
        <x:is>
          <x:t>succeeded</x:t>
        </x:is>
      </x:c>
      <x:c r="G126" t="n">
        <x:v>1</x:v>
      </x:c>
      <x:c r="H126" s="25" t="n">
        <x:v>159.375</x:v>
      </x:c>
      <x:c r="I126" s="25" t="n">
        <x:v>0</x:v>
      </x:c>
      <x:c r="J126" t="inlineStr">
        <x:is>
          <x:t>runner 92c9ed95b1d0aa1ff680</x:t>
        </x:is>
      </x:c>
    </x:row>
    <x:row r="127">
      <x:c r="A127" t="inlineStr">
        <x:is>
          <x:t>XmyDsExYueEA65tO</x:t>
        </x:is>
      </x:c>
      <x:c r="B127" t="inlineStr">
        <x:is>
          <x:t>PPS</x:t>
        </x:is>
      </x:c>
      <x:c r="C127"/>
      <x:c r="D127" s="23" t="n">
        <x:v>0.0003</x:v>
      </x:c>
      <x:c r="E127" t="n">
        <x:v>1</x:v>
      </x:c>
      <x:c r="F127" t="inlineStr">
        <x:is>
          <x:t>succeeded</x:t>
        </x:is>
      </x:c>
      <x:c r="G127" t="n">
        <x:v>4</x:v>
      </x:c>
      <x:c r="H127" s="25" t="n">
        <x:v>182.116</x:v>
      </x:c>
      <x:c r="I127" s="25" t="n">
        <x:v>0</x:v>
      </x:c>
      <x:c r="J127" t="inlineStr">
        <x:is>
          <x:t>runner 62373ccff6b255c1e9cc</x:t>
        </x:is>
      </x:c>
    </x:row>
    <x:row r="128">
      <x:c r="A128" t="inlineStr">
        <x:is>
          <x:t>ZCnWrUSVmlZ9TUu3</x:t>
        </x:is>
      </x:c>
      <x:c r="B128" t="inlineStr">
        <x:is>
          <x:t>PPS</x:t>
        </x:is>
      </x:c>
      <x:c r="C128"/>
      <x:c r="D128" s="23" t="n">
        <x:v>0.0003</x:v>
      </x:c>
      <x:c r="E128" t="n">
        <x:v>1</x:v>
      </x:c>
      <x:c r="F128" t="inlineStr">
        <x:is>
          <x:t>succeeded</x:t>
        </x:is>
      </x:c>
      <x:c r="G128" t="n">
        <x:v>3</x:v>
      </x:c>
      <x:c r="H128" s="25" t="n">
        <x:v>205.043</x:v>
      </x:c>
      <x:c r="I128" s="25" t="n">
        <x:v>0</x:v>
      </x:c>
      <x:c r="J128" t="inlineStr">
        <x:is>
          <x:t>runner 4d21b59feff2f49b1565</x:t>
        </x:is>
      </x:c>
    </x:row>
    <x:row r="129">
      <x:c r="A129" t="inlineStr">
        <x:is>
          <x:t>1RgWVOPi9shaq3CA</x:t>
        </x:is>
      </x:c>
      <x:c r="B129" t="inlineStr">
        <x:is>
          <x:t>PPS</x:t>
        </x:is>
      </x:c>
      <x:c r="C129"/>
      <x:c r="D129" s="23" t="n">
        <x:v>0.0003</x:v>
      </x:c>
      <x:c r="E129" t="n">
        <x:v>1</x:v>
      </x:c>
      <x:c r="F129" t="inlineStr">
        <x:is>
          <x:t>succeeded</x:t>
        </x:is>
      </x:c>
      <x:c r="G129" t="n">
        <x:v>2</x:v>
      </x:c>
      <x:c r="H129" s="25" t="n">
        <x:v>221.195</x:v>
      </x:c>
      <x:c r="I129" s="25" t="n">
        <x:v>0</x:v>
      </x:c>
      <x:c r="J129" t="inlineStr">
        <x:is>
          <x:t>runner c94a9601636aa1a78723</x:t>
        </x:is>
      </x:c>
    </x:row>
    <x:row r="130">
      <x:c r="A130" t="inlineStr">
        <x:is>
          <x:t>MkzeQNrsoHK0vBcS</x:t>
        </x:is>
      </x:c>
      <x:c r="B130" t="inlineStr">
        <x:is>
          <x:t>PPS</x:t>
        </x:is>
      </x:c>
      <x:c r="C130"/>
      <x:c r="D130" s="23" t="n">
        <x:v>0.0003</x:v>
      </x:c>
      <x:c r="E130" t="n">
        <x:v>1</x:v>
      </x:c>
      <x:c r="F130" t="inlineStr">
        <x:is>
          <x:t>succeeded</x:t>
        </x:is>
      </x:c>
      <x:c r="G130" t="n">
        <x:v>5</x:v>
      </x:c>
      <x:c r="H130" s="25" t="n">
        <x:v>162.233</x:v>
      </x:c>
      <x:c r="I130" s="25" t="n">
        <x:v>0</x:v>
      </x:c>
      <x:c r="J130" t="inlineStr">
        <x:is>
          <x:t>runner fbc0828b6a3b0b15b3ae</x:t>
        </x:is>
      </x:c>
    </x:row>
    <x:row r="131">
      <x:c r="A131" t="inlineStr">
        <x:is>
          <x:t>7IlgoRTVfWIAJ5H7</x:t>
        </x:is>
      </x:c>
      <x:c r="B131" t="inlineStr">
        <x:is>
          <x:t>PPS</x:t>
        </x:is>
      </x:c>
      <x:c r="C131"/>
      <x:c r="D131" s="23" t="n">
        <x:v>0.0003</x:v>
      </x:c>
      <x:c r="E131" t="n">
        <x:v>1</x:v>
      </x:c>
      <x:c r="F131" t="inlineStr">
        <x:is>
          <x:t>succeeded</x:t>
        </x:is>
      </x:c>
      <x:c r="G131" t="n">
        <x:v>7</x:v>
      </x:c>
      <x:c r="H131" s="25" t="n">
        <x:v>140.57</x:v>
      </x:c>
      <x:c r="I131" s="25" t="n">
        <x:v>0</x:v>
      </x:c>
      <x:c r="J131" t="inlineStr">
        <x:is>
          <x:t>runner 8ef5a5a2fe35062e7ed6</x:t>
        </x:is>
      </x:c>
    </x:row>
    <x:row r="132">
      <x:c r="A132" t="inlineStr">
        <x:is>
          <x:t>rpaanZY5TI0tr6hG</x:t>
        </x:is>
      </x:c>
      <x:c r="B132" t="inlineStr">
        <x:is>
          <x:t>PPS</x:t>
        </x:is>
      </x:c>
      <x:c r="C132"/>
      <x:c r="D132" s="23" t="n">
        <x:v>0.0003</x:v>
      </x:c>
      <x:c r="E132" t="n">
        <x:v>1</x:v>
      </x:c>
      <x:c r="F132" t="inlineStr">
        <x:is>
          <x:t>succeeded</x:t>
        </x:is>
      </x:c>
      <x:c r="G132" t="n">
        <x:v>8</x:v>
      </x:c>
      <x:c r="H132" s="25" t="n">
        <x:v>141.103</x:v>
      </x:c>
      <x:c r="I132" s="25" t="n">
        <x:v>0</x:v>
      </x:c>
      <x:c r="J132" t="inlineStr">
        <x:is>
          <x:t>runner ba2982be0f034b6363c6</x:t>
        </x:is>
      </x:c>
    </x:row>
    <x:row r="133">
      <x:c r="A133" t="inlineStr">
        <x:is>
          <x:t>CiEwvwAd8giNpvY6</x:t>
        </x:is>
      </x:c>
      <x:c r="B133" t="inlineStr">
        <x:is>
          <x:t>PPS</x:t>
        </x:is>
      </x:c>
      <x:c r="C133"/>
      <x:c r="D133" s="23" t="n">
        <x:v>0.0003</x:v>
      </x:c>
      <x:c r="E133" t="n">
        <x:v>1</x:v>
      </x:c>
      <x:c r="F133" t="inlineStr">
        <x:is>
          <x:t>succeeded</x:t>
        </x:is>
      </x:c>
      <x:c r="G133" t="n">
        <x:v>6</x:v>
      </x:c>
      <x:c r="H133" s="25" t="n">
        <x:v>230.89</x:v>
      </x:c>
      <x:c r="I133" s="25" t="n">
        <x:v>0</x:v>
      </x:c>
      <x:c r="J133" t="inlineStr">
        <x:is>
          <x:t>runner 19c98478b01efc1c72fc</x:t>
        </x:is>
      </x:c>
    </x:row>
    <x:row r="134">
      <x:c r="A134" t="inlineStr">
        <x:is>
          <x:t>6VfJ4RZfMeMAyHhV</x:t>
        </x:is>
      </x:c>
      <x:c r="B134" t="inlineStr">
        <x:is>
          <x:t>PPS</x:t>
        </x:is>
      </x:c>
      <x:c r="C134"/>
      <x:c r="D134" s="23" t="n">
        <x:v>0.0003</x:v>
      </x:c>
      <x:c r="E134" t="n">
        <x:v>1</x:v>
      </x:c>
      <x:c r="F134" t="inlineStr">
        <x:is>
          <x:t>succeeded</x:t>
        </x:is>
      </x:c>
      <x:c r="G134" t="n">
        <x:v>9</x:v>
      </x:c>
      <x:c r="H134" s="25" t="n">
        <x:v>196.097</x:v>
      </x:c>
      <x:c r="I134" s="25" t="n">
        <x:v>0</x:v>
      </x:c>
      <x:c r="J134" t="inlineStr">
        <x:is>
          <x:t>runner 603a73ebab9985503653</x:t>
        </x:is>
      </x:c>
    </x:row>
    <x:row r="135">
      <x:c r="A135" t="inlineStr">
        <x:is>
          <x:t>6Tvq6iXx5fQDPtS7</x:t>
        </x:is>
      </x:c>
      <x:c r="B135" t="inlineStr">
        <x:is>
          <x:t>PPS</x:t>
        </x:is>
      </x:c>
      <x:c r="C135"/>
      <x:c r="D135" s="23" t="n">
        <x:v>0.0003</x:v>
      </x:c>
      <x:c r="E135" t="n">
        <x:v>1</x:v>
      </x:c>
      <x:c r="F135" t="inlineStr">
        <x:is>
          <x:t>succeeded</x:t>
        </x:is>
      </x:c>
      <x:c r="G135" t="n">
        <x:v>10</x:v>
      </x:c>
      <x:c r="H135" s="25" t="n">
        <x:v>265.199</x:v>
      </x:c>
      <x:c r="I135" s="25" t="n">
        <x:v>0</x:v>
      </x:c>
      <x:c r="J135" t="inlineStr">
        <x:is>
          <x:t>runner 5b01fc6543e7875aab82</x:t>
        </x:is>
      </x:c>
    </x:row>
    <x:row r="136">
      <x:c r="A136" t="inlineStr">
        <x:is>
          <x:t>h5XC7bKzcm1m9i1g</x:t>
        </x:is>
      </x:c>
      <x:c r="B136" t="inlineStr">
        <x:is>
          <x:t>PPS</x:t>
        </x:is>
      </x:c>
      <x:c r="C136"/>
      <x:c r="D136" s="23" t="n">
        <x:v>0.0003</x:v>
      </x:c>
      <x:c r="E136" t="n">
        <x:v>1</x:v>
      </x:c>
      <x:c r="F136" t="inlineStr">
        <x:is>
          <x:t>succeeded</x:t>
        </x:is>
      </x:c>
      <x:c r="G136" t="n">
        <x:v>11</x:v>
      </x:c>
      <x:c r="H136" s="25" t="n">
        <x:v>250.499</x:v>
      </x:c>
      <x:c r="I136" s="25" t="n">
        <x:v>0</x:v>
      </x:c>
      <x:c r="J136" t="inlineStr">
        <x:is>
          <x:t>runner 0163599fda3497352f8e</x:t>
        </x:is>
      </x:c>
    </x:row>
    <x:row r="137">
      <x:c r="A137" t="inlineStr">
        <x:is>
          <x:t>0Q134qy5kcWo64x3</x:t>
        </x:is>
      </x:c>
      <x:c r="B137" t="inlineStr">
        <x:is>
          <x:t>PPS</x:t>
        </x:is>
      </x:c>
      <x:c r="C137"/>
      <x:c r="D137" s="23" t="n">
        <x:v>0.0003</x:v>
      </x:c>
      <x:c r="E137" t="n">
        <x:v>1</x:v>
      </x:c>
      <x:c r="F137" t="inlineStr">
        <x:is>
          <x:t>succeeded</x:t>
        </x:is>
      </x:c>
      <x:c r="G137" t="n">
        <x:v>12</x:v>
      </x:c>
      <x:c r="H137" s="25" t="n">
        <x:v>239.062</x:v>
      </x:c>
      <x:c r="I137" s="25" t="n">
        <x:v>0</x:v>
      </x:c>
      <x:c r="J137" t="inlineStr">
        <x:is>
          <x:t>runner b0a523d15a3c001667a7</x:t>
        </x:is>
      </x:c>
    </x:row>
    <x:row r="138">
      <x:c r="A138" t="inlineStr">
        <x:is>
          <x:t>xLQbFAzDRnimqWC7</x:t>
        </x:is>
      </x:c>
      <x:c r="B138" t="inlineStr">
        <x:is>
          <x:t>PPS</x:t>
        </x:is>
      </x:c>
      <x:c r="C138"/>
      <x:c r="D138" s="23" t="n">
        <x:v>0.0003</x:v>
      </x:c>
      <x:c r="E138" t="n">
        <x:v>1</x:v>
      </x:c>
      <x:c r="F138" t="inlineStr">
        <x:is>
          <x:t>succeeded</x:t>
        </x:is>
      </x:c>
      <x:c r="G138" t="n">
        <x:v>13</x:v>
      </x:c>
      <x:c r="H138" s="25" t="n">
        <x:v>195.153</x:v>
      </x:c>
      <x:c r="I138" s="25" t="n">
        <x:v>0</x:v>
      </x:c>
      <x:c r="J138" t="inlineStr">
        <x:is>
          <x:t>runner ae3354f660206eddaa9d</x:t>
        </x:is>
      </x:c>
    </x:row>
    <x:row r="139">
      <x:c r="A139" t="inlineStr">
        <x:is>
          <x:t>Ni4hjUFjMoSBSv0F</x:t>
        </x:is>
      </x:c>
      <x:c r="B139" t="inlineStr">
        <x:is>
          <x:t>PPS</x:t>
        </x:is>
      </x:c>
      <x:c r="C139"/>
      <x:c r="D139" s="23" t="n">
        <x:v>0.0003</x:v>
      </x:c>
      <x:c r="E139" t="n">
        <x:v>1</x:v>
      </x:c>
      <x:c r="F139" t="inlineStr">
        <x:is>
          <x:t>succeeded</x:t>
        </x:is>
      </x:c>
      <x:c r="G139" t="n">
        <x:v>16</x:v>
      </x:c>
      <x:c r="H139" s="25" t="n">
        <x:v>90.138</x:v>
      </x:c>
      <x:c r="I139" s="25" t="n">
        <x:v>0</x:v>
      </x:c>
      <x:c r="J139" t="inlineStr">
        <x:is>
          <x:t>runner e006c9227b73826b83f8</x:t>
        </x:is>
      </x:c>
    </x:row>
    <x:row r="140">
      <x:c r="A140" t="inlineStr">
        <x:is>
          <x:t>kyZfkqc4EugHF1Qy</x:t>
        </x:is>
      </x:c>
      <x:c r="B140" t="inlineStr">
        <x:is>
          <x:t>PPS</x:t>
        </x:is>
      </x:c>
      <x:c r="C140"/>
      <x:c r="D140" s="23" t="n">
        <x:v>0.0003</x:v>
      </x:c>
      <x:c r="E140" t="n">
        <x:v>1</x:v>
      </x:c>
      <x:c r="F140" t="inlineStr">
        <x:is>
          <x:t>succeeded</x:t>
        </x:is>
      </x:c>
      <x:c r="G140" t="n">
        <x:v>14</x:v>
      </x:c>
      <x:c r="H140" s="25" t="n">
        <x:v>283.079</x:v>
      </x:c>
      <x:c r="I140" s="25" t="n">
        <x:v>0</x:v>
      </x:c>
      <x:c r="J140" t="inlineStr">
        <x:is>
          <x:t>runner 0c3bf740dd3aaec0d9cd</x:t>
        </x:is>
      </x:c>
    </x:row>
    <x:row r="141">
      <x:c r="A141" t="inlineStr">
        <x:is>
          <x:t>0sfVew43WK3hExe8</x:t>
        </x:is>
      </x:c>
      <x:c r="B141" t="inlineStr">
        <x:is>
          <x:t>PPS</x:t>
        </x:is>
      </x:c>
      <x:c r="C141"/>
      <x:c r="D141" s="23" t="n">
        <x:v>0.0003</x:v>
      </x:c>
      <x:c r="E141" t="n">
        <x:v>1</x:v>
      </x:c>
      <x:c r="F141" t="inlineStr">
        <x:is>
          <x:t>succeeded</x:t>
        </x:is>
      </x:c>
      <x:c r="G141" t="n">
        <x:v>18</x:v>
      </x:c>
      <x:c r="H141" s="25" t="n">
        <x:v>162.33</x:v>
      </x:c>
      <x:c r="I141" s="25" t="n">
        <x:v>0</x:v>
      </x:c>
      <x:c r="J141" t="inlineStr">
        <x:is>
          <x:t>runner 988b96bea5ae8dc7f036</x:t>
        </x:is>
      </x:c>
    </x:row>
    <x:row r="142">
      <x:c r="A142" t="inlineStr">
        <x:is>
          <x:t>xDuIP0UybFYZQdex</x:t>
        </x:is>
      </x:c>
      <x:c r="B142" t="inlineStr">
        <x:is>
          <x:t>PPS</x:t>
        </x:is>
      </x:c>
      <x:c r="C142"/>
      <x:c r="D142" s="23" t="n">
        <x:v>0.0003</x:v>
      </x:c>
      <x:c r="E142" t="n">
        <x:v>1</x:v>
      </x:c>
      <x:c r="F142" t="inlineStr">
        <x:is>
          <x:t>succeeded</x:t>
        </x:is>
      </x:c>
      <x:c r="G142" t="n">
        <x:v>15</x:v>
      </x:c>
      <x:c r="H142" s="25" t="n">
        <x:v>246.783</x:v>
      </x:c>
      <x:c r="I142" s="25" t="n">
        <x:v>0</x:v>
      </x:c>
      <x:c r="J142" t="inlineStr">
        <x:is>
          <x:t>runner 173e56693059a40106ab</x:t>
        </x:is>
      </x:c>
    </x:row>
    <x:row r="143">
      <x:c r="A143" t="inlineStr">
        <x:is>
          <x:t>sUiezSQ3TghGtO2M</x:t>
        </x:is>
      </x:c>
      <x:c r="B143" t="inlineStr">
        <x:is>
          <x:t>PPS</x:t>
        </x:is>
      </x:c>
      <x:c r="C143"/>
      <x:c r="D143" s="23" t="n">
        <x:v>0.0003</x:v>
      </x:c>
      <x:c r="E143" t="n">
        <x:v>1</x:v>
      </x:c>
      <x:c r="F143" t="inlineStr">
        <x:is>
          <x:t>succeeded</x:t>
        </x:is>
      </x:c>
      <x:c r="G143" t="n">
        <x:v>19</x:v>
      </x:c>
      <x:c r="H143" s="25" t="n">
        <x:v>81.864</x:v>
      </x:c>
      <x:c r="I143" s="25" t="n">
        <x:v>0</x:v>
      </x:c>
      <x:c r="J143" t="inlineStr">
        <x:is>
          <x:t>runner fa98860314bfacf18385</x:t>
        </x:is>
      </x:c>
    </x:row>
    <x:row r="144">
      <x:c r="A144" t="inlineStr">
        <x:is>
          <x:t>46wvXnW5dUXKLMmM</x:t>
        </x:is>
      </x:c>
      <x:c r="B144" t="inlineStr">
        <x:is>
          <x:t>PPS</x:t>
        </x:is>
      </x:c>
      <x:c r="C144"/>
      <x:c r="D144" s="23" t="n">
        <x:v>0.0003</x:v>
      </x:c>
      <x:c r="E144" t="n">
        <x:v>1</x:v>
      </x:c>
      <x:c r="F144" t="inlineStr">
        <x:is>
          <x:t>succeeded</x:t>
        </x:is>
      </x:c>
      <x:c r="G144" t="n">
        <x:v>17</x:v>
      </x:c>
      <x:c r="H144" s="25" t="n">
        <x:v>266.95</x:v>
      </x:c>
      <x:c r="I144" s="25" t="n">
        <x:v>0</x:v>
      </x:c>
      <x:c r="J144" t="inlineStr">
        <x:is>
          <x:t>runner c2318c00b8980adc5599</x:t>
        </x:is>
      </x:c>
    </x:row>
    <x:row r="145">
      <x:c r="A145" t="inlineStr">
        <x:is>
          <x:t>rJIz44rVFk7Ycmay</x:t>
        </x:is>
      </x:c>
      <x:c r="B145" t="inlineStr">
        <x:is>
          <x:t>PPS</x:t>
        </x:is>
      </x:c>
      <x:c r="C145"/>
      <x:c r="D145" s="23" t="n">
        <x:v>0.0003</x:v>
      </x:c>
      <x:c r="E145" t="n">
        <x:v>1</x:v>
      </x:c>
      <x:c r="F145" t="inlineStr">
        <x:is>
          <x:t>succeeded</x:t>
        </x:is>
      </x:c>
      <x:c r="G145" t="n">
        <x:v>22</x:v>
      </x:c>
      <x:c r="H145" s="25" t="n">
        <x:v>180.81</x:v>
      </x:c>
      <x:c r="I145" s="25" t="n">
        <x:v>0</x:v>
      </x:c>
      <x:c r="J145" t="inlineStr">
        <x:is>
          <x:t>runner 9a4992b9099e8f2ab6d9</x:t>
        </x:is>
      </x:c>
    </x:row>
    <x:row r="146">
      <x:c r="A146" t="inlineStr">
        <x:is>
          <x:t>hdAj4XHwOlwXiSTQ</x:t>
        </x:is>
      </x:c>
      <x:c r="B146" t="inlineStr">
        <x:is>
          <x:t>PPS</x:t>
        </x:is>
      </x:c>
      <x:c r="C146"/>
      <x:c r="D146" s="23" t="n">
        <x:v>0.0003</x:v>
      </x:c>
      <x:c r="E146" t="n">
        <x:v>1</x:v>
      </x:c>
      <x:c r="F146" t="inlineStr">
        <x:is>
          <x:t>succeeded</x:t>
        </x:is>
      </x:c>
      <x:c r="G146" t="n">
        <x:v>20</x:v>
      </x:c>
      <x:c r="H146" s="25" t="n">
        <x:v>268.78</x:v>
      </x:c>
      <x:c r="I146" s="25" t="n">
        <x:v>0</x:v>
      </x:c>
      <x:c r="J146" t="inlineStr">
        <x:is>
          <x:t>runner 1380112a5cb8834abf40</x:t>
        </x:is>
      </x:c>
    </x:row>
    <x:row r="147">
      <x:c r="A147" t="inlineStr">
        <x:is>
          <x:t>MliZPMm25a5mgKRG</x:t>
        </x:is>
      </x:c>
      <x:c r="B147" t="inlineStr">
        <x:is>
          <x:t>PPS</x:t>
        </x:is>
      </x:c>
      <x:c r="C147"/>
      <x:c r="D147" s="23" t="n">
        <x:v>0.0003</x:v>
      </x:c>
      <x:c r="E147" t="n">
        <x:v>1</x:v>
      </x:c>
      <x:c r="F147" t="inlineStr">
        <x:is>
          <x:t>succeeded</x:t>
        </x:is>
      </x:c>
      <x:c r="G147" t="n">
        <x:v>23</x:v>
      </x:c>
      <x:c r="H147" s="25" t="n">
        <x:v>179.486</x:v>
      </x:c>
      <x:c r="I147" s="25" t="n">
        <x:v>0</x:v>
      </x:c>
      <x:c r="J147" t="inlineStr">
        <x:is>
          <x:t>runner 3d3f90add6b95bb339c5</x:t>
        </x:is>
      </x:c>
    </x:row>
    <x:row r="148">
      <x:c r="A148" t="inlineStr">
        <x:is>
          <x:t>UxGbZolmyPNVYGU2</x:t>
        </x:is>
      </x:c>
      <x:c r="B148" t="inlineStr">
        <x:is>
          <x:t>PPS</x:t>
        </x:is>
      </x:c>
      <x:c r="C148"/>
      <x:c r="D148" s="23" t="n">
        <x:v>0.0003</x:v>
      </x:c>
      <x:c r="E148" t="n">
        <x:v>1</x:v>
      </x:c>
      <x:c r="F148" t="inlineStr">
        <x:is>
          <x:t>succeeded</x:t>
        </x:is>
      </x:c>
      <x:c r="G148" t="n">
        <x:v>21</x:v>
      </x:c>
      <x:c r="H148" s="25" t="n">
        <x:v>244.306</x:v>
      </x:c>
      <x:c r="I148" s="25" t="n">
        <x:v>0</x:v>
      </x:c>
      <x:c r="J148" t="inlineStr">
        <x:is>
          <x:t>runner 19caa87e4229a072e133</x:t>
        </x:is>
      </x:c>
    </x:row>
    <x:row r="149">
      <x:c r="A149" t="inlineStr">
        <x:is>
          <x:t>m1P3f92CrCN5yFep</x:t>
        </x:is>
      </x:c>
      <x:c r="B149" t="inlineStr">
        <x:is>
          <x:t>PPS</x:t>
        </x:is>
      </x:c>
      <x:c r="C149"/>
      <x:c r="D149" s="23" t="n">
        <x:v>0.0003</x:v>
      </x:c>
      <x:c r="E149" t="n">
        <x:v>1</x:v>
      </x:c>
      <x:c r="F149" t="inlineStr">
        <x:is>
          <x:t>succeeded</x:t>
        </x:is>
      </x:c>
      <x:c r="G149" t="n">
        <x:v>24</x:v>
      </x:c>
      <x:c r="H149" s="25" t="n">
        <x:v>238.522</x:v>
      </x:c>
      <x:c r="I149" s="25" t="n">
        <x:v>0</x:v>
      </x:c>
      <x:c r="J149" t="inlineStr">
        <x:is>
          <x:t>runner c358ca08c952b61586f9</x:t>
        </x:is>
      </x:c>
    </x:row>
    <x:row r="150">
      <x:c r="A150" t="inlineStr">
        <x:is>
          <x:t>zDHIlEUdQt3SQTes</x:t>
        </x:is>
      </x:c>
      <x:c r="B150" t="inlineStr">
        <x:is>
          <x:t>PPS</x:t>
        </x:is>
      </x:c>
      <x:c r="C150"/>
      <x:c r="D150" s="23" t="n">
        <x:v>0.0003</x:v>
      </x:c>
      <x:c r="E150" t="n">
        <x:v>1</x:v>
      </x:c>
      <x:c r="F150" t="inlineStr">
        <x:is>
          <x:t>succeeded</x:t>
        </x:is>
      </x:c>
      <x:c r="G150" t="n">
        <x:v>25</x:v>
      </x:c>
      <x:c r="H150" s="25" t="n">
        <x:v>225.798</x:v>
      </x:c>
      <x:c r="I150" s="25" t="n">
        <x:v>0</x:v>
      </x:c>
      <x:c r="J150" t="inlineStr">
        <x:is>
          <x:t>runner 7ad8be5b28e53525cd2e</x:t>
        </x:is>
      </x:c>
    </x:row>
    <x:row r="151">
      <x:c r="A151" t="inlineStr">
        <x:is>
          <x:t>o3Z0Wqig7SSQ1Suq</x:t>
        </x:is>
      </x:c>
      <x:c r="B151" t="inlineStr">
        <x:is>
          <x:t>PPS</x:t>
        </x:is>
      </x:c>
      <x:c r="C151"/>
      <x:c r="D151" s="23" t="n">
        <x:v>0.0003</x:v>
      </x:c>
      <x:c r="E151" t="n">
        <x:v>1</x:v>
      </x:c>
      <x:c r="F151" t="inlineStr">
        <x:is>
          <x:t>succeeded</x:t>
        </x:is>
      </x:c>
      <x:c r="G151" t="n">
        <x:v>28</x:v>
      </x:c>
      <x:c r="H151" s="25" t="n">
        <x:v>201.822</x:v>
      </x:c>
      <x:c r="I151" s="25" t="n">
        <x:v>0</x:v>
      </x:c>
      <x:c r="J151" t="inlineStr">
        <x:is>
          <x:t>runner 37a224d471532fb5bb30</x:t>
        </x:is>
      </x:c>
    </x:row>
    <x:row r="152">
      <x:c r="A152" t="inlineStr">
        <x:is>
          <x:t>RsdSZRM4UpFcV7Pl</x:t>
        </x:is>
      </x:c>
      <x:c r="B152" t="inlineStr">
        <x:is>
          <x:t>PPS</x:t>
        </x:is>
      </x:c>
      <x:c r="C152"/>
      <x:c r="D152" s="23" t="n">
        <x:v>0.0003</x:v>
      </x:c>
      <x:c r="E152" t="n">
        <x:v>1</x:v>
      </x:c>
      <x:c r="F152" t="inlineStr">
        <x:is>
          <x:t>succeeded</x:t>
        </x:is>
      </x:c>
      <x:c r="G152" t="n">
        <x:v>27</x:v>
      </x:c>
      <x:c r="H152" s="25" t="n">
        <x:v>249.118</x:v>
      </x:c>
      <x:c r="I152" s="25" t="n">
        <x:v>0</x:v>
      </x:c>
      <x:c r="J152" t="inlineStr">
        <x:is>
          <x:t>runner c3f28562f03f3d67e7e5</x:t>
        </x:is>
      </x:c>
    </x:row>
    <x:row r="153">
      <x:c r="A153" t="inlineStr">
        <x:is>
          <x:t>ddGivPWkPbztXlju</x:t>
        </x:is>
      </x:c>
      <x:c r="B153" t="inlineStr">
        <x:is>
          <x:t>PPS</x:t>
        </x:is>
      </x:c>
      <x:c r="C153"/>
      <x:c r="D153" s="23" t="n">
        <x:v>0.0003</x:v>
      </x:c>
      <x:c r="E153" t="n">
        <x:v>1</x:v>
      </x:c>
      <x:c r="F153" t="inlineStr">
        <x:is>
          <x:t>succeeded</x:t>
        </x:is>
      </x:c>
      <x:c r="G153" t="n">
        <x:v>26</x:v>
      </x:c>
      <x:c r="H153" s="25" t="n">
        <x:v>271.904</x:v>
      </x:c>
      <x:c r="I153" s="25" t="n">
        <x:v>0</x:v>
      </x:c>
      <x:c r="J153" t="inlineStr">
        <x:is>
          <x:t>runner d4bfa3990d696e2ddc7d</x:t>
        </x:is>
      </x:c>
    </x:row>
    <x:row r="154">
      <x:c r="A154" t="inlineStr">
        <x:is>
          <x:t>IkbRs6EGrxrrNCtN</x:t>
        </x:is>
      </x:c>
      <x:c r="B154" t="inlineStr">
        <x:is>
          <x:t>PPS</x:t>
        </x:is>
      </x:c>
      <x:c r="C154"/>
      <x:c r="D154" s="23" t="n">
        <x:v>0.0003</x:v>
      </x:c>
      <x:c r="E154" t="n">
        <x:v>1</x:v>
      </x:c>
      <x:c r="F154" t="inlineStr">
        <x:is>
          <x:t>succeeded</x:t>
        </x:is>
      </x:c>
      <x:c r="G154" t="n">
        <x:v>29</x:v>
      </x:c>
      <x:c r="H154" s="25" t="n">
        <x:v>253.987</x:v>
      </x:c>
      <x:c r="I154" s="25" t="n">
        <x:v>0</x:v>
      </x:c>
      <x:c r="J154" t="inlineStr">
        <x:is>
          <x:t>runner 7d663df921a00ce4adeb</x:t>
        </x:is>
      </x:c>
    </x:row>
    <x:row r="155">
      <x:c r="A155" t="inlineStr">
        <x:is>
          <x:t>bTrqg25xGagvpzC9</x:t>
        </x:is>
      </x:c>
      <x:c r="B155" t="inlineStr">
        <x:is>
          <x:t>PPS</x:t>
        </x:is>
      </x:c>
      <x:c r="C155"/>
      <x:c r="D155" s="23" t="n">
        <x:v>0.0003</x:v>
      </x:c>
      <x:c r="E155" t="n">
        <x:v>1</x:v>
      </x:c>
      <x:c r="F155" t="inlineStr">
        <x:is>
          <x:t>succeeded</x:t>
        </x:is>
      </x:c>
      <x:c r="G155" t="n">
        <x:v>30</x:v>
      </x:c>
      <x:c r="H155" s="25" t="n">
        <x:v>163.287</x:v>
      </x:c>
      <x:c r="I155" s="25" t="n">
        <x:v>0</x:v>
      </x:c>
      <x:c r="J155" t="inlineStr">
        <x:is>
          <x:t>runner 1c7fa716162cbfe1cc1b</x:t>
        </x:is>
      </x:c>
    </x:row>
    <x:row r="156">
      <x:c r="A156" t="inlineStr">
        <x:is>
          <x:t>mNKoqrIXkpEiPmoO</x:t>
        </x:is>
      </x:c>
      <x:c r="B156" t="inlineStr">
        <x:is>
          <x:t>PPS</x:t>
        </x:is>
      </x:c>
      <x:c r="C156"/>
      <x:c r="D156" s="23" t="n">
        <x:v>0.0003</x:v>
      </x:c>
      <x:c r="E156" t="n">
        <x:v>1</x:v>
      </x:c>
      <x:c r="F156" t="inlineStr">
        <x:is>
          <x:t>succeeded</x:t>
        </x:is>
      </x:c>
      <x:c r="G156" t="n">
        <x:v>31</x:v>
      </x:c>
      <x:c r="H156" s="25" t="n">
        <x:v>152.301</x:v>
      </x:c>
      <x:c r="I156" s="25" t="n">
        <x:v>0</x:v>
      </x:c>
      <x:c r="J156" t="inlineStr">
        <x:is>
          <x:t>runner d3c63fcfa81f9501f69f</x:t>
        </x:is>
      </x:c>
    </x:row>
    <x:row r="157">
      <x:c r="A157" t="inlineStr">
        <x:is>
          <x:t>2K3rN9Bjo3CYrimu</x:t>
        </x:is>
      </x:c>
      <x:c r="B157" t="inlineStr">
        <x:is>
          <x:t>PPS</x:t>
        </x:is>
      </x:c>
      <x:c r="C157"/>
      <x:c r="D157" s="23" t="n">
        <x:v>0.0003</x:v>
      </x:c>
      <x:c r="E157" t="n">
        <x:v>1</x:v>
      </x:c>
      <x:c r="F157" t="inlineStr">
        <x:is>
          <x:t>succeeded</x:t>
        </x:is>
      </x:c>
      <x:c r="G157" t="n">
        <x:v>33</x:v>
      </x:c>
      <x:c r="H157" s="25" t="n">
        <x:v>224.882</x:v>
      </x:c>
      <x:c r="I157" s="25" t="n">
        <x:v>0</x:v>
      </x:c>
      <x:c r="J157" t="inlineStr">
        <x:is>
          <x:t>runner c0deea8c4a55440942c0</x:t>
        </x:is>
      </x:c>
    </x:row>
    <x:row r="158">
      <x:c r="A158" t="inlineStr">
        <x:is>
          <x:t>k20flzKiZ6hbC8kF</x:t>
        </x:is>
      </x:c>
      <x:c r="B158" t="inlineStr">
        <x:is>
          <x:t>PPS</x:t>
        </x:is>
      </x:c>
      <x:c r="C158"/>
      <x:c r="D158" s="23" t="n">
        <x:v>0.0003</x:v>
      </x:c>
      <x:c r="E158" t="n">
        <x:v>1</x:v>
      </x:c>
      <x:c r="F158" t="inlineStr">
        <x:is>
          <x:t>succeeded</x:t>
        </x:is>
      </x:c>
      <x:c r="G158" t="n">
        <x:v>32</x:v>
      </x:c>
      <x:c r="H158" s="25" t="n">
        <x:v>268.837</x:v>
      </x:c>
      <x:c r="I158" s="25" t="n">
        <x:v>0</x:v>
      </x:c>
      <x:c r="J158" t="inlineStr">
        <x:is>
          <x:t>runner 02be6c05bc3ee4b9674f</x:t>
        </x:is>
      </x:c>
    </x:row>
    <x:row r="159">
      <x:c r="A159" t="inlineStr">
        <x:is>
          <x:t>6ZWjpjGXIQ5XDJfn</x:t>
        </x:is>
      </x:c>
      <x:c r="B159" t="inlineStr">
        <x:is>
          <x:t>PPS</x:t>
        </x:is>
      </x:c>
      <x:c r="C159"/>
      <x:c r="D159" s="23" t="n">
        <x:v>0.0003</x:v>
      </x:c>
      <x:c r="E159" t="n">
        <x:v>1</x:v>
      </x:c>
      <x:c r="F159" t="inlineStr">
        <x:is>
          <x:t>succeeded</x:t>
        </x:is>
      </x:c>
      <x:c r="G159" t="n">
        <x:v>35</x:v>
      </x:c>
      <x:c r="H159" s="25" t="n">
        <x:v>207.824</x:v>
      </x:c>
      <x:c r="I159" s="25" t="n">
        <x:v>0</x:v>
      </x:c>
      <x:c r="J159" t="inlineStr">
        <x:is>
          <x:t>runner 0727113020eaba4cda98</x:t>
        </x:is>
      </x:c>
    </x:row>
    <x:row r="160">
      <x:c r="A160" t="inlineStr">
        <x:is>
          <x:t>z6d18lbfRbuv8Xtl</x:t>
        </x:is>
      </x:c>
      <x:c r="B160" t="inlineStr">
        <x:is>
          <x:t>PPS</x:t>
        </x:is>
      </x:c>
      <x:c r="C160"/>
      <x:c r="D160" s="23" t="n">
        <x:v>0.0003</x:v>
      </x:c>
      <x:c r="E160" t="n">
        <x:v>1</x:v>
      </x:c>
      <x:c r="F160" t="inlineStr">
        <x:is>
          <x:t>succeeded</x:t>
        </x:is>
      </x:c>
      <x:c r="G160" t="n">
        <x:v>34</x:v>
      </x:c>
      <x:c r="H160" s="25" t="n">
        <x:v>230.437</x:v>
      </x:c>
      <x:c r="I160" s="25" t="n">
        <x:v>0</x:v>
      </x:c>
      <x:c r="J160" t="inlineStr">
        <x:is>
          <x:t>runner 11167c1955f01e07b015</x:t>
        </x:is>
      </x:c>
    </x:row>
    <x:row r="161">
      <x:c r="D161" s="23"/>
      <x:c r="H161" s="25"/>
      <x:c r="I161" s="25"/>
    </x:row>
    <x:row r="162">
      <x:c r="D162" s="23"/>
      <x:c r="H162" s="25"/>
      <x:c r="I162" s="25"/>
    </x:row>
    <x:row r="163">
      <x:c r="D163" s="23"/>
      <x:c r="H163" s="25"/>
      <x:c r="I163" s="25"/>
    </x:row>
    <x:row r="164">
      <x:c r="D164" s="23"/>
      <x:c r="H164" s="25"/>
      <x:c r="I164" s="25"/>
    </x:row>
    <x:row r="165">
      <x:c r="D165" s="23"/>
      <x:c r="H165" s="25"/>
      <x:c r="I165" s="25"/>
    </x:row>
    <x:row r="166">
      <x:c r="D166" s="23"/>
      <x:c r="H166" s="25"/>
      <x:c r="I166" s="25"/>
    </x:row>
    <x:row r="167">
      <x:c r="D167" s="23"/>
      <x:c r="H167" s="25"/>
      <x:c r="I167" s="25"/>
    </x:row>
    <x:row r="168">
      <x:c r="D168" s="23"/>
      <x:c r="H168" s="25"/>
      <x:c r="I168" s="25"/>
    </x:row>
    <x:row r="169">
      <x:c r="D169" s="23"/>
      <x:c r="H169" s="25"/>
      <x:c r="I169" s="25"/>
    </x:row>
    <x:row r="170">
      <x:c r="D170" s="23"/>
      <x:c r="H170" s="25"/>
      <x:c r="I170" s="25"/>
    </x:row>
    <x:row r="171">
      <x:c r="D171" s="23"/>
      <x:c r="H171" s="25"/>
      <x:c r="I171" s="25"/>
    </x:row>
    <x:row r="172">
      <x:c r="D172" s="23"/>
      <x:c r="H172" s="25"/>
      <x:c r="I172" s="25"/>
    </x:row>
    <x:row r="173">
      <x:c r="D173" s="23"/>
      <x:c r="H173" s="25"/>
      <x:c r="I173" s="25"/>
    </x:row>
    <x:row r="174">
      <x:c r="D174" s="23"/>
      <x:c r="H174" s="25"/>
      <x:c r="I174" s="25"/>
    </x:row>
    <x:row r="175">
      <x:c r="D175" s="23"/>
      <x:c r="H175" s="25"/>
      <x:c r="I175" s="25"/>
    </x:row>
    <x:row r="176">
      <x:c r="D176" s="23"/>
      <x:c r="H176" s="25"/>
      <x:c r="I176" s="25"/>
    </x:row>
    <x:row r="177">
      <x:c r="D177" s="23"/>
      <x:c r="H177" s="25"/>
      <x:c r="I177" s="25"/>
    </x:row>
    <x:row r="178">
      <x:c r="D178" s="23"/>
      <x:c r="H178" s="25"/>
      <x:c r="I178" s="25"/>
    </x:row>
    <x:row r="179">
      <x:c r="D179" s="23"/>
      <x:c r="H179" s="25"/>
      <x:c r="I179" s="25"/>
    </x:row>
    <x:row r="180">
      <x:c r="D180" s="23"/>
      <x:c r="H180" s="25"/>
      <x:c r="I180" s="25"/>
    </x:row>
    <x:row r="181">
      <x:c r="D181" s="23"/>
      <x:c r="H181" s="25"/>
      <x:c r="I181" s="25"/>
    </x:row>
    <x:row r="182">
      <x:c r="D182" s="23"/>
      <x:c r="H182" s="25"/>
      <x:c r="I182" s="25"/>
    </x:row>
    <x:row r="183">
      <x:c r="D183" s="23"/>
      <x:c r="H183" s="25"/>
      <x:c r="I183" s="25"/>
    </x:row>
    <x:row r="184">
      <x:c r="D184" s="23"/>
      <x:c r="H184" s="25"/>
      <x:c r="I184" s="25"/>
    </x:row>
    <x:row r="185">
      <x:c r="D185" s="23"/>
      <x:c r="H185" s="25"/>
      <x:c r="I185" s="25"/>
    </x:row>
    <x:row r="186">
      <x:c r="D186" s="23"/>
      <x:c r="H186" s="25"/>
      <x:c r="I186" s="25"/>
    </x:row>
    <x:row r="187">
      <x:c r="D187" s="23"/>
      <x:c r="H187" s="25"/>
      <x:c r="I187" s="25"/>
    </x:row>
    <x:row r="188">
      <x:c r="D188" s="23"/>
      <x:c r="H188" s="25"/>
      <x:c r="I188" s="25"/>
    </x:row>
    <x:row r="189">
      <x:c r="D189" s="23"/>
      <x:c r="H189" s="25"/>
      <x:c r="I189" s="25"/>
    </x:row>
    <x:row r="190">
      <x:c r="D190" s="23"/>
      <x:c r="H190" s="25"/>
      <x:c r="I190" s="25"/>
    </x:row>
    <x:row r="191">
      <x:c r="D191" s="23"/>
      <x:c r="H191" s="25"/>
      <x:c r="I191" s="25"/>
    </x:row>
    <x:row r="192">
      <x:c r="D192" s="23"/>
      <x:c r="H192" s="25"/>
      <x:c r="I192" s="25"/>
    </x:row>
    <x:row r="193">
      <x:c r="D193" s="23"/>
      <x:c r="H193" s="25"/>
      <x:c r="I193" s="25"/>
    </x:row>
    <x:row r="194">
      <x:c r="D194" s="23"/>
      <x:c r="H194" s="25"/>
      <x:c r="I194" s="25"/>
    </x:row>
    <x:row r="195">
      <x:c r="D195" s="23"/>
      <x:c r="H195" s="25"/>
      <x:c r="I195" s="25"/>
    </x:row>
    <x:row r="196">
      <x:c r="D196" s="23"/>
      <x:c r="H196" s="25"/>
      <x:c r="I196" s="25"/>
    </x:row>
    <x:row r="197">
      <x:c r="D197" s="23"/>
      <x:c r="H197" s="25"/>
      <x:c r="I197" s="25"/>
    </x:row>
    <x:row r="198">
      <x:c r="D198" s="23"/>
      <x:c r="H198" s="25"/>
      <x:c r="I198" s="25"/>
    </x:row>
    <x:row r="199">
      <x:c r="D199" s="23"/>
      <x:c r="H199" s="25"/>
      <x:c r="I199" s="25"/>
    </x:row>
    <x:row r="200">
      <x:c r="D200" s="23"/>
      <x:c r="H200" s="25"/>
      <x:c r="I200" s="25"/>
    </x:row>
    <x:row r="201">
      <x:c r="D201" s="23"/>
      <x:c r="H201" s="25"/>
      <x:c r="I201" s="25"/>
    </x:row>
    <x:row r="202">
      <x:c r="D202" s="23"/>
      <x:c r="H202" s="25"/>
      <x:c r="I202" s="25"/>
    </x:row>
    <x:row r="203">
      <x:c r="D203" s="23"/>
      <x:c r="H203" s="25"/>
      <x:c r="I203" s="25"/>
    </x:row>
    <x:row r="204">
      <x:c r="D204" s="23"/>
      <x:c r="H204" s="25"/>
      <x:c r="I204" s="25"/>
    </x:row>
    <x:row r="205">
      <x:c r="D205" s="23"/>
      <x:c r="H205" s="25"/>
      <x:c r="I205" s="25"/>
    </x:row>
    <x:row r="206">
      <x:c r="D206" s="23"/>
      <x:c r="H206" s="25"/>
      <x:c r="I206" s="25"/>
    </x:row>
    <x:row r="207">
      <x:c r="D207" s="23"/>
      <x:c r="H207" s="25"/>
      <x:c r="I207" s="25"/>
    </x:row>
    <x:row r="208">
      <x:c r="D208" s="23"/>
      <x:c r="H208" s="25"/>
      <x:c r="I208" s="25"/>
    </x:row>
    <x:row r="209">
      <x:c r="D209" s="23"/>
      <x:c r="H209" s="25"/>
      <x:c r="I209" s="25"/>
    </x:row>
    <x:row r="210">
      <x:c r="D210" s="23"/>
      <x:c r="H210" s="25"/>
      <x:c r="I210" s="25"/>
    </x:row>
    <x:row r="211">
      <x:c r="D211" s="23"/>
      <x:c r="H211" s="25"/>
      <x:c r="I211" s="25"/>
    </x:row>
    <x:row r="212">
      <x:c r="D212" s="23"/>
      <x:c r="H212" s="25"/>
      <x:c r="I212" s="25"/>
    </x:row>
    <x:row r="213">
      <x:c r="D213" s="23"/>
      <x:c r="H213" s="25"/>
      <x:c r="I213" s="25"/>
    </x:row>
    <x:row r="214">
      <x:c r="D214" s="23"/>
      <x:c r="H214" s="25"/>
      <x:c r="I214" s="25"/>
    </x:row>
    <x:row r="215">
      <x:c r="D215" s="23"/>
      <x:c r="H215" s="25"/>
      <x:c r="I215" s="25"/>
    </x:row>
    <x:row r="216">
      <x:c r="D216" s="23"/>
      <x:c r="H216" s="25"/>
      <x:c r="I216" s="25"/>
    </x:row>
    <x:row r="217">
      <x:c r="D217" s="23"/>
      <x:c r="H217" s="25"/>
      <x:c r="I217" s="25"/>
    </x:row>
    <x:row r="218">
      <x:c r="D218" s="23"/>
      <x:c r="H218" s="25"/>
      <x:c r="I218" s="25"/>
    </x:row>
    <x:row r="219">
      <x:c r="D219" s="23"/>
      <x:c r="H219" s="25"/>
      <x:c r="I219" s="25"/>
    </x:row>
    <x:row r="220">
      <x:c r="D220" s="23"/>
      <x:c r="H220" s="25"/>
      <x:c r="I220" s="25"/>
    </x:row>
    <x:row r="221">
      <x:c r="D221" s="23"/>
      <x:c r="H221" s="25"/>
      <x:c r="I221" s="25"/>
    </x:row>
    <x:row r="222">
      <x:c r="D222" s="23"/>
      <x:c r="H222" s="25"/>
      <x:c r="I222" s="25"/>
    </x:row>
    <x:row r="223">
      <x:c r="D223" s="23"/>
      <x:c r="H223" s="25"/>
      <x:c r="I223" s="25"/>
    </x:row>
    <x:row r="224">
      <x:c r="D224" s="23"/>
      <x:c r="H224" s="25"/>
      <x:c r="I224" s="25"/>
    </x:row>
    <x:row r="225">
      <x:c r="D225" s="23"/>
      <x:c r="H225" s="25"/>
      <x:c r="I225" s="25"/>
    </x:row>
    <x:row r="226">
      <x:c r="D226" s="23"/>
      <x:c r="H226" s="25"/>
      <x:c r="I226" s="25"/>
    </x:row>
    <x:row r="227">
      <x:c r="D227" s="23"/>
      <x:c r="H227" s="25"/>
      <x:c r="I227" s="25"/>
    </x:row>
    <x:row r="228">
      <x:c r="D228" s="23"/>
      <x:c r="H228" s="25"/>
      <x:c r="I228" s="25"/>
    </x:row>
    <x:row r="229">
      <x:c r="D229" s="23"/>
      <x:c r="H229" s="25"/>
      <x:c r="I229" s="25"/>
    </x:row>
    <x:row r="230">
      <x:c r="D230" s="23"/>
      <x:c r="H230" s="25"/>
      <x:c r="I230" s="25"/>
    </x:row>
    <x:row r="231">
      <x:c r="D231" s="23"/>
      <x:c r="H231" s="25"/>
      <x:c r="I231" s="25"/>
    </x:row>
    <x:row r="232">
      <x:c r="D232" s="23"/>
      <x:c r="H232" s="25"/>
      <x:c r="I232" s="25"/>
    </x:row>
    <x:row r="233">
      <x:c r="D233" s="23"/>
      <x:c r="H233" s="25"/>
      <x:c r="I233" s="25"/>
    </x:row>
    <x:row r="234">
      <x:c r="D234" s="23"/>
      <x:c r="H234" s="25"/>
      <x:c r="I234" s="25"/>
    </x:row>
    <x:row r="235">
      <x:c r="D235" s="23"/>
      <x:c r="H235" s="25"/>
      <x:c r="I235" s="25"/>
    </x:row>
    <x:row r="236">
      <x:c r="D236" s="23"/>
      <x:c r="H236" s="25"/>
      <x:c r="I236" s="25"/>
    </x:row>
    <x:row r="237">
      <x:c r="D237" s="23"/>
      <x:c r="H237" s="25"/>
      <x:c r="I237" s="25"/>
    </x:row>
    <x:row r="238">
      <x:c r="D238" s="23"/>
      <x:c r="H238" s="25"/>
      <x:c r="I238" s="25"/>
    </x:row>
    <x:row r="239">
      <x:c r="D239" s="23"/>
      <x:c r="H239" s="25"/>
      <x:c r="I239" s="25"/>
    </x:row>
    <x:row r="240">
      <x:c r="D240" s="23"/>
      <x:c r="H240" s="25"/>
      <x:c r="I240" s="25"/>
    </x:row>
    <x:row r="241">
      <x:c r="D241" s="23"/>
      <x:c r="H241" s="25"/>
      <x:c r="I241" s="25"/>
    </x:row>
    <x:row r="242">
      <x:c r="D242" s="23"/>
      <x:c r="H242" s="25"/>
      <x:c r="I242" s="25"/>
    </x:row>
    <x:row r="243">
      <x:c r="D243" s="23"/>
      <x:c r="H243" s="25"/>
      <x:c r="I243" s="25"/>
    </x:row>
    <x:row r="244">
      <x:c r="D244" s="23"/>
      <x:c r="H244" s="25"/>
      <x:c r="I244" s="25"/>
    </x:row>
    <x:row r="245">
      <x:c r="D245" s="23"/>
      <x:c r="H245" s="25"/>
      <x:c r="I245" s="25"/>
    </x:row>
    <x:row r="246">
      <x:c r="D246" s="23"/>
      <x:c r="H246" s="25"/>
      <x:c r="I246" s="25"/>
    </x:row>
    <x:row r="247">
      <x:c r="D247" s="23"/>
      <x:c r="H247" s="25"/>
      <x:c r="I247" s="25"/>
    </x:row>
    <x:row r="248">
      <x:c r="D248" s="23"/>
      <x:c r="H248" s="25"/>
      <x:c r="I248" s="25"/>
    </x:row>
    <x:row r="249">
      <x:c r="D249" s="23"/>
      <x:c r="H249" s="25"/>
      <x:c r="I249" s="25"/>
    </x:row>
    <x:row r="250">
      <x:c r="D250" s="23"/>
      <x:c r="H250" s="25"/>
      <x:c r="I250" s="25"/>
    </x:row>
    <x:row r="251">
      <x:c r="D251" s="23"/>
      <x:c r="H251" s="25"/>
      <x:c r="I251" s="25"/>
    </x:row>
    <x:row r="252">
      <x:c r="D252" s="23"/>
      <x:c r="H252" s="25"/>
      <x:c r="I252" s="25"/>
    </x:row>
    <x:row r="253">
      <x:c r="D253" s="23"/>
      <x:c r="H253" s="25"/>
      <x:c r="I253" s="25"/>
    </x:row>
    <x:row r="254">
      <x:c r="D254" s="23"/>
      <x:c r="H254" s="25"/>
      <x:c r="I254" s="25"/>
    </x:row>
    <x:row r="255">
      <x:c r="D255" s="23"/>
      <x:c r="H255" s="25"/>
      <x:c r="I255" s="25"/>
    </x:row>
    <x:row r="256">
      <x:c r="D256" s="23"/>
      <x:c r="H256" s="25"/>
      <x:c r="I256" s="25"/>
    </x:row>
    <x:row r="257">
      <x:c r="D257" s="23"/>
      <x:c r="H257" s="25"/>
      <x:c r="I257" s="25"/>
    </x:row>
    <x:row r="258">
      <x:c r="D258" s="23"/>
      <x:c r="H258" s="25"/>
      <x:c r="I258" s="25"/>
    </x:row>
    <x:row r="259">
      <x:c r="D259" s="23"/>
      <x:c r="H259" s="25"/>
      <x:c r="I259" s="25"/>
    </x:row>
    <x:row r="260">
      <x:c r="D260" s="23"/>
      <x:c r="H260" s="25"/>
      <x:c r="I260" s="25"/>
    </x:row>
    <x:row r="261">
      <x:c r="D261" s="23"/>
      <x:c r="H261" s="25"/>
      <x:c r="I261" s="25"/>
    </x:row>
    <x:row r="262">
      <x:c r="D262" s="23"/>
      <x:c r="H262" s="25"/>
      <x:c r="I262" s="25"/>
    </x:row>
    <x:row r="263">
      <x:c r="D263" s="23"/>
      <x:c r="H263" s="25"/>
      <x:c r="I263" s="25"/>
    </x:row>
    <x:row r="264">
      <x:c r="D264" s="23"/>
      <x:c r="H264" s="25"/>
      <x:c r="I264" s="25"/>
    </x:row>
    <x:row r="265">
      <x:c r="D265" s="23"/>
      <x:c r="H265" s="25"/>
      <x:c r="I265" s="25"/>
    </x:row>
    <x:row r="266">
      <x:c r="D266" s="23"/>
      <x:c r="H266" s="25"/>
      <x:c r="I266" s="25"/>
    </x:row>
    <x:row r="267">
      <x:c r="D267" s="23"/>
      <x:c r="H267" s="25"/>
      <x:c r="I267" s="25"/>
    </x:row>
    <x:row r="268">
      <x:c r="D268" s="23"/>
      <x:c r="H268" s="25"/>
      <x:c r="I268" s="25"/>
    </x:row>
    <x:row r="269">
      <x:c r="D269" s="23"/>
      <x:c r="H269" s="25"/>
      <x:c r="I269" s="25"/>
    </x:row>
    <x:row r="270">
      <x:c r="D270" s="23"/>
      <x:c r="H270" s="25"/>
      <x:c r="I270" s="25"/>
    </x:row>
    <x:row r="271">
      <x:c r="D271" s="23"/>
      <x:c r="H271" s="25"/>
      <x:c r="I271" s="25"/>
    </x:row>
    <x:row r="272">
      <x:c r="D272" s="23"/>
      <x:c r="H272" s="25"/>
      <x:c r="I272" s="25"/>
    </x:row>
    <x:row r="273">
      <x:c r="D273" s="23"/>
      <x:c r="H273" s="25"/>
      <x:c r="I273" s="25"/>
    </x:row>
    <x:row r="274">
      <x:c r="D274" s="23"/>
      <x:c r="H274" s="25"/>
      <x:c r="I274" s="25"/>
    </x:row>
    <x:row r="275">
      <x:c r="D275" s="23"/>
      <x:c r="H275" s="25"/>
      <x:c r="I275" s="25"/>
    </x:row>
    <x:row r="276">
      <x:c r="D276" s="23"/>
      <x:c r="H276" s="25"/>
      <x:c r="I276" s="25"/>
    </x:row>
    <x:row r="277">
      <x:c r="D277" s="23"/>
      <x:c r="H277" s="25"/>
      <x:c r="I277" s="25"/>
    </x:row>
    <x:row r="278">
      <x:c r="D278" s="23"/>
      <x:c r="H278" s="25"/>
      <x:c r="I278" s="25"/>
    </x:row>
    <x:row r="279">
      <x:c r="D279" s="23"/>
      <x:c r="H279" s="25"/>
      <x:c r="I279" s="25"/>
    </x:row>
    <x:row r="280">
      <x:c r="D280" s="23"/>
      <x:c r="H280" s="25"/>
      <x:c r="I280" s="25"/>
    </x:row>
    <x:row r="281">
      <x:c r="D281" s="23"/>
      <x:c r="H281" s="25"/>
      <x:c r="I281" s="25"/>
    </x:row>
    <x:row r="282">
      <x:c r="D282" s="23"/>
      <x:c r="H282" s="25"/>
      <x:c r="I282" s="25"/>
    </x:row>
    <x:row r="283">
      <x:c r="D283" s="23"/>
      <x:c r="H283" s="25"/>
      <x:c r="I283" s="25"/>
    </x:row>
    <x:row r="284">
      <x:c r="D284" s="23"/>
      <x:c r="H284" s="25"/>
      <x:c r="I284" s="25"/>
    </x:row>
    <x:row r="285">
      <x:c r="D285" s="23"/>
      <x:c r="H285" s="25"/>
      <x:c r="I285" s="25"/>
    </x:row>
    <x:row r="286">
      <x:c r="D286" s="23"/>
      <x:c r="H286" s="25"/>
      <x:c r="I286" s="25"/>
    </x:row>
    <x:row r="287">
      <x:c r="D287" s="23"/>
      <x:c r="H287" s="25"/>
      <x:c r="I287" s="25"/>
    </x:row>
    <x:row r="288">
      <x:c r="D288" s="23"/>
      <x:c r="H288" s="25"/>
      <x:c r="I288" s="25"/>
    </x:row>
    <x:row r="289">
      <x:c r="D289" s="23"/>
      <x:c r="H289" s="25"/>
      <x:c r="I289" s="25"/>
    </x:row>
    <x:row r="290">
      <x:c r="D290" s="23"/>
      <x:c r="H290" s="25"/>
      <x:c r="I290" s="25"/>
    </x:row>
    <x:row r="291">
      <x:c r="D291" s="23"/>
      <x:c r="H291" s="25"/>
      <x:c r="I291" s="25"/>
    </x:row>
    <x:row r="292">
      <x:c r="D292" s="23"/>
      <x:c r="H292" s="25"/>
      <x:c r="I292" s="25"/>
    </x:row>
    <x:row r="293">
      <x:c r="D293" s="23"/>
      <x:c r="H293" s="25"/>
      <x:c r="I293" s="25"/>
    </x:row>
    <x:row r="294">
      <x:c r="D294" s="23"/>
      <x:c r="H294" s="25"/>
      <x:c r="I294" s="25"/>
    </x:row>
    <x:row r="295">
      <x:c r="D295" s="23"/>
      <x:c r="H295" s="25"/>
      <x:c r="I295" s="25"/>
    </x:row>
    <x:row r="296">
      <x:c r="D296" s="23"/>
      <x:c r="H296" s="25"/>
      <x:c r="I296" s="25"/>
    </x:row>
    <x:row r="297">
      <x:c r="D297" s="23"/>
      <x:c r="H297" s="25"/>
      <x:c r="I297" s="25"/>
    </x:row>
    <x:row r="298">
      <x:c r="D298" s="23"/>
      <x:c r="H298" s="25"/>
      <x:c r="I298" s="25"/>
    </x:row>
    <x:row r="299">
      <x:c r="D299" s="23"/>
      <x:c r="H299" s="25"/>
      <x:c r="I299" s="25"/>
    </x:row>
    <x:row r="300">
      <x:c r="D300" s="23"/>
      <x:c r="H300" s="25"/>
      <x:c r="I300" s="25"/>
    </x:row>
    <x:row r="301">
      <x:c r="D301" s="23"/>
      <x:c r="H301" s="25"/>
      <x:c r="I301" s="25"/>
    </x:row>
    <x:row r="302">
      <x:c r="D302" s="23"/>
      <x:c r="H302" s="25"/>
      <x:c r="I302" s="25"/>
    </x:row>
    <x:row r="303">
      <x:c r="D303" s="23"/>
      <x:c r="H303" s="25"/>
      <x:c r="I303" s="25"/>
    </x:row>
    <x:row r="304">
      <x:c r="D304" s="23"/>
      <x:c r="H304" s="25"/>
      <x:c r="I304" s="25"/>
    </x:row>
    <x:row r="305">
      <x:c r="D305" s="23"/>
      <x:c r="H305" s="25"/>
      <x:c r="I305" s="25"/>
    </x:row>
    <x:row r="306">
      <x:c r="D306" s="23"/>
      <x:c r="H306" s="25"/>
      <x:c r="I306" s="25"/>
    </x:row>
    <x:row r="307">
      <x:c r="D307" s="23"/>
      <x:c r="H307" s="25"/>
      <x:c r="I307" s="25"/>
    </x:row>
    <x:row r="308">
      <x:c r="D308" s="23"/>
      <x:c r="H308" s="25"/>
      <x:c r="I308" s="25"/>
    </x:row>
    <x:row r="309">
      <x:c r="D309" s="23"/>
      <x:c r="H309" s="25"/>
      <x:c r="I309" s="25"/>
    </x:row>
    <x:row r="310">
      <x:c r="D310" s="23"/>
      <x:c r="H310" s="25"/>
      <x:c r="I310" s="25"/>
    </x:row>
    <x:row r="311">
      <x:c r="D311" s="23"/>
      <x:c r="H311" s="25"/>
      <x:c r="I311" s="25"/>
    </x:row>
    <x:row r="312">
      <x:c r="D312" s="23"/>
      <x:c r="H312" s="25"/>
      <x:c r="I312" s="25"/>
    </x:row>
    <x:row r="313">
      <x:c r="D313" s="23"/>
      <x:c r="H313" s="25"/>
      <x:c r="I313" s="25"/>
    </x:row>
    <x:row r="314">
      <x:c r="D314" s="23"/>
      <x:c r="H314" s="25"/>
      <x:c r="I314" s="25"/>
    </x:row>
    <x:row r="315">
      <x:c r="D315" s="23"/>
      <x:c r="H315" s="25"/>
      <x:c r="I315" s="25"/>
    </x:row>
    <x:row r="316">
      <x:c r="D316" s="23"/>
      <x:c r="H316" s="25"/>
      <x:c r="I316" s="25"/>
    </x:row>
    <x:row r="317">
      <x:c r="D317" s="23"/>
      <x:c r="H317" s="25"/>
      <x:c r="I317" s="25"/>
    </x:row>
    <x:row r="318">
      <x:c r="D318" s="23"/>
      <x:c r="H318" s="25"/>
      <x:c r="I318" s="25"/>
    </x:row>
    <x:row r="319">
      <x:c r="D319" s="23"/>
      <x:c r="H319" s="25"/>
      <x:c r="I319" s="25"/>
    </x:row>
    <x:row r="320">
      <x:c r="D320" s="23"/>
      <x:c r="H320" s="25"/>
      <x:c r="I320" s="25"/>
    </x:row>
    <x:row r="321">
      <x:c r="D321" s="23"/>
      <x:c r="H321" s="25"/>
      <x:c r="I321" s="25"/>
    </x:row>
    <x:row r="322">
      <x:c r="D322" s="23"/>
      <x:c r="H322" s="25"/>
      <x:c r="I322" s="25"/>
    </x:row>
    <x:row r="323">
      <x:c r="D323" s="23"/>
      <x:c r="H323" s="25"/>
      <x:c r="I323" s="25"/>
    </x:row>
    <x:row r="324">
      <x:c r="D324" s="23"/>
      <x:c r="H324" s="25"/>
      <x:c r="I324" s="25"/>
    </x:row>
    <x:row r="325">
      <x:c r="D325" s="23"/>
      <x:c r="H325" s="25"/>
      <x:c r="I325" s="25"/>
    </x:row>
    <x:row r="326">
      <x:c r="D326" s="23"/>
      <x:c r="H326" s="25"/>
      <x:c r="I326" s="25"/>
    </x:row>
    <x:row r="327">
      <x:c r="D327" s="23"/>
      <x:c r="H327" s="25"/>
      <x:c r="I327" s="25"/>
    </x:row>
    <x:row r="328">
      <x:c r="D328" s="23"/>
      <x:c r="H328" s="25"/>
      <x:c r="I328" s="25"/>
    </x:row>
    <x:row r="329">
      <x:c r="D329" s="23"/>
      <x:c r="H329" s="25"/>
      <x:c r="I329" s="25"/>
    </x:row>
    <x:row r="330">
      <x:c r="D330" s="23"/>
      <x:c r="H330" s="25"/>
      <x:c r="I330" s="25"/>
    </x:row>
    <x:row r="331">
      <x:c r="D331" s="23"/>
      <x:c r="H331" s="25"/>
      <x:c r="I331" s="25"/>
    </x:row>
    <x:row r="332">
      <x:c r="D332" s="23"/>
      <x:c r="H332" s="25"/>
      <x:c r="I332" s="25"/>
    </x:row>
    <x:row r="333">
      <x:c r="D333" s="23"/>
      <x:c r="H333" s="25"/>
      <x:c r="I333" s="25"/>
    </x:row>
    <x:row r="334">
      <x:c r="D334" s="23"/>
      <x:c r="H334" s="25"/>
      <x:c r="I334" s="25"/>
    </x:row>
    <x:row r="335">
      <x:c r="D335" s="23"/>
      <x:c r="H335" s="25"/>
      <x:c r="I335" s="25"/>
    </x:row>
    <x:row r="336">
      <x:c r="D336" s="23"/>
      <x:c r="H336" s="25"/>
      <x:c r="I336" s="25"/>
    </x:row>
    <x:row r="337">
      <x:c r="D337" s="23"/>
      <x:c r="H337" s="25"/>
      <x:c r="I337" s="25"/>
    </x:row>
    <x:row r="338">
      <x:c r="D338" s="23"/>
      <x:c r="H338" s="25"/>
      <x:c r="I338" s="25"/>
    </x:row>
    <x:row r="339">
      <x:c r="D339" s="23"/>
      <x:c r="H339" s="25"/>
      <x:c r="I339" s="25"/>
    </x:row>
    <x:row r="340">
      <x:c r="D340" s="23"/>
      <x:c r="H340" s="25"/>
      <x:c r="I340" s="25"/>
    </x:row>
    <x:row r="341">
      <x:c r="D341" s="23"/>
      <x:c r="H341" s="25"/>
      <x:c r="I341" s="25"/>
    </x:row>
    <x:row r="342">
      <x:c r="D342" s="23"/>
      <x:c r="H342" s="25"/>
      <x:c r="I342" s="25"/>
    </x:row>
    <x:row r="343">
      <x:c r="D343" s="23"/>
      <x:c r="H343" s="25"/>
      <x:c r="I343" s="25"/>
    </x:row>
    <x:row r="344">
      <x:c r="D344" s="23"/>
      <x:c r="H344" s="25"/>
      <x:c r="I344" s="25"/>
    </x:row>
    <x:row r="345">
      <x:c r="D345" s="23"/>
      <x:c r="H345" s="25"/>
      <x:c r="I345" s="25"/>
    </x:row>
    <x:row r="346">
      <x:c r="D346" s="23"/>
      <x:c r="H346" s="25"/>
      <x:c r="I346" s="25"/>
    </x:row>
    <x:row r="347">
      <x:c r="D347" s="23"/>
      <x:c r="H347" s="25"/>
      <x:c r="I347" s="25"/>
    </x:row>
    <x:row r="348">
      <x:c r="D348" s="23"/>
      <x:c r="H348" s="25"/>
      <x:c r="I348" s="25"/>
    </x:row>
    <x:row r="349">
      <x:c r="D349" s="23"/>
      <x:c r="H349" s="25"/>
      <x:c r="I349" s="25"/>
    </x:row>
    <x:row r="350">
      <x:c r="D350" s="23"/>
      <x:c r="H350" s="25"/>
      <x:c r="I350" s="25"/>
    </x:row>
    <x:row r="351">
      <x:c r="D351" s="23"/>
      <x:c r="H351" s="25"/>
      <x:c r="I351" s="25"/>
    </x:row>
    <x:row r="352">
      <x:c r="D352" s="23"/>
      <x:c r="H352" s="25"/>
      <x:c r="I352" s="25"/>
    </x:row>
    <x:row r="353">
      <x:c r="D353" s="23"/>
      <x:c r="H353" s="25"/>
      <x:c r="I353" s="25"/>
    </x:row>
    <x:row r="354">
      <x:c r="D354" s="23"/>
      <x:c r="H354" s="25"/>
      <x:c r="I354" s="25"/>
    </x:row>
    <x:row r="355">
      <x:c r="D355" s="23"/>
      <x:c r="H355" s="25"/>
      <x:c r="I355" s="25"/>
    </x:row>
    <x:row r="356">
      <x:c r="D356" s="23"/>
      <x:c r="H356" s="25"/>
      <x:c r="I356" s="25"/>
    </x:row>
    <x:row r="357">
      <x:c r="D357" s="23"/>
      <x:c r="H357" s="25"/>
      <x:c r="I357" s="25"/>
    </x:row>
    <x:row r="358">
      <x:c r="D358" s="23"/>
      <x:c r="H358" s="25"/>
      <x:c r="I358" s="25"/>
    </x:row>
    <x:row r="359">
      <x:c r="D359" s="23"/>
      <x:c r="H359" s="25"/>
      <x:c r="I359" s="25"/>
    </x:row>
    <x:row r="360">
      <x:c r="D360" s="23"/>
      <x:c r="H360" s="25"/>
      <x:c r="I360" s="25"/>
    </x:row>
    <x:row r="361">
      <x:c r="D361" s="23"/>
      <x:c r="H361" s="25"/>
      <x:c r="I361" s="25"/>
    </x:row>
    <x:row r="362">
      <x:c r="D362" s="23"/>
      <x:c r="H362" s="25"/>
      <x:c r="I362" s="25"/>
    </x:row>
    <x:row r="363">
      <x:c r="D363" s="23"/>
      <x:c r="H363" s="25"/>
      <x:c r="I363" s="25"/>
    </x:row>
    <x:row r="364">
      <x:c r="D364" s="23"/>
      <x:c r="H364" s="25"/>
      <x:c r="I364" s="25"/>
    </x:row>
    <x:row r="365">
      <x:c r="D365" s="23"/>
      <x:c r="H365" s="25"/>
      <x:c r="I365" s="25"/>
    </x:row>
    <x:row r="366">
      <x:c r="D366" s="23"/>
      <x:c r="H366" s="25"/>
      <x:c r="I366" s="25"/>
    </x:row>
    <x:row r="367">
      <x:c r="D367" s="23"/>
      <x:c r="H367" s="25"/>
      <x:c r="I367" s="25"/>
    </x:row>
    <x:row r="368">
      <x:c r="D368" s="23"/>
      <x:c r="H368" s="25"/>
      <x:c r="I368" s="25"/>
    </x:row>
    <x:row r="369">
      <x:c r="D369" s="23"/>
      <x:c r="H369" s="25"/>
      <x:c r="I369" s="25"/>
    </x:row>
    <x:row r="370">
      <x:c r="D370" s="23"/>
      <x:c r="H370" s="25"/>
      <x:c r="I370" s="25"/>
    </x:row>
    <x:row r="371">
      <x:c r="D371" s="23"/>
      <x:c r="H371" s="25"/>
      <x:c r="I371" s="25"/>
    </x:row>
    <x:row r="372">
      <x:c r="D372" s="23"/>
      <x:c r="H372" s="25"/>
      <x:c r="I372" s="25"/>
    </x:row>
    <x:row r="373">
      <x:c r="D373" s="23"/>
      <x:c r="H373" s="25"/>
      <x:c r="I373" s="25"/>
    </x:row>
    <x:row r="374">
      <x:c r="D374" s="23"/>
      <x:c r="H374" s="25"/>
      <x:c r="I374" s="25"/>
    </x:row>
    <x:row r="375">
      <x:c r="D375" s="23"/>
      <x:c r="H375" s="25"/>
      <x:c r="I375" s="25"/>
    </x:row>
    <x:row r="376">
      <x:c r="D376" s="23"/>
      <x:c r="H376" s="25"/>
      <x:c r="I376" s="25"/>
    </x:row>
    <x:row r="377">
      <x:c r="D377" s="23"/>
      <x:c r="H377" s="25"/>
      <x:c r="I377" s="25"/>
    </x:row>
    <x:row r="378">
      <x:c r="D378" s="23"/>
      <x:c r="H378" s="25"/>
      <x:c r="I378" s="25"/>
    </x:row>
    <x:row r="379">
      <x:c r="D379" s="23"/>
      <x:c r="H379" s="25"/>
      <x:c r="I379" s="25"/>
    </x:row>
    <x:row r="380">
      <x:c r="D380" s="23"/>
      <x:c r="H380" s="25"/>
      <x:c r="I380" s="25"/>
    </x:row>
    <x:row r="381">
      <x:c r="D381" s="23"/>
      <x:c r="H381" s="25"/>
      <x:c r="I381" s="25"/>
    </x:row>
    <x:row r="382">
      <x:c r="D382" s="23"/>
      <x:c r="H382" s="25"/>
      <x:c r="I382" s="25"/>
    </x:row>
    <x:row r="383">
      <x:c r="D383" s="23"/>
      <x:c r="H383" s="25"/>
      <x:c r="I383" s="25"/>
    </x:row>
    <x:row r="384">
      <x:c r="D384" s="23"/>
      <x:c r="H384" s="25"/>
      <x:c r="I384" s="25"/>
    </x:row>
    <x:row r="385">
      <x:c r="D385" s="23"/>
      <x:c r="H385" s="25"/>
      <x:c r="I385" s="25"/>
    </x:row>
    <x:row r="386">
      <x:c r="D386" s="23"/>
      <x:c r="H386" s="25"/>
      <x:c r="I386" s="25"/>
    </x:row>
    <x:row r="387">
      <x:c r="D387" s="23"/>
      <x:c r="H387" s="25"/>
      <x:c r="I387" s="25"/>
    </x:row>
    <x:row r="388">
      <x:c r="D388" s="23"/>
      <x:c r="H388" s="25"/>
      <x:c r="I388" s="25"/>
    </x:row>
    <x:row r="389">
      <x:c r="D389" s="23"/>
      <x:c r="H389" s="25"/>
      <x:c r="I389" s="25"/>
    </x:row>
    <x:row r="390">
      <x:c r="D390" s="23"/>
      <x:c r="H390" s="25"/>
      <x:c r="I390" s="25"/>
    </x:row>
    <x:row r="391">
      <x:c r="D391" s="23"/>
      <x:c r="H391" s="25"/>
      <x:c r="I391" s="25"/>
    </x:row>
    <x:row r="392">
      <x:c r="D392" s="23"/>
      <x:c r="H392" s="25"/>
      <x:c r="I392" s="25"/>
    </x:row>
    <x:row r="393">
      <x:c r="D393" s="23"/>
      <x:c r="H393" s="25"/>
      <x:c r="I393" s="25"/>
    </x:row>
    <x:row r="394">
      <x:c r="D394" s="23"/>
      <x:c r="H394" s="25"/>
      <x:c r="I394" s="25"/>
    </x:row>
    <x:row r="395">
      <x:c r="D395" s="23"/>
      <x:c r="H395" s="25"/>
      <x:c r="I395" s="25"/>
    </x:row>
    <x:row r="396">
      <x:c r="D396" s="23"/>
      <x:c r="H396" s="25"/>
      <x:c r="I396" s="25"/>
    </x:row>
    <x:row r="397">
      <x:c r="D397" s="23"/>
      <x:c r="H397" s="25"/>
      <x:c r="I397" s="25"/>
    </x:row>
    <x:row r="398">
      <x:c r="D398" s="23"/>
      <x:c r="H398" s="25"/>
      <x:c r="I398" s="25"/>
    </x:row>
    <x:row r="399">
      <x:c r="D399" s="23"/>
      <x:c r="H399" s="25"/>
      <x:c r="I399" s="25"/>
    </x:row>
    <x:row r="400">
      <x:c r="D400" s="23"/>
      <x:c r="H400" s="25"/>
      <x:c r="I400" s="25"/>
    </x:row>
    <x:row r="401">
      <x:c r="D401" s="23"/>
      <x:c r="H401" s="25"/>
      <x:c r="I401" s="25"/>
    </x:row>
    <x:row r="402">
      <x:c r="D402" s="23"/>
      <x:c r="H402" s="25"/>
      <x:c r="I402" s="25"/>
    </x:row>
    <x:row r="403">
      <x:c r="D403" s="23"/>
      <x:c r="H403" s="25"/>
      <x:c r="I403" s="25"/>
    </x:row>
    <x:row r="404">
      <x:c r="D404" s="23"/>
      <x:c r="H404" s="25"/>
      <x:c r="I404" s="25"/>
    </x:row>
    <x:row r="405">
      <x:c r="D405" s="23"/>
      <x:c r="H405" s="25"/>
      <x:c r="I405" s="25"/>
    </x:row>
    <x:row r="406">
      <x:c r="D406" s="23"/>
      <x:c r="H406" s="25"/>
      <x:c r="I406" s="25"/>
    </x:row>
    <x:row r="407">
      <x:c r="D407" s="23"/>
      <x:c r="H407" s="25"/>
      <x:c r="I407" s="25"/>
    </x:row>
    <x:row r="408">
      <x:c r="D408" s="23"/>
      <x:c r="H408" s="25"/>
      <x:c r="I408" s="25"/>
    </x:row>
    <x:row r="409">
      <x:c r="D409" s="23"/>
      <x:c r="H409" s="25"/>
      <x:c r="I409" s="25"/>
    </x:row>
    <x:row r="410">
      <x:c r="D410" s="23"/>
      <x:c r="H410" s="25"/>
      <x:c r="I410" s="25"/>
    </x:row>
    <x:row r="411">
      <x:c r="D411" s="23"/>
      <x:c r="H411" s="25"/>
      <x:c r="I411" s="25"/>
    </x:row>
    <x:row r="412">
      <x:c r="D412" s="23"/>
      <x:c r="H412" s="25"/>
      <x:c r="I412" s="25"/>
    </x:row>
    <x:row r="413">
      <x:c r="D413" s="23"/>
      <x:c r="H413" s="25"/>
      <x:c r="I413" s="25"/>
    </x:row>
    <x:row r="414">
      <x:c r="D414" s="23"/>
      <x:c r="H414" s="25"/>
      <x:c r="I414" s="25"/>
    </x:row>
    <x:row r="415">
      <x:c r="D415" s="23"/>
      <x:c r="H415" s="25"/>
      <x:c r="I415" s="25"/>
    </x:row>
    <x:row r="416">
      <x:c r="D416" s="23"/>
      <x:c r="H416" s="25"/>
      <x:c r="I416" s="25"/>
    </x:row>
    <x:row r="417">
      <x:c r="D417" s="23"/>
      <x:c r="H417" s="25"/>
      <x:c r="I417" s="25"/>
    </x:row>
    <x:row r="418">
      <x:c r="D418" s="23"/>
      <x:c r="H418" s="25"/>
      <x:c r="I418" s="25"/>
    </x:row>
    <x:row r="419">
      <x:c r="D419" s="23"/>
      <x:c r="H419" s="25"/>
      <x:c r="I419" s="25"/>
    </x:row>
    <x:row r="420">
      <x:c r="D420" s="23"/>
      <x:c r="H420" s="25"/>
      <x:c r="I420" s="25"/>
    </x:row>
    <x:row r="421">
      <x:c r="D421" s="23"/>
      <x:c r="H421" s="25"/>
      <x:c r="I421" s="25"/>
    </x:row>
    <x:row r="422">
      <x:c r="D422" s="23"/>
      <x:c r="H422" s="25"/>
      <x:c r="I422" s="25"/>
    </x:row>
    <x:row r="423">
      <x:c r="D423" s="23"/>
      <x:c r="H423" s="25"/>
      <x:c r="I423" s="25"/>
    </x:row>
    <x:row r="424">
      <x:c r="D424" s="23"/>
      <x:c r="H424" s="25"/>
      <x:c r="I424" s="25"/>
    </x:row>
    <x:row r="425">
      <x:c r="D425" s="23"/>
      <x:c r="H425" s="25"/>
      <x:c r="I425" s="25"/>
    </x:row>
    <x:row r="426">
      <x:c r="D426" s="23"/>
      <x:c r="H426" s="25"/>
      <x:c r="I426" s="25"/>
    </x:row>
    <x:row r="427">
      <x:c r="D427" s="23"/>
      <x:c r="H427" s="25"/>
      <x:c r="I427" s="25"/>
    </x:row>
    <x:row r="428">
      <x:c r="D428" s="23"/>
      <x:c r="H428" s="25"/>
      <x:c r="I428" s="25"/>
    </x:row>
    <x:row r="429">
      <x:c r="D429" s="23"/>
      <x:c r="H429" s="25"/>
      <x:c r="I429" s="25"/>
    </x:row>
    <x:row r="430">
      <x:c r="D430" s="23"/>
      <x:c r="H430" s="25"/>
      <x:c r="I430" s="25"/>
    </x:row>
    <x:row r="431">
      <x:c r="D431" s="23"/>
      <x:c r="H431" s="25"/>
      <x:c r="I431" s="25"/>
    </x:row>
    <x:row r="432">
      <x:c r="D432" s="23"/>
      <x:c r="H432" s="25"/>
      <x:c r="I432" s="25"/>
    </x:row>
    <x:row r="433">
      <x:c r="D433" s="23"/>
      <x:c r="H433" s="25"/>
      <x:c r="I433" s="25"/>
    </x:row>
    <x:row r="434">
      <x:c r="D434" s="23"/>
      <x:c r="H434" s="25"/>
      <x:c r="I434" s="25"/>
    </x:row>
    <x:row r="435">
      <x:c r="D435" s="23"/>
      <x:c r="H435" s="25"/>
      <x:c r="I435" s="25"/>
    </x:row>
    <x:row r="436">
      <x:c r="D436" s="23"/>
      <x:c r="H436" s="25"/>
      <x:c r="I436" s="25"/>
    </x:row>
    <x:row r="437">
      <x:c r="D437" s="23"/>
      <x:c r="H437" s="25"/>
      <x:c r="I437" s="25"/>
    </x:row>
    <x:row r="438">
      <x:c r="D438" s="23"/>
      <x:c r="H438" s="25"/>
      <x:c r="I438" s="25"/>
    </x:row>
    <x:row r="439">
      <x:c r="D439" s="23"/>
      <x:c r="H439" s="25"/>
      <x:c r="I439" s="25"/>
    </x:row>
    <x:row r="440">
      <x:c r="D440" s="23"/>
      <x:c r="H440" s="25"/>
      <x:c r="I440" s="25"/>
    </x:row>
    <x:row r="441">
      <x:c r="D441" s="23"/>
      <x:c r="H441" s="25"/>
      <x:c r="I441" s="25"/>
    </x:row>
    <x:row r="442">
      <x:c r="D442" s="23"/>
      <x:c r="H442" s="25"/>
      <x:c r="I442" s="25"/>
    </x:row>
    <x:row r="443">
      <x:c r="D443" s="23"/>
      <x:c r="H443" s="25"/>
      <x:c r="I443" s="25"/>
    </x:row>
    <x:row r="444">
      <x:c r="D444" s="23"/>
      <x:c r="H444" s="25"/>
      <x:c r="I444" s="25"/>
    </x:row>
    <x:row r="445">
      <x:c r="D445" s="23"/>
      <x:c r="H445" s="25"/>
      <x:c r="I445" s="25"/>
    </x:row>
    <x:row r="446">
      <x:c r="D446" s="23"/>
      <x:c r="H446" s="25"/>
      <x:c r="I446" s="25"/>
    </x:row>
    <x:row r="447">
      <x:c r="D447" s="23"/>
      <x:c r="H447" s="25"/>
      <x:c r="I447" s="25"/>
    </x:row>
    <x:row r="448">
      <x:c r="D448" s="23"/>
      <x:c r="H448" s="25"/>
      <x:c r="I448" s="25"/>
    </x:row>
    <x:row r="449">
      <x:c r="D449" s="23"/>
      <x:c r="H449" s="25"/>
      <x:c r="I449" s="25"/>
    </x:row>
    <x:row r="450">
      <x:c r="D450" s="23"/>
      <x:c r="H450" s="25"/>
      <x:c r="I450" s="25"/>
    </x:row>
    <x:row r="451">
      <x:c r="D451" s="23"/>
      <x:c r="H451" s="25"/>
      <x:c r="I451" s="25"/>
    </x:row>
    <x:row r="452">
      <x:c r="D452" s="23"/>
      <x:c r="H452" s="25"/>
      <x:c r="I452" s="25"/>
    </x:row>
    <x:row r="453">
      <x:c r="D453" s="23"/>
      <x:c r="H453" s="25"/>
      <x:c r="I453" s="25"/>
    </x:row>
    <x:row r="454">
      <x:c r="D454" s="23"/>
      <x:c r="H454" s="25"/>
      <x:c r="I454" s="25"/>
    </x:row>
    <x:row r="455">
      <x:c r="D455" s="23"/>
      <x:c r="H455" s="25"/>
      <x:c r="I455" s="25"/>
    </x:row>
    <x:row r="456">
      <x:c r="D456" s="23"/>
      <x:c r="H456" s="25"/>
      <x:c r="I456" s="25"/>
    </x:row>
    <x:row r="457">
      <x:c r="D457" s="23"/>
      <x:c r="H457" s="25"/>
      <x:c r="I457" s="25"/>
    </x:row>
    <x:row r="458">
      <x:c r="D458" s="23"/>
      <x:c r="H458" s="25"/>
      <x:c r="I458" s="25"/>
    </x:row>
    <x:row r="459">
      <x:c r="D459" s="23"/>
      <x:c r="H459" s="25"/>
      <x:c r="I459" s="25"/>
    </x:row>
    <x:row r="460">
      <x:c r="D460" s="23"/>
      <x:c r="H460" s="25"/>
      <x:c r="I460" s="25"/>
    </x:row>
    <x:row r="461">
      <x:c r="D461" s="23"/>
      <x:c r="H461" s="25"/>
      <x:c r="I461" s="25"/>
    </x:row>
    <x:row r="462">
      <x:c r="D462" s="23"/>
      <x:c r="H462" s="25"/>
      <x:c r="I462" s="25"/>
    </x:row>
    <x:row r="463">
      <x:c r="D463" s="23"/>
      <x:c r="H463" s="25"/>
      <x:c r="I463" s="25"/>
    </x:row>
    <x:row r="464">
      <x:c r="D464" s="23"/>
      <x:c r="H464" s="25"/>
      <x:c r="I464" s="25"/>
    </x:row>
    <x:row r="465">
      <x:c r="D465" s="23"/>
      <x:c r="H465" s="25"/>
      <x:c r="I465" s="25"/>
    </x:row>
    <x:row r="466">
      <x:c r="D466" s="23"/>
      <x:c r="H466" s="25"/>
      <x:c r="I466" s="25"/>
    </x:row>
    <x:row r="467">
      <x:c r="D467" s="23"/>
      <x:c r="H467" s="25"/>
      <x:c r="I467" s="25"/>
    </x:row>
    <x:row r="468">
      <x:c r="D468" s="23"/>
      <x:c r="H468" s="25"/>
      <x:c r="I468" s="25"/>
    </x:row>
    <x:row r="469">
      <x:c r="D469" s="23"/>
      <x:c r="H469" s="25"/>
      <x:c r="I469" s="25"/>
    </x:row>
    <x:row r="470">
      <x:c r="D470" s="23"/>
      <x:c r="H470" s="25"/>
      <x:c r="I470" s="25"/>
    </x:row>
    <x:row r="471">
      <x:c r="D471" s="23"/>
      <x:c r="H471" s="25"/>
      <x:c r="I471" s="25"/>
    </x:row>
    <x:row r="472">
      <x:c r="D472" s="23"/>
      <x:c r="H472" s="25"/>
      <x:c r="I472" s="25"/>
    </x:row>
    <x:row r="473">
      <x:c r="D473" s="23"/>
      <x:c r="H473" s="25"/>
      <x:c r="I473" s="25"/>
    </x:row>
    <x:row r="474">
      <x:c r="D474" s="23"/>
      <x:c r="H474" s="25"/>
      <x:c r="I474" s="25"/>
    </x:row>
    <x:row r="475">
      <x:c r="D475" s="23"/>
      <x:c r="H475" s="25"/>
      <x:c r="I475" s="25"/>
    </x:row>
    <x:row r="476">
      <x:c r="D476" s="23"/>
      <x:c r="H476" s="25"/>
      <x:c r="I476" s="25"/>
    </x:row>
    <x:row r="477">
      <x:c r="D477" s="23"/>
      <x:c r="H477" s="25"/>
      <x:c r="I477" s="25"/>
    </x:row>
    <x:row r="478">
      <x:c r="D478" s="23"/>
      <x:c r="H478" s="25"/>
      <x:c r="I478" s="25"/>
    </x:row>
    <x:row r="479">
      <x:c r="D479" s="23"/>
      <x:c r="H479" s="25"/>
      <x:c r="I479" s="25"/>
    </x:row>
    <x:row r="480">
      <x:c r="D480" s="23"/>
      <x:c r="H480" s="25"/>
      <x:c r="I480" s="25"/>
    </x:row>
    <x:row r="481">
      <x:c r="D481" s="23"/>
      <x:c r="H481" s="25"/>
      <x:c r="I481" s="25"/>
    </x:row>
    <x:row r="482">
      <x:c r="D482" s="23"/>
      <x:c r="H482" s="25"/>
      <x:c r="I482" s="25"/>
    </x:row>
    <x:row r="483">
      <x:c r="D483" s="23"/>
      <x:c r="H483" s="25"/>
      <x:c r="I483" s="25"/>
    </x:row>
    <x:row r="484">
      <x:c r="D484" s="23"/>
      <x:c r="H484" s="25"/>
      <x:c r="I484" s="25"/>
    </x:row>
    <x:row r="485">
      <x:c r="D485" s="23"/>
      <x:c r="H485" s="25"/>
      <x:c r="I485" s="25"/>
    </x:row>
    <x:row r="486">
      <x:c r="D486" s="23"/>
      <x:c r="H486" s="25"/>
      <x:c r="I486" s="25"/>
    </x:row>
    <x:row r="487">
      <x:c r="D487" s="23"/>
      <x:c r="H487" s="25"/>
      <x:c r="I487" s="25"/>
    </x:row>
    <x:row r="488">
      <x:c r="D488" s="23"/>
      <x:c r="H488" s="25"/>
      <x:c r="I488" s="25"/>
    </x:row>
    <x:row r="489">
      <x:c r="D489" s="23"/>
      <x:c r="H489" s="25"/>
      <x:c r="I489" s="25"/>
    </x:row>
    <x:row r="490">
      <x:c r="D490" s="23"/>
      <x:c r="H490" s="25"/>
      <x:c r="I490" s="25"/>
    </x:row>
    <x:row r="491">
      <x:c r="D491" s="23"/>
      <x:c r="H491" s="25"/>
      <x:c r="I491" s="25"/>
    </x:row>
    <x:row r="492">
      <x:c r="D492" s="23"/>
      <x:c r="H492" s="25"/>
      <x:c r="I492" s="25"/>
    </x:row>
    <x:row r="493">
      <x:c r="D493" s="23"/>
      <x:c r="H493" s="25"/>
      <x:c r="I493" s="25"/>
    </x:row>
    <x:row r="494">
      <x:c r="D494" s="23"/>
      <x:c r="H494" s="25"/>
      <x:c r="I494" s="25"/>
    </x:row>
    <x:row r="495">
      <x:c r="D495" s="23"/>
      <x:c r="H495" s="25"/>
      <x:c r="I495" s="25"/>
    </x:row>
    <x:row r="496">
      <x:c r="D496" s="23"/>
      <x:c r="H496" s="25"/>
      <x:c r="I496" s="25"/>
    </x:row>
    <x:row r="497">
      <x:c r="D497" s="23"/>
      <x:c r="H497" s="25"/>
      <x:c r="I497" s="25"/>
    </x:row>
    <x:row r="498">
      <x:c r="D498" s="23"/>
      <x:c r="H498" s="25"/>
      <x:c r="I498" s="25"/>
    </x:row>
    <x:row r="499">
      <x:c r="D499" s="23"/>
      <x:c r="H499" s="25"/>
      <x:c r="I499" s="25"/>
    </x:row>
    <x:row r="500">
      <x:c r="D500" s="23"/>
      <x:c r="H500" s="25"/>
      <x:c r="I500" s="25"/>
    </x:row>
    <x:row r="501">
      <x:c r="D501" s="23"/>
      <x:c r="H501" s="25"/>
      <x:c r="I501" s="25"/>
    </x:row>
    <x:row r="502">
      <x:c r="D502" s="23"/>
      <x:c r="H502" s="25"/>
      <x:c r="I502" s="25"/>
    </x:row>
    <x:row r="503">
      <x:c r="D503" s="23"/>
      <x:c r="H503" s="25"/>
      <x:c r="I503" s="25"/>
    </x:row>
    <x:row r="504">
      <x:c r="D504" s="23"/>
      <x:c r="H504" s="25"/>
      <x:c r="I504" s="25"/>
    </x:row>
    <x:row r="505">
      <x:c r="D505" s="23"/>
      <x:c r="H505" s="25"/>
      <x:c r="I505" s="25"/>
    </x:row>
    <x:row r="506">
      <x:c r="D506" s="23"/>
      <x:c r="H506" s="25"/>
      <x:c r="I506" s="25"/>
    </x:row>
    <x:row r="507">
      <x:c r="D507" s="23"/>
      <x:c r="H507" s="25"/>
      <x:c r="I507" s="25"/>
    </x:row>
    <x:row r="508">
      <x:c r="D508" s="23"/>
      <x:c r="H508" s="25"/>
      <x:c r="I508" s="25"/>
    </x:row>
    <x:row r="509">
      <x:c r="D509" s="23"/>
      <x:c r="H509" s="25"/>
      <x:c r="I509" s="25"/>
    </x:row>
    <x:row r="510">
      <x:c r="D510" s="23"/>
      <x:c r="H510" s="25"/>
      <x:c r="I510" s="25"/>
    </x:row>
    <x:row r="511">
      <x:c r="D511" s="23"/>
      <x:c r="H511" s="25"/>
      <x:c r="I511" s="25"/>
    </x:row>
    <x:row r="512">
      <x:c r="D512" s="23"/>
      <x:c r="H512" s="25"/>
      <x:c r="I512" s="25"/>
    </x:row>
    <x:row r="513">
      <x:c r="D513" s="23"/>
      <x:c r="H513" s="25"/>
      <x:c r="I513" s="25"/>
    </x:row>
    <x:row r="514">
      <x:c r="D514" s="23"/>
      <x:c r="H514" s="25"/>
      <x:c r="I514" s="25"/>
    </x:row>
    <x:row r="515">
      <x:c r="D515" s="23"/>
      <x:c r="H515" s="25"/>
      <x:c r="I515" s="25"/>
    </x:row>
    <x:row r="516">
      <x:c r="D516" s="23"/>
      <x:c r="H516" s="25"/>
      <x:c r="I516" s="25"/>
    </x:row>
    <x:row r="517">
      <x:c r="D517" s="23"/>
      <x:c r="H517" s="25"/>
      <x:c r="I517" s="25"/>
    </x:row>
    <x:row r="518">
      <x:c r="D518" s="23"/>
      <x:c r="H518" s="25"/>
      <x:c r="I518" s="25"/>
    </x:row>
    <x:row r="519">
      <x:c r="D519" s="23"/>
      <x:c r="H519" s="25"/>
      <x:c r="I519" s="25"/>
    </x:row>
    <x:row r="520">
      <x:c r="D520" s="23"/>
      <x:c r="H520" s="25"/>
      <x:c r="I520" s="25"/>
    </x:row>
    <x:row r="521">
      <x:c r="D521" s="23"/>
      <x:c r="H521" s="25"/>
      <x:c r="I521" s="25"/>
    </x:row>
    <x:row r="522">
      <x:c r="D522" s="23"/>
      <x:c r="H522" s="25"/>
      <x:c r="I522" s="25"/>
    </x:row>
    <x:row r="523">
      <x:c r="D523" s="23"/>
      <x:c r="H523" s="25"/>
      <x:c r="I523" s="25"/>
    </x:row>
    <x:row r="524">
      <x:c r="D524" s="23"/>
      <x:c r="H524" s="25"/>
      <x:c r="I524" s="25"/>
    </x:row>
    <x:row r="525">
      <x:c r="D525" s="23"/>
      <x:c r="H525" s="25"/>
      <x:c r="I525" s="25"/>
    </x:row>
    <x:row r="526">
      <x:c r="D526" s="23"/>
      <x:c r="H526" s="25"/>
      <x:c r="I526" s="25"/>
    </x:row>
    <x:row r="527">
      <x:c r="D527" s="23"/>
      <x:c r="H527" s="25"/>
      <x:c r="I527" s="25"/>
    </x:row>
    <x:row r="528">
      <x:c r="D528" s="23"/>
      <x:c r="H528" s="25"/>
      <x:c r="I528" s="25"/>
    </x:row>
    <x:row r="529">
      <x:c r="D529" s="23"/>
      <x:c r="H529" s="25"/>
      <x:c r="I529" s="25"/>
    </x:row>
    <x:row r="530">
      <x:c r="D530" s="23"/>
      <x:c r="H530" s="25"/>
      <x:c r="I530" s="25"/>
    </x:row>
    <x:row r="531">
      <x:c r="D531" s="23"/>
      <x:c r="H531" s="25"/>
      <x:c r="I531" s="25"/>
    </x:row>
    <x:row r="532">
      <x:c r="D532" s="23"/>
      <x:c r="H532" s="25"/>
      <x:c r="I532" s="25"/>
    </x:row>
    <x:row r="533">
      <x:c r="D533" s="23"/>
      <x:c r="H533" s="25"/>
      <x:c r="I533" s="25"/>
    </x:row>
    <x:row r="534">
      <x:c r="D534" s="23"/>
      <x:c r="H534" s="25"/>
      <x:c r="I534" s="25"/>
    </x:row>
    <x:row r="535">
      <x:c r="D535" s="23"/>
      <x:c r="H535" s="25"/>
      <x:c r="I535" s="25"/>
    </x:row>
    <x:row r="536">
      <x:c r="D536" s="23"/>
      <x:c r="H536" s="25"/>
      <x:c r="I536" s="25"/>
    </x:row>
    <x:row r="537">
      <x:c r="D537" s="23"/>
      <x:c r="H537" s="25"/>
      <x:c r="I537" s="25"/>
    </x:row>
    <x:row r="538">
      <x:c r="D538" s="23"/>
      <x:c r="H538" s="25"/>
      <x:c r="I538" s="25"/>
    </x:row>
    <x:row r="539">
      <x:c r="D539" s="23"/>
      <x:c r="H539" s="25"/>
      <x:c r="I539" s="25"/>
    </x:row>
    <x:row r="540">
      <x:c r="D540" s="23"/>
      <x:c r="H540" s="25"/>
      <x:c r="I540" s="25"/>
    </x:row>
    <x:row r="541">
      <x:c r="D541" s="23"/>
      <x:c r="H541" s="25"/>
      <x:c r="I541" s="25"/>
    </x:row>
    <x:row r="542">
      <x:c r="D542" s="23"/>
      <x:c r="H542" s="25"/>
      <x:c r="I542" s="25"/>
    </x:row>
    <x:row r="543">
      <x:c r="D543" s="23"/>
      <x:c r="H543" s="25"/>
      <x:c r="I543" s="25"/>
    </x:row>
    <x:row r="544">
      <x:c r="D544" s="23"/>
      <x:c r="H544" s="25"/>
      <x:c r="I544" s="25"/>
    </x:row>
    <x:row r="545">
      <x:c r="D545" s="23"/>
      <x:c r="H545" s="25"/>
      <x:c r="I545" s="25"/>
    </x:row>
    <x:row r="546">
      <x:c r="D546" s="23"/>
      <x:c r="H546" s="25"/>
      <x:c r="I546" s="25"/>
    </x:row>
    <x:row r="547">
      <x:c r="D547" s="23"/>
      <x:c r="H547" s="25"/>
      <x:c r="I547" s="25"/>
    </x:row>
    <x:row r="548">
      <x:c r="D548" s="23"/>
      <x:c r="H548" s="25"/>
      <x:c r="I548" s="25"/>
    </x:row>
    <x:row r="549">
      <x:c r="D549" s="23"/>
      <x:c r="H549" s="25"/>
      <x:c r="I549" s="25"/>
    </x:row>
    <x:row r="550">
      <x:c r="D550" s="23"/>
      <x:c r="H550" s="25"/>
      <x:c r="I550" s="25"/>
    </x:row>
    <x:row r="551">
      <x:c r="D551" s="23"/>
      <x:c r="H551" s="25"/>
      <x:c r="I551" s="25"/>
    </x:row>
    <x:row r="552">
      <x:c r="D552" s="23"/>
      <x:c r="H552" s="25"/>
      <x:c r="I552" s="25"/>
    </x:row>
    <x:row r="553">
      <x:c r="D553" s="23"/>
      <x:c r="H553" s="25"/>
      <x:c r="I553" s="25"/>
    </x:row>
    <x:row r="554">
      <x:c r="D554" s="23"/>
      <x:c r="H554" s="25"/>
      <x:c r="I554" s="25"/>
    </x:row>
    <x:row r="555">
      <x:c r="D555" s="23"/>
      <x:c r="H555" s="25"/>
      <x:c r="I555" s="25"/>
    </x:row>
    <x:row r="556">
      <x:c r="D556" s="23"/>
      <x:c r="H556" s="25"/>
      <x:c r="I556" s="25"/>
    </x:row>
    <x:row r="557">
      <x:c r="D557" s="23"/>
      <x:c r="H557" s="25"/>
      <x:c r="I557" s="25"/>
    </x:row>
    <x:row r="558">
      <x:c r="D558" s="23"/>
      <x:c r="H558" s="25"/>
      <x:c r="I558" s="25"/>
    </x:row>
    <x:row r="559">
      <x:c r="D559" s="23"/>
      <x:c r="H559" s="25"/>
      <x:c r="I559" s="25"/>
    </x:row>
    <x:row r="560">
      <x:c r="D560" s="23"/>
      <x:c r="H560" s="25"/>
      <x:c r="I560" s="25"/>
    </x:row>
    <x:row r="561">
      <x:c r="D561" s="23"/>
      <x:c r="H561" s="25"/>
      <x:c r="I561" s="25"/>
    </x:row>
    <x:row r="562">
      <x:c r="D562" s="23"/>
      <x:c r="H562" s="25"/>
      <x:c r="I562" s="25"/>
    </x:row>
    <x:row r="563">
      <x:c r="D563" s="23"/>
      <x:c r="H563" s="25"/>
      <x:c r="I563" s="25"/>
    </x:row>
    <x:row r="564">
      <x:c r="D564" s="23"/>
      <x:c r="H564" s="25"/>
      <x:c r="I564" s="25"/>
    </x:row>
    <x:row r="565">
      <x:c r="D565" s="23"/>
      <x:c r="H565" s="25"/>
      <x:c r="I565" s="25"/>
    </x:row>
    <x:row r="566">
      <x:c r="D566" s="23"/>
      <x:c r="H566" s="25"/>
      <x:c r="I566" s="25"/>
    </x:row>
    <x:row r="567">
      <x:c r="D567" s="23"/>
      <x:c r="H567" s="25"/>
      <x:c r="I567" s="25"/>
    </x:row>
    <x:row r="568">
      <x:c r="D568" s="23"/>
      <x:c r="H568" s="25"/>
      <x:c r="I568" s="25"/>
    </x:row>
    <x:row r="569">
      <x:c r="D569" s="23"/>
      <x:c r="H569" s="25"/>
      <x:c r="I569" s="25"/>
    </x:row>
    <x:row r="570">
      <x:c r="D570" s="23"/>
      <x:c r="H570" s="25"/>
      <x:c r="I570" s="25"/>
    </x:row>
    <x:row r="571">
      <x:c r="D571" s="23"/>
      <x:c r="H571" s="25"/>
      <x:c r="I571" s="25"/>
    </x:row>
    <x:row r="572">
      <x:c r="D572" s="23"/>
      <x:c r="H572" s="25"/>
      <x:c r="I572" s="25"/>
    </x:row>
    <x:row r="573">
      <x:c r="D573" s="23"/>
      <x:c r="H573" s="25"/>
      <x:c r="I573" s="25"/>
    </x:row>
    <x:row r="574">
      <x:c r="D574" s="23"/>
      <x:c r="H574" s="25"/>
      <x:c r="I574" s="25"/>
    </x:row>
    <x:row r="575">
      <x:c r="D575" s="23"/>
      <x:c r="H575" s="25"/>
      <x:c r="I575" s="25"/>
    </x:row>
    <x:row r="576">
      <x:c r="D576" s="23"/>
      <x:c r="H576" s="25"/>
      <x:c r="I576" s="25"/>
    </x:row>
    <x:row r="577">
      <x:c r="D577" s="23"/>
      <x:c r="H577" s="25"/>
      <x:c r="I577" s="25"/>
    </x:row>
    <x:row r="578">
      <x:c r="D578" s="23"/>
      <x:c r="H578" s="25"/>
      <x:c r="I578" s="25"/>
    </x:row>
    <x:row r="579">
      <x:c r="D579" s="23"/>
      <x:c r="H579" s="25"/>
      <x:c r="I579" s="25"/>
    </x:row>
    <x:row r="580">
      <x:c r="D580" s="23"/>
      <x:c r="H580" s="25"/>
      <x:c r="I580" s="25"/>
    </x:row>
    <x:row r="581">
      <x:c r="D581" s="23"/>
      <x:c r="H581" s="25"/>
      <x:c r="I581" s="25"/>
    </x:row>
    <x:row r="582">
      <x:c r="D582" s="23"/>
      <x:c r="H582" s="25"/>
      <x:c r="I582" s="25"/>
    </x:row>
    <x:row r="583">
      <x:c r="D583" s="23"/>
      <x:c r="H583" s="25"/>
      <x:c r="I583" s="25"/>
    </x:row>
    <x:row r="584">
      <x:c r="D584" s="23"/>
      <x:c r="H584" s="25"/>
      <x:c r="I584" s="25"/>
    </x:row>
    <x:row r="585">
      <x:c r="D585" s="23"/>
      <x:c r="H585" s="25"/>
      <x:c r="I585" s="25"/>
    </x:row>
    <x:row r="586">
      <x:c r="D586" s="23"/>
      <x:c r="H586" s="25"/>
      <x:c r="I586" s="25"/>
    </x:row>
    <x:row r="587">
      <x:c r="D587" s="23"/>
      <x:c r="H587" s="25"/>
      <x:c r="I587" s="25"/>
    </x:row>
    <x:row r="588">
      <x:c r="D588" s="23"/>
      <x:c r="H588" s="25"/>
      <x:c r="I588" s="25"/>
    </x:row>
    <x:row r="589">
      <x:c r="D589" s="23"/>
      <x:c r="H589" s="25"/>
      <x:c r="I589" s="25"/>
    </x:row>
    <x:row r="590">
      <x:c r="D590" s="23"/>
      <x:c r="H590" s="25"/>
      <x:c r="I590" s="25"/>
    </x:row>
    <x:row r="591">
      <x:c r="D591" s="23"/>
      <x:c r="H591" s="25"/>
      <x:c r="I591" s="25"/>
    </x:row>
    <x:row r="592">
      <x:c r="D592" s="23"/>
      <x:c r="H592" s="25"/>
      <x:c r="I592" s="25"/>
    </x:row>
    <x:row r="593">
      <x:c r="D593" s="23"/>
      <x:c r="H593" s="25"/>
      <x:c r="I593" s="25"/>
    </x:row>
    <x:row r="594">
      <x:c r="D594" s="23"/>
      <x:c r="H594" s="25"/>
      <x:c r="I594" s="25"/>
    </x:row>
    <x:row r="595">
      <x:c r="D595" s="23"/>
      <x:c r="H595" s="25"/>
      <x:c r="I595" s="25"/>
    </x:row>
    <x:row r="596">
      <x:c r="D596" s="23"/>
      <x:c r="H596" s="25"/>
      <x:c r="I596" s="25"/>
    </x:row>
    <x:row r="597">
      <x:c r="D597" s="23"/>
      <x:c r="H597" s="25"/>
      <x:c r="I597" s="25"/>
    </x:row>
    <x:row r="598">
      <x:c r="D598" s="23"/>
      <x:c r="H598" s="25"/>
      <x:c r="I598" s="25"/>
    </x:row>
    <x:row r="599">
      <x:c r="D599" s="23"/>
      <x:c r="H599" s="25"/>
      <x:c r="I599" s="25"/>
    </x:row>
    <x:row r="600">
      <x:c r="D600" s="23"/>
      <x:c r="H600" s="25"/>
      <x:c r="I600" s="25"/>
    </x:row>
    <x:row r="601">
      <x:c r="D601" s="23"/>
      <x:c r="H601" s="25"/>
      <x:c r="I601" s="25"/>
    </x:row>
    <x:row r="602">
      <x:c r="D602" s="23"/>
      <x:c r="H602" s="25"/>
      <x:c r="I602" s="25"/>
    </x:row>
    <x:row r="603">
      <x:c r="D603" s="23"/>
      <x:c r="H603" s="25"/>
      <x:c r="I603" s="25"/>
    </x:row>
    <x:row r="604">
      <x:c r="D604" s="23"/>
      <x:c r="H604" s="25"/>
      <x:c r="I604" s="25"/>
    </x:row>
    <x:row r="605">
      <x:c r="D605" s="23"/>
      <x:c r="H605" s="25"/>
      <x:c r="I605" s="25"/>
    </x:row>
    <x:row r="606">
      <x:c r="D606" s="23"/>
      <x:c r="H606" s="25"/>
      <x:c r="I606" s="25"/>
    </x:row>
    <x:row r="607">
      <x:c r="D607" s="23"/>
      <x:c r="H607" s="25"/>
      <x:c r="I607" s="25"/>
    </x:row>
    <x:row r="608">
      <x:c r="D608" s="23"/>
      <x:c r="H608" s="25"/>
      <x:c r="I608" s="25"/>
    </x:row>
    <x:row r="609">
      <x:c r="D609" s="23"/>
      <x:c r="H609" s="25"/>
      <x:c r="I609" s="25"/>
    </x:row>
    <x:row r="610">
      <x:c r="D610" s="23"/>
      <x:c r="H610" s="25"/>
      <x:c r="I610" s="25"/>
    </x:row>
    <x:row r="611">
      <x:c r="D611" s="23"/>
      <x:c r="H611" s="25"/>
      <x:c r="I611" s="25"/>
    </x:row>
    <x:row r="612">
      <x:c r="D612" s="23"/>
      <x:c r="H612" s="25"/>
      <x:c r="I612" s="25"/>
    </x:row>
    <x:row r="613">
      <x:c r="D613" s="23"/>
      <x:c r="H613" s="25"/>
      <x:c r="I613" s="25"/>
    </x:row>
    <x:row r="614">
      <x:c r="D614" s="23"/>
      <x:c r="H614" s="25"/>
      <x:c r="I614" s="25"/>
    </x:row>
    <x:row r="615">
      <x:c r="D615" s="23"/>
      <x:c r="H615" s="25"/>
      <x:c r="I615" s="25"/>
    </x:row>
    <x:row r="616">
      <x:c r="D616" s="23"/>
      <x:c r="H616" s="25"/>
      <x:c r="I616" s="25"/>
    </x:row>
    <x:row r="617">
      <x:c r="D617" s="23"/>
      <x:c r="H617" s="25"/>
      <x:c r="I617" s="25"/>
    </x:row>
    <x:row r="618">
      <x:c r="D618" s="23"/>
      <x:c r="H618" s="25"/>
      <x:c r="I618" s="25"/>
    </x:row>
    <x:row r="619">
      <x:c r="D619" s="23"/>
      <x:c r="H619" s="25"/>
      <x:c r="I619" s="25"/>
    </x:row>
    <x:row r="620">
      <x:c r="D620" s="23"/>
      <x:c r="H620" s="25"/>
      <x:c r="I620" s="25"/>
    </x:row>
    <x:row r="621">
      <x:c r="D621" s="23"/>
      <x:c r="H621" s="25"/>
      <x:c r="I621" s="25"/>
    </x:row>
    <x:row r="622">
      <x:c r="D622" s="23"/>
      <x:c r="H622" s="25"/>
      <x:c r="I622" s="25"/>
    </x:row>
    <x:row r="623">
      <x:c r="D623" s="23"/>
      <x:c r="H623" s="25"/>
      <x:c r="I623" s="25"/>
    </x:row>
    <x:row r="624">
      <x:c r="D624" s="23"/>
      <x:c r="H624" s="25"/>
      <x:c r="I624" s="25"/>
    </x:row>
    <x:row r="625">
      <x:c r="D625" s="23"/>
      <x:c r="H625" s="25"/>
      <x:c r="I625" s="25"/>
    </x:row>
    <x:row r="626">
      <x:c r="D626" s="23"/>
      <x:c r="H626" s="25"/>
      <x:c r="I626" s="25"/>
    </x:row>
    <x:row r="627">
      <x:c r="D627" s="23"/>
      <x:c r="H627" s="25"/>
      <x:c r="I627" s="25"/>
    </x:row>
    <x:row r="628">
      <x:c r="D628" s="23"/>
      <x:c r="H628" s="25"/>
      <x:c r="I628" s="25"/>
    </x:row>
    <x:row r="629">
      <x:c r="D629" s="23"/>
      <x:c r="H629" s="25"/>
      <x:c r="I629" s="25"/>
    </x:row>
    <x:row r="630">
      <x:c r="D630" s="23"/>
      <x:c r="H630" s="25"/>
      <x:c r="I630" s="25"/>
    </x:row>
    <x:row r="631">
      <x:c r="D631" s="23"/>
      <x:c r="H631" s="25"/>
      <x:c r="I631" s="25"/>
    </x:row>
    <x:row r="632">
      <x:c r="D632" s="23"/>
      <x:c r="H632" s="25"/>
      <x:c r="I632" s="25"/>
    </x:row>
    <x:row r="633">
      <x:c r="D633" s="23"/>
      <x:c r="H633" s="25"/>
      <x:c r="I633" s="25"/>
    </x:row>
    <x:row r="634">
      <x:c r="D634" s="23"/>
      <x:c r="H634" s="25"/>
      <x:c r="I634" s="25"/>
    </x:row>
    <x:row r="635">
      <x:c r="D635" s="23"/>
      <x:c r="H635" s="25"/>
      <x:c r="I635" s="25"/>
    </x:row>
    <x:row r="636">
      <x:c r="D636" s="23"/>
      <x:c r="H636" s="25"/>
      <x:c r="I636" s="25"/>
    </x:row>
    <x:row r="637">
      <x:c r="D637" s="23"/>
      <x:c r="H637" s="25"/>
      <x:c r="I637" s="25"/>
    </x:row>
    <x:row r="638">
      <x:c r="D638" s="23"/>
      <x:c r="H638" s="25"/>
      <x:c r="I638" s="25"/>
    </x:row>
    <x:row r="639">
      <x:c r="D639" s="23"/>
      <x:c r="H639" s="25"/>
      <x:c r="I639" s="25"/>
    </x:row>
    <x:row r="640">
      <x:c r="D640" s="23"/>
      <x:c r="H640" s="25"/>
      <x:c r="I640" s="25"/>
    </x:row>
    <x:row r="641">
      <x:c r="D641" s="23"/>
      <x:c r="H641" s="25"/>
      <x:c r="I641" s="25"/>
    </x:row>
    <x:row r="642">
      <x:c r="D642" s="23"/>
      <x:c r="H642" s="25"/>
      <x:c r="I642" s="25"/>
    </x:row>
    <x:row r="643">
      <x:c r="D643" s="23"/>
      <x:c r="H643" s="25"/>
      <x:c r="I643" s="25"/>
    </x:row>
    <x:row r="644">
      <x:c r="D644" s="23"/>
      <x:c r="H644" s="25"/>
      <x:c r="I644" s="25"/>
    </x:row>
    <x:row r="645">
      <x:c r="D645" s="23"/>
      <x:c r="H645" s="25"/>
      <x:c r="I645" s="25"/>
    </x:row>
    <x:row r="646">
      <x:c r="D646" s="23"/>
      <x:c r="H646" s="25"/>
      <x:c r="I646" s="25"/>
    </x:row>
    <x:row r="647">
      <x:c r="D647" s="23"/>
      <x:c r="H647" s="25"/>
      <x:c r="I647" s="25"/>
    </x:row>
    <x:row r="648">
      <x:c r="D648" s="23"/>
      <x:c r="H648" s="25"/>
      <x:c r="I648" s="25"/>
    </x:row>
    <x:row r="649">
      <x:c r="D649" s="23"/>
      <x:c r="H649" s="25"/>
      <x:c r="I649" s="25"/>
    </x:row>
    <x:row r="650">
      <x:c r="D650" s="23"/>
      <x:c r="H650" s="25"/>
      <x:c r="I650" s="25"/>
    </x:row>
    <x:row r="651">
      <x:c r="D651" s="23"/>
      <x:c r="H651" s="25"/>
      <x:c r="I651" s="25"/>
    </x:row>
    <x:row r="652">
      <x:c r="D652" s="23"/>
      <x:c r="H652" s="25"/>
      <x:c r="I652" s="25"/>
    </x:row>
    <x:row r="653">
      <x:c r="D653" s="23"/>
      <x:c r="H653" s="25"/>
      <x:c r="I653" s="25"/>
    </x:row>
    <x:row r="654">
      <x:c r="D654" s="23"/>
      <x:c r="H654" s="25"/>
      <x:c r="I654" s="25"/>
    </x:row>
    <x:row r="655">
      <x:c r="D655" s="23"/>
      <x:c r="H655" s="25"/>
      <x:c r="I655" s="25"/>
    </x:row>
    <x:row r="656">
      <x:c r="D656" s="23"/>
      <x:c r="H656" s="25"/>
      <x:c r="I656" s="25"/>
    </x:row>
    <x:row r="657">
      <x:c r="D657" s="23"/>
      <x:c r="H657" s="25"/>
      <x:c r="I657" s="25"/>
    </x:row>
    <x:row r="658">
      <x:c r="D658" s="23"/>
      <x:c r="H658" s="25"/>
      <x:c r="I658" s="25"/>
    </x:row>
    <x:row r="659">
      <x:c r="D659" s="23"/>
      <x:c r="H659" s="25"/>
      <x:c r="I659" s="25"/>
    </x:row>
    <x:row r="660">
      <x:c r="D660" s="23"/>
      <x:c r="H660" s="25"/>
      <x:c r="I660" s="25"/>
    </x:row>
    <x:row r="661">
      <x:c r="D661" s="23"/>
      <x:c r="H661" s="25"/>
      <x:c r="I661" s="25"/>
    </x:row>
    <x:row r="662">
      <x:c r="D662" s="23"/>
      <x:c r="H662" s="25"/>
      <x:c r="I662" s="25"/>
    </x:row>
    <x:row r="663">
      <x:c r="D663" s="23"/>
      <x:c r="H663" s="25"/>
      <x:c r="I663" s="25"/>
    </x:row>
    <x:row r="664">
      <x:c r="D664" s="23"/>
      <x:c r="H664" s="25"/>
      <x:c r="I664" s="25"/>
    </x:row>
    <x:row r="665">
      <x:c r="D665" s="23"/>
      <x:c r="H665" s="25"/>
      <x:c r="I665" s="25"/>
    </x:row>
    <x:row r="666">
      <x:c r="D666" s="23"/>
      <x:c r="H666" s="25"/>
      <x:c r="I666" s="25"/>
    </x:row>
    <x:row r="667">
      <x:c r="D667" s="23"/>
      <x:c r="H667" s="25"/>
      <x:c r="I667" s="25"/>
    </x:row>
    <x:row r="668">
      <x:c r="D668" s="23"/>
      <x:c r="H668" s="25"/>
      <x:c r="I668" s="25"/>
    </x:row>
    <x:row r="669">
      <x:c r="D669" s="23"/>
      <x:c r="H669" s="25"/>
      <x:c r="I669" s="25"/>
    </x:row>
    <x:row r="670">
      <x:c r="D670" s="23"/>
      <x:c r="H670" s="25"/>
      <x:c r="I670" s="25"/>
    </x:row>
    <x:row r="671">
      <x:c r="D671" s="23"/>
      <x:c r="H671" s="25"/>
      <x:c r="I671" s="25"/>
    </x:row>
    <x:row r="672">
      <x:c r="D672" s="23"/>
      <x:c r="H672" s="25"/>
      <x:c r="I672" s="25"/>
    </x:row>
    <x:row r="673">
      <x:c r="D673" s="23"/>
      <x:c r="H673" s="25"/>
      <x:c r="I673" s="25"/>
    </x:row>
    <x:row r="674">
      <x:c r="D674" s="23"/>
      <x:c r="H674" s="25"/>
      <x:c r="I674" s="25"/>
    </x:row>
    <x:row r="675">
      <x:c r="D675" s="23"/>
      <x:c r="H675" s="25"/>
      <x:c r="I675" s="25"/>
    </x:row>
    <x:row r="676">
      <x:c r="D676" s="23"/>
      <x:c r="H676" s="25"/>
      <x:c r="I676" s="25"/>
    </x:row>
    <x:row r="677">
      <x:c r="D677" s="23"/>
      <x:c r="H677" s="25"/>
      <x:c r="I677" s="25"/>
    </x:row>
    <x:row r="678">
      <x:c r="D678" s="23"/>
      <x:c r="H678" s="25"/>
      <x:c r="I678" s="25"/>
    </x:row>
    <x:row r="679">
      <x:c r="D679" s="23"/>
      <x:c r="H679" s="25"/>
      <x:c r="I679" s="25"/>
    </x:row>
    <x:row r="680">
      <x:c r="D680" s="23"/>
      <x:c r="H680" s="25"/>
      <x:c r="I680" s="25"/>
    </x:row>
    <x:row r="681">
      <x:c r="D681" s="23"/>
      <x:c r="H681" s="25"/>
      <x:c r="I681" s="25"/>
    </x:row>
    <x:row r="682">
      <x:c r="D682" s="23"/>
      <x:c r="H682" s="25"/>
      <x:c r="I682" s="25"/>
    </x:row>
    <x:row r="683">
      <x:c r="D683" s="23"/>
      <x:c r="H683" s="25"/>
      <x:c r="I683" s="25"/>
    </x:row>
    <x:row r="684">
      <x:c r="D684" s="23"/>
      <x:c r="H684" s="25"/>
      <x:c r="I684" s="25"/>
    </x:row>
    <x:row r="685">
      <x:c r="D685" s="23"/>
      <x:c r="H685" s="25"/>
      <x:c r="I685" s="25"/>
    </x:row>
    <x:row r="686">
      <x:c r="D686" s="23"/>
      <x:c r="H686" s="25"/>
      <x:c r="I686" s="25"/>
    </x:row>
    <x:row r="687">
      <x:c r="D687" s="23"/>
      <x:c r="H687" s="25"/>
      <x:c r="I687" s="25"/>
    </x:row>
    <x:row r="688">
      <x:c r="D688" s="23"/>
      <x:c r="H688" s="25"/>
      <x:c r="I688" s="25"/>
    </x:row>
    <x:row r="689">
      <x:c r="D689" s="23"/>
      <x:c r="H689" s="25"/>
      <x:c r="I689" s="25"/>
    </x:row>
    <x:row r="690">
      <x:c r="D690" s="23"/>
      <x:c r="H690" s="25"/>
      <x:c r="I690" s="25"/>
    </x:row>
    <x:row r="691">
      <x:c r="D691" s="23"/>
      <x:c r="H691" s="25"/>
      <x:c r="I691" s="25"/>
    </x:row>
    <x:row r="692">
      <x:c r="D692" s="23"/>
      <x:c r="H692" s="25"/>
      <x:c r="I692" s="25"/>
    </x:row>
    <x:row r="693">
      <x:c r="D693" s="23"/>
      <x:c r="H693" s="25"/>
      <x:c r="I693" s="25"/>
    </x:row>
    <x:row r="694">
      <x:c r="D694" s="23"/>
      <x:c r="H694" s="25"/>
      <x:c r="I694" s="25"/>
    </x:row>
    <x:row r="695">
      <x:c r="D695" s="23"/>
      <x:c r="H695" s="25"/>
      <x:c r="I695" s="25"/>
    </x:row>
    <x:row r="696">
      <x:c r="D696" s="23"/>
      <x:c r="H696" s="25"/>
      <x:c r="I696" s="25"/>
    </x:row>
    <x:row r="697">
      <x:c r="D697" s="23"/>
      <x:c r="H697" s="25"/>
      <x:c r="I697" s="25"/>
    </x:row>
    <x:row r="698">
      <x:c r="D698" s="23"/>
      <x:c r="H698" s="25"/>
      <x:c r="I698" s="25"/>
    </x:row>
    <x:row r="699">
      <x:c r="D699" s="23"/>
      <x:c r="H699" s="25"/>
      <x:c r="I699" s="25"/>
    </x:row>
    <x:row r="700">
      <x:c r="D700" s="23"/>
      <x:c r="H700" s="25"/>
      <x:c r="I700" s="25"/>
    </x:row>
    <x:row r="701">
      <x:c r="D701" s="23"/>
      <x:c r="H701" s="25"/>
      <x:c r="I701" s="25"/>
    </x:row>
    <x:row r="702">
      <x:c r="D702" s="23"/>
      <x:c r="H702" s="25"/>
      <x:c r="I702" s="25"/>
    </x:row>
    <x:row r="703">
      <x:c r="D703" s="23"/>
      <x:c r="H703" s="25"/>
      <x:c r="I703" s="25"/>
    </x:row>
    <x:row r="704">
      <x:c r="D704" s="23"/>
      <x:c r="H704" s="25"/>
      <x:c r="I704" s="25"/>
    </x:row>
    <x:row r="705">
      <x:c r="D705" s="23"/>
      <x:c r="H705" s="25"/>
      <x:c r="I705" s="25"/>
    </x:row>
    <x:row r="706">
      <x:c r="D706" s="23"/>
      <x:c r="H706" s="25"/>
      <x:c r="I706" s="25"/>
    </x:row>
    <x:row r="707">
      <x:c r="D707" s="23"/>
      <x:c r="H707" s="25"/>
      <x:c r="I707" s="25"/>
    </x:row>
    <x:row r="708">
      <x:c r="D708" s="23"/>
      <x:c r="H708" s="25"/>
      <x:c r="I708" s="25"/>
    </x:row>
    <x:row r="709">
      <x:c r="D709" s="23"/>
      <x:c r="H709" s="25"/>
      <x:c r="I709" s="25"/>
    </x:row>
    <x:row r="710">
      <x:c r="D710" s="23"/>
      <x:c r="H710" s="25"/>
      <x:c r="I710" s="25"/>
    </x:row>
    <x:row r="711">
      <x:c r="D711" s="23"/>
      <x:c r="H711" s="25"/>
      <x:c r="I711" s="25"/>
    </x:row>
    <x:row r="712">
      <x:c r="D712" s="23"/>
      <x:c r="H712" s="25"/>
      <x:c r="I712" s="25"/>
    </x:row>
    <x:row r="713">
      <x:c r="D713" s="23"/>
      <x:c r="H713" s="25"/>
      <x:c r="I713" s="25"/>
    </x:row>
    <x:row r="714">
      <x:c r="D714" s="23"/>
      <x:c r="H714" s="25"/>
      <x:c r="I714" s="25"/>
    </x:row>
    <x:row r="715">
      <x:c r="D715" s="23"/>
      <x:c r="H715" s="25"/>
      <x:c r="I715" s="25"/>
    </x:row>
    <x:row r="716">
      <x:c r="D716" s="23"/>
      <x:c r="H716" s="25"/>
      <x:c r="I716" s="25"/>
    </x:row>
    <x:row r="717">
      <x:c r="D717" s="23"/>
      <x:c r="H717" s="25"/>
      <x:c r="I717" s="25"/>
    </x:row>
    <x:row r="718">
      <x:c r="D718" s="23"/>
      <x:c r="H718" s="25"/>
      <x:c r="I718" s="25"/>
    </x:row>
    <x:row r="719">
      <x:c r="D719" s="23"/>
      <x:c r="H719" s="25"/>
      <x:c r="I719" s="25"/>
    </x:row>
    <x:row r="720">
      <x:c r="D720" s="23"/>
      <x:c r="H720" s="25"/>
      <x:c r="I720" s="25"/>
    </x:row>
    <x:row r="721">
      <x:c r="D721" s="23"/>
      <x:c r="H721" s="25"/>
      <x:c r="I721" s="25"/>
    </x:row>
    <x:row r="722">
      <x:c r="D722" s="23"/>
      <x:c r="H722" s="25"/>
      <x:c r="I722" s="25"/>
    </x:row>
    <x:row r="723">
      <x:c r="D723" s="23"/>
      <x:c r="H723" s="25"/>
      <x:c r="I723" s="25"/>
    </x:row>
    <x:row r="724">
      <x:c r="D724" s="23"/>
      <x:c r="H724" s="25"/>
      <x:c r="I724" s="25"/>
    </x:row>
    <x:row r="725">
      <x:c r="D725" s="23"/>
      <x:c r="H725" s="25"/>
      <x:c r="I725" s="25"/>
    </x:row>
    <x:row r="726">
      <x:c r="D726" s="23"/>
      <x:c r="H726" s="25"/>
      <x:c r="I726" s="25"/>
    </x:row>
    <x:row r="727">
      <x:c r="D727" s="23"/>
      <x:c r="H727" s="25"/>
      <x:c r="I727" s="25"/>
    </x:row>
    <x:row r="728">
      <x:c r="D728" s="23"/>
      <x:c r="H728" s="25"/>
      <x:c r="I728" s="25"/>
    </x:row>
    <x:row r="729">
      <x:c r="D729" s="23"/>
      <x:c r="H729" s="25"/>
      <x:c r="I729" s="25"/>
    </x:row>
    <x:row r="730">
      <x:c r="D730" s="23"/>
      <x:c r="H730" s="25"/>
      <x:c r="I730" s="25"/>
    </x:row>
    <x:row r="731">
      <x:c r="D731" s="23"/>
      <x:c r="H731" s="25"/>
      <x:c r="I731" s="25"/>
    </x:row>
    <x:row r="732">
      <x:c r="D732" s="23"/>
      <x:c r="H732" s="25"/>
      <x:c r="I732" s="25"/>
    </x:row>
    <x:row r="733">
      <x:c r="D733" s="23"/>
      <x:c r="H733" s="25"/>
      <x:c r="I733" s="25"/>
    </x:row>
    <x:row r="734">
      <x:c r="D734" s="23"/>
      <x:c r="H734" s="25"/>
      <x:c r="I734" s="25"/>
    </x:row>
    <x:row r="735">
      <x:c r="D735" s="23"/>
      <x:c r="H735" s="25"/>
      <x:c r="I735" s="25"/>
    </x:row>
    <x:row r="736">
      <x:c r="D736" s="23"/>
      <x:c r="H736" s="25"/>
      <x:c r="I736" s="25"/>
    </x:row>
    <x:row r="737">
      <x:c r="D737" s="23"/>
      <x:c r="H737" s="25"/>
      <x:c r="I737" s="25"/>
    </x:row>
    <x:row r="738">
      <x:c r="D738" s="23"/>
      <x:c r="H738" s="25"/>
      <x:c r="I738" s="25"/>
    </x:row>
    <x:row r="739">
      <x:c r="D739" s="23"/>
      <x:c r="H739" s="25"/>
      <x:c r="I739" s="25"/>
    </x:row>
    <x:row r="740">
      <x:c r="D740" s="23"/>
      <x:c r="H740" s="25"/>
      <x:c r="I740" s="25"/>
    </x:row>
    <x:row r="741">
      <x:c r="D741" s="23"/>
      <x:c r="H741" s="25"/>
      <x:c r="I741" s="25"/>
    </x:row>
    <x:row r="742">
      <x:c r="D742" s="23"/>
      <x:c r="H742" s="25"/>
      <x:c r="I742" s="25"/>
    </x:row>
    <x:row r="743">
      <x:c r="D743" s="23"/>
      <x:c r="H743" s="25"/>
      <x:c r="I743" s="25"/>
    </x:row>
    <x:row r="744">
      <x:c r="D744" s="23"/>
      <x:c r="H744" s="25"/>
      <x:c r="I744" s="25"/>
    </x:row>
    <x:row r="745">
      <x:c r="D745" s="23"/>
      <x:c r="H745" s="25"/>
      <x:c r="I745" s="25"/>
    </x:row>
    <x:row r="746">
      <x:c r="D746" s="23"/>
      <x:c r="H746" s="25"/>
      <x:c r="I746" s="25"/>
    </x:row>
    <x:row r="747">
      <x:c r="D747" s="23"/>
      <x:c r="H747" s="25"/>
      <x:c r="I747" s="25"/>
    </x:row>
    <x:row r="748">
      <x:c r="D748" s="23"/>
      <x:c r="H748" s="25"/>
      <x:c r="I748" s="25"/>
    </x:row>
    <x:row r="749">
      <x:c r="D749" s="23"/>
      <x:c r="H749" s="25"/>
      <x:c r="I749" s="25"/>
    </x:row>
    <x:row r="750">
      <x:c r="D750" s="23"/>
      <x:c r="H750" s="25"/>
      <x:c r="I750" s="25"/>
    </x:row>
    <x:row r="751">
      <x:c r="D751" s="23"/>
      <x:c r="H751" s="25"/>
      <x:c r="I751" s="25"/>
    </x:row>
    <x:row r="752">
      <x:c r="D752" s="23"/>
      <x:c r="H752" s="25"/>
      <x:c r="I752" s="25"/>
    </x:row>
    <x:row r="753">
      <x:c r="D753" s="23"/>
      <x:c r="H753" s="25"/>
      <x:c r="I753" s="25"/>
    </x:row>
    <x:row r="754">
      <x:c r="D754" s="23"/>
      <x:c r="H754" s="25"/>
      <x:c r="I754" s="25"/>
    </x:row>
    <x:row r="755">
      <x:c r="D755" s="23"/>
      <x:c r="H755" s="25"/>
      <x:c r="I755" s="25"/>
    </x:row>
    <x:row r="756">
      <x:c r="D756" s="23"/>
      <x:c r="H756" s="25"/>
      <x:c r="I756" s="25"/>
    </x:row>
    <x:row r="757">
      <x:c r="D757" s="23"/>
      <x:c r="H757" s="25"/>
      <x:c r="I757" s="25"/>
    </x:row>
    <x:row r="758">
      <x:c r="D758" s="23"/>
      <x:c r="H758" s="25"/>
      <x:c r="I758" s="25"/>
    </x:row>
    <x:row r="759">
      <x:c r="D759" s="23"/>
      <x:c r="H759" s="25"/>
      <x:c r="I759" s="25"/>
    </x:row>
    <x:row r="760">
      <x:c r="D760" s="23"/>
      <x:c r="H760" s="25"/>
      <x:c r="I760" s="25"/>
    </x:row>
    <x:row r="761">
      <x:c r="D761" s="23"/>
      <x:c r="H761" s="25"/>
      <x:c r="I761" s="25"/>
    </x:row>
    <x:row r="762">
      <x:c r="D762" s="23"/>
      <x:c r="H762" s="25"/>
      <x:c r="I762" s="25"/>
    </x:row>
    <x:row r="763">
      <x:c r="D763" s="23"/>
      <x:c r="H763" s="25"/>
      <x:c r="I763" s="25"/>
    </x:row>
    <x:row r="764">
      <x:c r="D764" s="23"/>
      <x:c r="H764" s="25"/>
      <x:c r="I764" s="25"/>
    </x:row>
    <x:row r="765">
      <x:c r="D765" s="23"/>
      <x:c r="H765" s="25"/>
      <x:c r="I765" s="25"/>
    </x:row>
    <x:row r="766">
      <x:c r="D766" s="23"/>
      <x:c r="H766" s="25"/>
      <x:c r="I766" s="25"/>
    </x:row>
    <x:row r="767">
      <x:c r="D767" s="23"/>
      <x:c r="H767" s="25"/>
      <x:c r="I767" s="25"/>
    </x:row>
    <x:row r="768">
      <x:c r="D768" s="23"/>
      <x:c r="H768" s="25"/>
      <x:c r="I768" s="25"/>
    </x:row>
    <x:row r="769">
      <x:c r="D769" s="23"/>
      <x:c r="H769" s="25"/>
      <x:c r="I769" s="25"/>
    </x:row>
    <x:row r="770">
      <x:c r="D770" s="23"/>
      <x:c r="H770" s="25"/>
      <x:c r="I770" s="25"/>
    </x:row>
    <x:row r="771">
      <x:c r="D771" s="23"/>
      <x:c r="H771" s="25"/>
      <x:c r="I771" s="25"/>
    </x:row>
    <x:row r="772">
      <x:c r="D772" s="23"/>
      <x:c r="H772" s="25"/>
      <x:c r="I772" s="25"/>
    </x:row>
    <x:row r="773">
      <x:c r="D773" s="23"/>
      <x:c r="H773" s="25"/>
      <x:c r="I773" s="25"/>
    </x:row>
    <x:row r="774">
      <x:c r="D774" s="23"/>
      <x:c r="H774" s="25"/>
      <x:c r="I774" s="25"/>
    </x:row>
    <x:row r="775">
      <x:c r="D775" s="23"/>
      <x:c r="H775" s="25"/>
      <x:c r="I775" s="25"/>
    </x:row>
    <x:row r="776">
      <x:c r="D776" s="23"/>
      <x:c r="H776" s="25"/>
      <x:c r="I776" s="25"/>
    </x:row>
    <x:row r="777">
      <x:c r="D777" s="23"/>
      <x:c r="H777" s="25"/>
      <x:c r="I777" s="25"/>
    </x:row>
    <x:row r="778">
      <x:c r="D778" s="23"/>
      <x:c r="H778" s="25"/>
      <x:c r="I778" s="25"/>
    </x:row>
    <x:row r="779">
      <x:c r="D779" s="23"/>
      <x:c r="H779" s="25"/>
      <x:c r="I779" s="25"/>
    </x:row>
    <x:row r="780">
      <x:c r="D780" s="23"/>
      <x:c r="H780" s="25"/>
      <x:c r="I780" s="25"/>
    </x:row>
    <x:row r="781">
      <x:c r="D781" s="23"/>
      <x:c r="H781" s="25"/>
      <x:c r="I781" s="25"/>
    </x:row>
    <x:row r="782">
      <x:c r="D782" s="23"/>
      <x:c r="H782" s="25"/>
      <x:c r="I782" s="25"/>
    </x:row>
    <x:row r="783">
      <x:c r="D783" s="23"/>
      <x:c r="H783" s="25"/>
      <x:c r="I783" s="25"/>
    </x:row>
    <x:row r="784">
      <x:c r="D784" s="23"/>
      <x:c r="H784" s="25"/>
      <x:c r="I784" s="25"/>
    </x:row>
    <x:row r="785">
      <x:c r="D785" s="23"/>
      <x:c r="H785" s="25"/>
      <x:c r="I785" s="25"/>
    </x:row>
    <x:row r="786">
      <x:c r="D786" s="23"/>
      <x:c r="H786" s="25"/>
      <x:c r="I786" s="25"/>
    </x:row>
    <x:row r="787">
      <x:c r="D787" s="23"/>
      <x:c r="H787" s="25"/>
      <x:c r="I787" s="25"/>
    </x:row>
    <x:row r="788">
      <x:c r="D788" s="23"/>
      <x:c r="H788" s="25"/>
      <x:c r="I788" s="25"/>
    </x:row>
    <x:row r="789">
      <x:c r="D789" s="23"/>
      <x:c r="H789" s="25"/>
      <x:c r="I789" s="25"/>
    </x:row>
    <x:row r="790">
      <x:c r="D790" s="23"/>
      <x:c r="H790" s="25"/>
      <x:c r="I790" s="25"/>
    </x:row>
    <x:row r="791">
      <x:c r="D791" s="23"/>
      <x:c r="H791" s="25"/>
      <x:c r="I791" s="25"/>
    </x:row>
    <x:row r="792">
      <x:c r="D792" s="23"/>
      <x:c r="H792" s="25"/>
      <x:c r="I792" s="25"/>
    </x:row>
    <x:row r="793">
      <x:c r="D793" s="23"/>
      <x:c r="H793" s="25"/>
      <x:c r="I793" s="25"/>
    </x:row>
    <x:row r="794">
      <x:c r="D794" s="23"/>
      <x:c r="H794" s="25"/>
      <x:c r="I794" s="25"/>
    </x:row>
    <x:row r="795">
      <x:c r="D795" s="23"/>
      <x:c r="H795" s="25"/>
      <x:c r="I795" s="25"/>
    </x:row>
    <x:row r="796">
      <x:c r="D796" s="23"/>
      <x:c r="H796" s="25"/>
      <x:c r="I796" s="25"/>
    </x:row>
    <x:row r="797">
      <x:c r="D797" s="23"/>
      <x:c r="H797" s="25"/>
      <x:c r="I797" s="25"/>
    </x:row>
    <x:row r="798">
      <x:c r="D798" s="23"/>
      <x:c r="H798" s="25"/>
      <x:c r="I798" s="25"/>
    </x:row>
    <x:row r="799">
      <x:c r="D799" s="23"/>
      <x:c r="H799" s="25"/>
      <x:c r="I799" s="25"/>
    </x:row>
    <x:row r="800">
      <x:c r="D800" s="23"/>
      <x:c r="H800" s="25"/>
      <x:c r="I800" s="25"/>
    </x:row>
    <x:row r="801">
      <x:c r="D801" s="23"/>
      <x:c r="H801" s="25"/>
      <x:c r="I801" s="25"/>
    </x:row>
    <x:row r="802">
      <x:c r="D802" s="23"/>
      <x:c r="H802" s="25"/>
      <x:c r="I802" s="25"/>
    </x:row>
    <x:row r="803">
      <x:c r="D803" s="23"/>
      <x:c r="H803" s="25"/>
      <x:c r="I803" s="25"/>
    </x:row>
    <x:row r="804">
      <x:c r="D804" s="23"/>
      <x:c r="H804" s="25"/>
      <x:c r="I804" s="25"/>
    </x:row>
    <x:row r="805">
      <x:c r="D805" s="23"/>
      <x:c r="H805" s="25"/>
      <x:c r="I805" s="25"/>
    </x:row>
    <x:row r="806">
      <x:c r="D806" s="23"/>
      <x:c r="H806" s="25"/>
      <x:c r="I806" s="25"/>
    </x:row>
    <x:row r="807">
      <x:c r="D807" s="23"/>
      <x:c r="H807" s="25"/>
      <x:c r="I807" s="25"/>
    </x:row>
    <x:row r="808">
      <x:c r="D808" s="23"/>
      <x:c r="H808" s="25"/>
      <x:c r="I808" s="25"/>
    </x:row>
    <x:row r="809">
      <x:c r="D809" s="23"/>
      <x:c r="H809" s="25"/>
      <x:c r="I809" s="25"/>
    </x:row>
    <x:row r="810">
      <x:c r="D810" s="23"/>
      <x:c r="H810" s="25"/>
      <x:c r="I810" s="25"/>
    </x:row>
    <x:row r="811">
      <x:c r="D811" s="23"/>
      <x:c r="H811" s="25"/>
      <x:c r="I811" s="25"/>
    </x:row>
    <x:row r="812">
      <x:c r="D812" s="23"/>
      <x:c r="H812" s="25"/>
      <x:c r="I812" s="25"/>
    </x:row>
    <x:row r="813">
      <x:c r="D813" s="23"/>
      <x:c r="H813" s="25"/>
      <x:c r="I813" s="25"/>
    </x:row>
    <x:row r="814">
      <x:c r="D814" s="23"/>
      <x:c r="H814" s="25"/>
      <x:c r="I814" s="25"/>
    </x:row>
    <x:row r="815">
      <x:c r="D815" s="23"/>
      <x:c r="H815" s="25"/>
      <x:c r="I815" s="25"/>
    </x:row>
    <x:row r="816">
      <x:c r="D816" s="23"/>
      <x:c r="H816" s="25"/>
      <x:c r="I816" s="25"/>
    </x:row>
    <x:row r="817">
      <x:c r="D817" s="23"/>
      <x:c r="H817" s="25"/>
      <x:c r="I817" s="25"/>
    </x:row>
    <x:row r="818">
      <x:c r="D818" s="23"/>
      <x:c r="H818" s="25"/>
      <x:c r="I818" s="25"/>
    </x:row>
    <x:row r="819">
      <x:c r="D819" s="23"/>
      <x:c r="H819" s="25"/>
      <x:c r="I819" s="25"/>
    </x:row>
    <x:row r="820">
      <x:c r="D820" s="23"/>
      <x:c r="H820" s="25"/>
      <x:c r="I820" s="25"/>
    </x:row>
    <x:row r="821">
      <x:c r="D821" s="23"/>
      <x:c r="H821" s="25"/>
      <x:c r="I821" s="25"/>
    </x:row>
    <x:row r="822">
      <x:c r="D822" s="23"/>
      <x:c r="H822" s="25"/>
      <x:c r="I822" s="25"/>
    </x:row>
    <x:row r="823">
      <x:c r="D823" s="23"/>
      <x:c r="H823" s="25"/>
      <x:c r="I823" s="25"/>
    </x:row>
    <x:row r="824">
      <x:c r="D824" s="23"/>
      <x:c r="H824" s="25"/>
      <x:c r="I824" s="25"/>
    </x:row>
    <x:row r="825">
      <x:c r="D825" s="23"/>
      <x:c r="H825" s="25"/>
      <x:c r="I825" s="25"/>
    </x:row>
    <x:row r="826">
      <x:c r="D826" s="23"/>
      <x:c r="H826" s="25"/>
      <x:c r="I826" s="25"/>
    </x:row>
    <x:row r="827">
      <x:c r="D827" s="23"/>
      <x:c r="H827" s="25"/>
      <x:c r="I827" s="25"/>
    </x:row>
    <x:row r="828">
      <x:c r="D828" s="23"/>
      <x:c r="H828" s="25"/>
      <x:c r="I828" s="25"/>
    </x:row>
    <x:row r="829">
      <x:c r="D829" s="23"/>
      <x:c r="H829" s="25"/>
      <x:c r="I829" s="25"/>
    </x:row>
    <x:row r="830">
      <x:c r="D830" s="23"/>
      <x:c r="H830" s="25"/>
      <x:c r="I830" s="25"/>
    </x:row>
    <x:row r="831">
      <x:c r="D831" s="23"/>
      <x:c r="H831" s="25"/>
      <x:c r="I831" s="25"/>
    </x:row>
    <x:row r="832">
      <x:c r="D832" s="23"/>
      <x:c r="H832" s="25"/>
      <x:c r="I832" s="25"/>
    </x:row>
    <x:row r="833">
      <x:c r="D833" s="23"/>
      <x:c r="H833" s="25"/>
      <x:c r="I833" s="25"/>
    </x:row>
    <x:row r="834">
      <x:c r="D834" s="23"/>
      <x:c r="H834" s="25"/>
      <x:c r="I834" s="25"/>
    </x:row>
    <x:row r="835">
      <x:c r="D835" s="23"/>
      <x:c r="H835" s="25"/>
      <x:c r="I835" s="25"/>
    </x:row>
    <x:row r="836">
      <x:c r="D836" s="23"/>
      <x:c r="H836" s="25"/>
      <x:c r="I836" s="25"/>
    </x:row>
    <x:row r="837">
      <x:c r="D837" s="23"/>
      <x:c r="H837" s="25"/>
      <x:c r="I837" s="25"/>
    </x:row>
    <x:row r="838">
      <x:c r="D838" s="23"/>
      <x:c r="H838" s="25"/>
      <x:c r="I838" s="25"/>
    </x:row>
    <x:row r="839">
      <x:c r="D839" s="23"/>
      <x:c r="H839" s="25"/>
      <x:c r="I839" s="25"/>
    </x:row>
    <x:row r="840">
      <x:c r="D840" s="23"/>
      <x:c r="H840" s="25"/>
      <x:c r="I840" s="25"/>
    </x:row>
    <x:row r="841">
      <x:c r="D841" s="23"/>
      <x:c r="H841" s="25"/>
      <x:c r="I841" s="25"/>
    </x:row>
    <x:row r="842">
      <x:c r="D842" s="23"/>
      <x:c r="H842" s="25"/>
      <x:c r="I842" s="25"/>
    </x:row>
    <x:row r="843">
      <x:c r="D843" s="23"/>
      <x:c r="H843" s="25"/>
      <x:c r="I843" s="25"/>
    </x:row>
    <x:row r="844">
      <x:c r="D844" s="23"/>
      <x:c r="H844" s="25"/>
      <x:c r="I844" s="25"/>
    </x:row>
    <x:row r="845">
      <x:c r="D845" s="23"/>
      <x:c r="H845" s="25"/>
      <x:c r="I845" s="25"/>
    </x:row>
    <x:row r="846">
      <x:c r="D846" s="23"/>
      <x:c r="H846" s="25"/>
      <x:c r="I846" s="25"/>
    </x:row>
    <x:row r="847">
      <x:c r="D847" s="23"/>
      <x:c r="H847" s="25"/>
      <x:c r="I847" s="25"/>
    </x:row>
    <x:row r="848">
      <x:c r="D848" s="23"/>
      <x:c r="H848" s="25"/>
      <x:c r="I848" s="25"/>
    </x:row>
    <x:row r="849">
      <x:c r="D849" s="23"/>
      <x:c r="H849" s="25"/>
      <x:c r="I849" s="25"/>
    </x:row>
    <x:row r="850">
      <x:c r="D850" s="23"/>
      <x:c r="H850" s="25"/>
      <x:c r="I850" s="25"/>
    </x:row>
    <x:row r="851">
      <x:c r="D851" s="23"/>
      <x:c r="H851" s="25"/>
      <x:c r="I851" s="25"/>
    </x:row>
    <x:row r="852">
      <x:c r="D852" s="23"/>
      <x:c r="H852" s="25"/>
      <x:c r="I852" s="25"/>
    </x:row>
    <x:row r="853">
      <x:c r="D853" s="23"/>
      <x:c r="H853" s="25"/>
      <x:c r="I853" s="25"/>
    </x:row>
    <x:row r="854">
      <x:c r="D854" s="23"/>
      <x:c r="H854" s="25"/>
      <x:c r="I854" s="25"/>
    </x:row>
    <x:row r="855">
      <x:c r="D855" s="23"/>
      <x:c r="H855" s="25"/>
      <x:c r="I855" s="25"/>
    </x:row>
    <x:row r="856">
      <x:c r="D856" s="23"/>
      <x:c r="H856" s="25"/>
      <x:c r="I856" s="25"/>
    </x:row>
    <x:row r="857">
      <x:c r="D857" s="23"/>
      <x:c r="H857" s="25"/>
      <x:c r="I857" s="25"/>
    </x:row>
    <x:row r="858">
      <x:c r="D858" s="23"/>
      <x:c r="H858" s="25"/>
      <x:c r="I858" s="25"/>
    </x:row>
    <x:row r="859">
      <x:c r="D859" s="23"/>
      <x:c r="H859" s="25"/>
      <x:c r="I859" s="25"/>
    </x:row>
    <x:row r="860">
      <x:c r="D860" s="23"/>
      <x:c r="H860" s="25"/>
      <x:c r="I860" s="25"/>
    </x:row>
    <x:row r="861">
      <x:c r="D861" s="23"/>
      <x:c r="H861" s="25"/>
      <x:c r="I861" s="25"/>
    </x:row>
    <x:row r="862">
      <x:c r="D862" s="23"/>
      <x:c r="H862" s="25"/>
      <x:c r="I862" s="25"/>
    </x:row>
    <x:row r="863">
      <x:c r="D863" s="23"/>
      <x:c r="H863" s="25"/>
      <x:c r="I863" s="25"/>
    </x:row>
    <x:row r="864">
      <x:c r="D864" s="23"/>
      <x:c r="H864" s="25"/>
      <x:c r="I864" s="25"/>
    </x:row>
    <x:row r="865">
      <x:c r="D865" s="23"/>
      <x:c r="H865" s="25"/>
      <x:c r="I865" s="25"/>
    </x:row>
    <x:row r="866">
      <x:c r="D866" s="23"/>
      <x:c r="H866" s="25"/>
      <x:c r="I866" s="25"/>
    </x:row>
    <x:row r="867">
      <x:c r="D867" s="23"/>
      <x:c r="H867" s="25"/>
      <x:c r="I867" s="25"/>
    </x:row>
    <x:row r="868">
      <x:c r="D868" s="23"/>
      <x:c r="H868" s="25"/>
      <x:c r="I868" s="25"/>
    </x:row>
    <x:row r="869">
      <x:c r="D869" s="23"/>
      <x:c r="H869" s="25"/>
      <x:c r="I869" s="25"/>
    </x:row>
    <x:row r="870">
      <x:c r="D870" s="23"/>
      <x:c r="H870" s="25"/>
      <x:c r="I870" s="25"/>
    </x:row>
    <x:row r="871">
      <x:c r="D871" s="23"/>
      <x:c r="H871" s="25"/>
      <x:c r="I871" s="25"/>
    </x:row>
    <x:row r="872">
      <x:c r="D872" s="23"/>
      <x:c r="H872" s="25"/>
      <x:c r="I872" s="25"/>
    </x:row>
    <x:row r="873">
      <x:c r="D873" s="23"/>
      <x:c r="H873" s="25"/>
      <x:c r="I873" s="25"/>
    </x:row>
    <x:row r="874">
      <x:c r="D874" s="23"/>
      <x:c r="H874" s="25"/>
      <x:c r="I874" s="25"/>
    </x:row>
    <x:row r="875">
      <x:c r="D875" s="23"/>
      <x:c r="H875" s="25"/>
      <x:c r="I875" s="25"/>
    </x:row>
    <x:row r="876">
      <x:c r="D876" s="23"/>
      <x:c r="H876" s="25"/>
      <x:c r="I876" s="25"/>
    </x:row>
    <x:row r="877">
      <x:c r="D877" s="23"/>
      <x:c r="H877" s="25"/>
      <x:c r="I877" s="25"/>
    </x:row>
    <x:row r="878">
      <x:c r="D878" s="23"/>
      <x:c r="H878" s="25"/>
      <x:c r="I878" s="25"/>
    </x:row>
    <x:row r="879">
      <x:c r="D879" s="23"/>
      <x:c r="H879" s="25"/>
      <x:c r="I879" s="25"/>
    </x:row>
    <x:row r="880">
      <x:c r="D880" s="23"/>
      <x:c r="H880" s="25"/>
      <x:c r="I880" s="25"/>
    </x:row>
    <x:row r="881">
      <x:c r="D881" s="23"/>
      <x:c r="H881" s="25"/>
      <x:c r="I881" s="25"/>
    </x:row>
    <x:row r="882">
      <x:c r="D882" s="23"/>
      <x:c r="H882" s="25"/>
      <x:c r="I882" s="25"/>
    </x:row>
    <x:row r="883">
      <x:c r="D883" s="23"/>
      <x:c r="H883" s="25"/>
      <x:c r="I883" s="25"/>
    </x:row>
    <x:row r="884">
      <x:c r="D884" s="23"/>
      <x:c r="H884" s="25"/>
      <x:c r="I884" s="25"/>
    </x:row>
    <x:row r="885">
      <x:c r="D885" s="23"/>
      <x:c r="H885" s="25"/>
      <x:c r="I885" s="25"/>
    </x:row>
    <x:row r="886">
      <x:c r="D886" s="23"/>
      <x:c r="H886" s="25"/>
      <x:c r="I886" s="25"/>
    </x:row>
    <x:row r="887">
      <x:c r="D887" s="23"/>
      <x:c r="H887" s="25"/>
      <x:c r="I887" s="25"/>
    </x:row>
    <x:row r="888">
      <x:c r="D888" s="23"/>
      <x:c r="H888" s="25"/>
      <x:c r="I888" s="25"/>
    </x:row>
    <x:row r="889">
      <x:c r="D889" s="23"/>
      <x:c r="H889" s="25"/>
      <x:c r="I889" s="25"/>
    </x:row>
    <x:row r="890">
      <x:c r="D890" s="23"/>
      <x:c r="H890" s="25"/>
      <x:c r="I890" s="25"/>
    </x:row>
    <x:row r="891">
      <x:c r="D891" s="23"/>
      <x:c r="H891" s="25"/>
      <x:c r="I891" s="25"/>
    </x:row>
    <x:row r="892">
      <x:c r="D892" s="23"/>
      <x:c r="H892" s="25"/>
      <x:c r="I892" s="25"/>
    </x:row>
    <x:row r="893">
      <x:c r="D893" s="23"/>
      <x:c r="H893" s="25"/>
      <x:c r="I893" s="25"/>
    </x:row>
    <x:row r="894">
      <x:c r="D894" s="23"/>
      <x:c r="H894" s="25"/>
      <x:c r="I894" s="25"/>
    </x:row>
    <x:row r="895">
      <x:c r="D895" s="23"/>
      <x:c r="H895" s="25"/>
      <x:c r="I895" s="25"/>
    </x:row>
    <x:row r="896">
      <x:c r="D896" s="23"/>
      <x:c r="H896" s="25"/>
      <x:c r="I896" s="25"/>
    </x:row>
    <x:row r="897">
      <x:c r="D897" s="23"/>
      <x:c r="H897" s="25"/>
      <x:c r="I897" s="25"/>
    </x:row>
    <x:row r="898">
      <x:c r="D898" s="23"/>
      <x:c r="H898" s="25"/>
      <x:c r="I898" s="25"/>
    </x:row>
    <x:row r="899">
      <x:c r="D899" s="23"/>
      <x:c r="H899" s="25"/>
      <x:c r="I899" s="25"/>
    </x:row>
    <x:row r="900">
      <x:c r="D900" s="23"/>
      <x:c r="H900" s="25"/>
      <x:c r="I900" s="25"/>
    </x:row>
    <x:row r="901">
      <x:c r="D901" s="23"/>
      <x:c r="H901" s="25"/>
      <x:c r="I901" s="25"/>
    </x:row>
    <x:row r="902">
      <x:c r="D902" s="23"/>
      <x:c r="H902" s="25"/>
      <x:c r="I902" s="25"/>
    </x:row>
    <x:row r="903">
      <x:c r="D903" s="23"/>
      <x:c r="H903" s="25"/>
      <x:c r="I903" s="25"/>
    </x:row>
    <x:row r="904">
      <x:c r="D904" s="23"/>
      <x:c r="H904" s="25"/>
      <x:c r="I904" s="25"/>
    </x:row>
    <x:row r="905">
      <x:c r="D905" s="23"/>
      <x:c r="H905" s="25"/>
      <x:c r="I905" s="25"/>
    </x:row>
    <x:row r="906">
      <x:c r="D906" s="23"/>
      <x:c r="H906" s="25"/>
      <x:c r="I906" s="25"/>
    </x:row>
    <x:row r="907">
      <x:c r="D907" s="23"/>
      <x:c r="H907" s="25"/>
      <x:c r="I907" s="25"/>
    </x:row>
    <x:row r="908">
      <x:c r="D908" s="23"/>
      <x:c r="H908" s="25"/>
      <x:c r="I908" s="25"/>
    </x:row>
    <x:row r="909">
      <x:c r="D909" s="23"/>
      <x:c r="H909" s="25"/>
      <x:c r="I909" s="25"/>
    </x:row>
    <x:row r="910">
      <x:c r="D910" s="23"/>
      <x:c r="H910" s="25"/>
      <x:c r="I910" s="25"/>
    </x:row>
    <x:row r="911">
      <x:c r="D911" s="23"/>
      <x:c r="H911" s="25"/>
      <x:c r="I911" s="25"/>
    </x:row>
    <x:row r="912">
      <x:c r="D912" s="23"/>
      <x:c r="H912" s="25"/>
      <x:c r="I912" s="25"/>
    </x:row>
    <x:row r="913">
      <x:c r="D913" s="23"/>
      <x:c r="H913" s="25"/>
      <x:c r="I913" s="25"/>
    </x:row>
    <x:row r="914">
      <x:c r="D914" s="23"/>
      <x:c r="H914" s="25"/>
      <x:c r="I914" s="25"/>
    </x:row>
    <x:row r="915">
      <x:c r="D915" s="23"/>
      <x:c r="H915" s="25"/>
      <x:c r="I915" s="25"/>
    </x:row>
    <x:row r="916">
      <x:c r="D916" s="23"/>
      <x:c r="H916" s="25"/>
      <x:c r="I916" s="25"/>
    </x:row>
    <x:row r="917">
      <x:c r="D917" s="23"/>
      <x:c r="H917" s="25"/>
      <x:c r="I917" s="25"/>
    </x:row>
    <x:row r="918">
      <x:c r="D918" s="23"/>
      <x:c r="H918" s="25"/>
      <x:c r="I918" s="25"/>
    </x:row>
    <x:row r="919">
      <x:c r="D919" s="23"/>
      <x:c r="H919" s="25"/>
      <x:c r="I919" s="25"/>
    </x:row>
    <x:row r="920">
      <x:c r="D920" s="23"/>
      <x:c r="H920" s="25"/>
      <x:c r="I920" s="25"/>
    </x:row>
    <x:row r="921">
      <x:c r="D921" s="23"/>
      <x:c r="H921" s="25"/>
      <x:c r="I921" s="25"/>
    </x:row>
    <x:row r="922">
      <x:c r="D922" s="23"/>
      <x:c r="H922" s="25"/>
      <x:c r="I922" s="25"/>
    </x:row>
    <x:row r="923">
      <x:c r="D923" s="23"/>
      <x:c r="H923" s="25"/>
      <x:c r="I923" s="25"/>
    </x:row>
    <x:row r="924">
      <x:c r="D924" s="23"/>
      <x:c r="H924" s="25"/>
      <x:c r="I924" s="25"/>
    </x:row>
    <x:row r="925">
      <x:c r="D925" s="23"/>
      <x:c r="H925" s="25"/>
      <x:c r="I925" s="25"/>
    </x:row>
    <x:row r="926">
      <x:c r="D926" s="23"/>
      <x:c r="H926" s="25"/>
      <x:c r="I926" s="25"/>
    </x:row>
    <x:row r="927">
      <x:c r="D927" s="23"/>
      <x:c r="H927" s="25"/>
      <x:c r="I927" s="25"/>
    </x:row>
    <x:row r="928">
      <x:c r="D928" s="23"/>
      <x:c r="H928" s="25"/>
      <x:c r="I928" s="25"/>
    </x:row>
    <x:row r="929">
      <x:c r="D929" s="23"/>
      <x:c r="H929" s="25"/>
      <x:c r="I929" s="25"/>
    </x:row>
    <x:row r="930">
      <x:c r="D930" s="23"/>
      <x:c r="H930" s="25"/>
      <x:c r="I930" s="25"/>
    </x:row>
    <x:row r="931">
      <x:c r="D931" s="23"/>
      <x:c r="H931" s="25"/>
      <x:c r="I931" s="25"/>
    </x:row>
    <x:row r="932">
      <x:c r="D932" s="23"/>
      <x:c r="H932" s="25"/>
      <x:c r="I932" s="25"/>
    </x:row>
    <x:row r="933">
      <x:c r="D933" s="23"/>
      <x:c r="H933" s="25"/>
      <x:c r="I933" s="25"/>
    </x:row>
    <x:row r="934">
      <x:c r="D934" s="23"/>
      <x:c r="H934" s="25"/>
      <x:c r="I934" s="25"/>
    </x:row>
    <x:row r="935">
      <x:c r="D935" s="23"/>
      <x:c r="H935" s="25"/>
      <x:c r="I935" s="25"/>
    </x:row>
    <x:row r="936">
      <x:c r="D936" s="23"/>
      <x:c r="H936" s="25"/>
      <x:c r="I936" s="25"/>
    </x:row>
    <x:row r="937">
      <x:c r="D937" s="23"/>
      <x:c r="H937" s="25"/>
      <x:c r="I937" s="25"/>
    </x:row>
    <x:row r="938">
      <x:c r="D938" s="23"/>
      <x:c r="H938" s="25"/>
      <x:c r="I938" s="25"/>
    </x:row>
    <x:row r="939">
      <x:c r="D939" s="23"/>
      <x:c r="H939" s="25"/>
      <x:c r="I939" s="25"/>
    </x:row>
    <x:row r="940">
      <x:c r="D940" s="23"/>
      <x:c r="H940" s="25"/>
      <x:c r="I940" s="25"/>
    </x:row>
    <x:row r="941">
      <x:c r="D941" s="23"/>
      <x:c r="H941" s="25"/>
      <x:c r="I941" s="25"/>
    </x:row>
    <x:row r="942">
      <x:c r="D942" s="23"/>
      <x:c r="H942" s="25"/>
      <x:c r="I942" s="25"/>
    </x:row>
    <x:row r="943">
      <x:c r="D943" s="23"/>
      <x:c r="H943" s="25"/>
      <x:c r="I943" s="25"/>
    </x:row>
    <x:row r="944">
      <x:c r="D944" s="23"/>
      <x:c r="H944" s="25"/>
      <x:c r="I944" s="25"/>
    </x:row>
    <x:row r="945">
      <x:c r="D945" s="23"/>
      <x:c r="H945" s="25"/>
      <x:c r="I945" s="25"/>
    </x:row>
    <x:row r="946">
      <x:c r="D946" s="23"/>
      <x:c r="H946" s="25"/>
      <x:c r="I946" s="25"/>
    </x:row>
    <x:row r="947">
      <x:c r="D947" s="23"/>
      <x:c r="H947" s="25"/>
      <x:c r="I947" s="25"/>
    </x:row>
    <x:row r="948">
      <x:c r="D948" s="23"/>
      <x:c r="H948" s="25"/>
      <x:c r="I948" s="25"/>
    </x:row>
    <x:row r="949">
      <x:c r="D949" s="23"/>
      <x:c r="H949" s="25"/>
      <x:c r="I949" s="25"/>
    </x:row>
    <x:row r="950">
      <x:c r="D950" s="23"/>
      <x:c r="H950" s="25"/>
      <x:c r="I950" s="25"/>
    </x:row>
    <x:row r="951">
      <x:c r="D951" s="23"/>
      <x:c r="H951" s="25"/>
      <x:c r="I951" s="25"/>
    </x:row>
    <x:row r="952">
      <x:c r="D952" s="23"/>
      <x:c r="H952" s="25"/>
      <x:c r="I952" s="25"/>
    </x:row>
    <x:row r="953">
      <x:c r="D953" s="23"/>
      <x:c r="H953" s="25"/>
      <x:c r="I953" s="25"/>
    </x:row>
    <x:row r="954">
      <x:c r="D954" s="23"/>
      <x:c r="H954" s="25"/>
      <x:c r="I954" s="25"/>
    </x:row>
    <x:row r="955">
      <x:c r="D955" s="23"/>
      <x:c r="H955" s="25"/>
      <x:c r="I955" s="25"/>
    </x:row>
    <x:row r="956">
      <x:c r="D956" s="23"/>
      <x:c r="H956" s="25"/>
      <x:c r="I956" s="25"/>
    </x:row>
    <x:row r="957">
      <x:c r="D957" s="23"/>
      <x:c r="H957" s="25"/>
      <x:c r="I957" s="25"/>
    </x:row>
    <x:row r="958">
      <x:c r="D958" s="23"/>
      <x:c r="H958" s="25"/>
      <x:c r="I958" s="25"/>
    </x:row>
    <x:row r="959">
      <x:c r="D959" s="23"/>
      <x:c r="H959" s="25"/>
      <x:c r="I959" s="25"/>
    </x:row>
    <x:row r="960">
      <x:c r="D960" s="23"/>
      <x:c r="H960" s="25"/>
      <x:c r="I960" s="25"/>
    </x:row>
    <x:row r="961">
      <x:c r="D961" s="23"/>
      <x:c r="H961" s="25"/>
      <x:c r="I961" s="25"/>
    </x:row>
    <x:row r="962">
      <x:c r="D962" s="23"/>
      <x:c r="H962" s="25"/>
      <x:c r="I962" s="25"/>
    </x:row>
    <x:row r="963">
      <x:c r="D963" s="23"/>
      <x:c r="H963" s="25"/>
      <x:c r="I963" s="25"/>
    </x:row>
    <x:row r="964">
      <x:c r="D964" s="23"/>
      <x:c r="H964" s="25"/>
      <x:c r="I964" s="25"/>
    </x:row>
    <x:row r="965">
      <x:c r="D965" s="23"/>
      <x:c r="H965" s="25"/>
      <x:c r="I965" s="25"/>
    </x:row>
    <x:row r="966">
      <x:c r="D966" s="23"/>
      <x:c r="H966" s="25"/>
      <x:c r="I966" s="25"/>
    </x:row>
    <x:row r="967">
      <x:c r="D967" s="23"/>
      <x:c r="H967" s="25"/>
      <x:c r="I967" s="25"/>
    </x:row>
    <x:row r="968">
      <x:c r="D968" s="23"/>
      <x:c r="H968" s="25"/>
      <x:c r="I968" s="25"/>
    </x:row>
    <x:row r="969">
      <x:c r="D969" s="23"/>
      <x:c r="H969" s="25"/>
      <x:c r="I969" s="25"/>
    </x:row>
    <x:row r="970">
      <x:c r="D970" s="23"/>
      <x:c r="H970" s="25"/>
      <x:c r="I970" s="25"/>
    </x:row>
    <x:row r="971">
      <x:c r="D971" s="23"/>
      <x:c r="H971" s="25"/>
      <x:c r="I971" s="25"/>
    </x:row>
    <x:row r="972">
      <x:c r="D972" s="23"/>
      <x:c r="H972" s="25"/>
      <x:c r="I972" s="25"/>
    </x:row>
    <x:row r="973">
      <x:c r="D973" s="23"/>
      <x:c r="H973" s="25"/>
      <x:c r="I973" s="25"/>
    </x:row>
    <x:row r="974">
      <x:c r="D974" s="23"/>
      <x:c r="H974" s="25"/>
      <x:c r="I974" s="25"/>
    </x:row>
    <x:row r="975">
      <x:c r="D975" s="23"/>
      <x:c r="H975" s="25"/>
      <x:c r="I975" s="25"/>
    </x:row>
    <x:row r="976">
      <x:c r="D976" s="23"/>
      <x:c r="H976" s="25"/>
      <x:c r="I976" s="25"/>
    </x:row>
    <x:row r="977">
      <x:c r="D977" s="23"/>
      <x:c r="H977" s="25"/>
      <x:c r="I977" s="25"/>
    </x:row>
    <x:row r="978">
      <x:c r="D978" s="23"/>
      <x:c r="H978" s="25"/>
      <x:c r="I978" s="25"/>
    </x:row>
    <x:row r="979">
      <x:c r="D979" s="23"/>
      <x:c r="H979" s="25"/>
      <x:c r="I979" s="25"/>
    </x:row>
    <x:row r="980">
      <x:c r="D980" s="23"/>
      <x:c r="H980" s="25"/>
      <x:c r="I980" s="25"/>
    </x:row>
    <x:row r="981">
      <x:c r="D981" s="23"/>
      <x:c r="H981" s="25"/>
      <x:c r="I981" s="25"/>
    </x:row>
    <x:row r="982">
      <x:c r="D982" s="23"/>
      <x:c r="H982" s="25"/>
      <x:c r="I982" s="25"/>
    </x:row>
    <x:row r="983">
      <x:c r="D983" s="23"/>
      <x:c r="H983" s="25"/>
      <x:c r="I983" s="25"/>
    </x:row>
    <x:row r="984">
      <x:c r="D984" s="23"/>
      <x:c r="H984" s="25"/>
      <x:c r="I984" s="25"/>
    </x:row>
    <x:row r="985">
      <x:c r="D985" s="23"/>
      <x:c r="H985" s="25"/>
      <x:c r="I985" s="25"/>
    </x:row>
    <x:row r="986">
      <x:c r="D986" s="23"/>
      <x:c r="H986" s="25"/>
      <x:c r="I986" s="25"/>
    </x:row>
    <x:row r="987">
      <x:c r="D987" s="23"/>
      <x:c r="H987" s="25"/>
      <x:c r="I987" s="25"/>
    </x:row>
    <x:row r="988">
      <x:c r="D988" s="23"/>
      <x:c r="H988" s="25"/>
      <x:c r="I988" s="25"/>
    </x:row>
    <x:row r="989">
      <x:c r="D989" s="23"/>
      <x:c r="H989" s="25"/>
      <x:c r="I989" s="25"/>
    </x:row>
    <x:row r="990">
      <x:c r="D990" s="23"/>
      <x:c r="H990" s="25"/>
      <x:c r="I990" s="25"/>
    </x:row>
    <x:row r="991">
      <x:c r="D991" s="23"/>
      <x:c r="H991" s="25"/>
      <x:c r="I991" s="25"/>
    </x:row>
    <x:row r="992">
      <x:c r="D992" s="23"/>
      <x:c r="H992" s="25"/>
      <x:c r="I992" s="25"/>
    </x:row>
    <x:row r="993">
      <x:c r="D993" s="23"/>
      <x:c r="H993" s="25"/>
      <x:c r="I993" s="25"/>
    </x:row>
    <x:row r="994">
      <x:c r="D994" s="23"/>
      <x:c r="H994" s="25"/>
      <x:c r="I994" s="25"/>
    </x:row>
    <x:row r="995">
      <x:c r="D995" s="23"/>
      <x:c r="H995" s="25"/>
      <x:c r="I995" s="25"/>
    </x:row>
    <x:row r="996">
      <x:c r="D996" s="23"/>
      <x:c r="H996" s="25"/>
      <x:c r="I996" s="25"/>
    </x:row>
    <x:row r="997">
      <x:c r="D997" s="23"/>
      <x:c r="H997" s="25"/>
      <x:c r="I997" s="25"/>
    </x:row>
    <x:row r="998">
      <x:c r="D998" s="23"/>
      <x:c r="H998" s="25"/>
      <x:c r="I998" s="25"/>
    </x:row>
    <x:row r="999">
      <x:c r="D999" s="23"/>
      <x:c r="H999" s="25"/>
      <x:c r="I999" s="25"/>
    </x:row>
    <x:row r="1000">
      <x:c r="D1000" s="23"/>
      <x:c r="H1000" s="25"/>
      <x:c r="I1000" s="25"/>
    </x:row>
    <x:row r="1001">
      <x:c r="D1001" s="23"/>
      <x:c r="H1001" s="25"/>
      <x:c r="I1001" s="25"/>
    </x:row>
    <x:row r="1002">
      <x:c r="D1002" s="23"/>
      <x:c r="H1002" s="25"/>
      <x:c r="I1002" s="25"/>
    </x:row>
    <x:row r="1003">
      <x:c r="D1003" s="23"/>
      <x:c r="H1003" s="25"/>
      <x:c r="I1003" s="25"/>
    </x:row>
    <x:row r="1004">
      <x:c r="D1004" s="23"/>
      <x:c r="H1004" s="25"/>
      <x:c r="I1004" s="25"/>
    </x:row>
  </x:sheetData>
  <x:dataValidations count="2">
    <x:dataValidation type="list" sqref="B5:B1004">
      <x:formula1>"MPS,PPS"</x:formula1>
    </x:dataValidation>
    <x:dataValidation type="list" sqref="F5:F1004">
      <x:formula1>"planned,running,succeeded,failed,canceled"</x:formula1>
    </x:dataValidation>
  </x:dataValidations>
  <x:pageMargins left="0.7" right="0.7" top="0.75" bottom="0.75" header="0.3" footer="0.3"/>
</x:worksheet>
</file>